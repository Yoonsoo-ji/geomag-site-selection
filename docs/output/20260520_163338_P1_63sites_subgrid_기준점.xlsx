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전체 요약" sheetId="1" state="visible" r:id="rId1"/>
    <sheet xmlns:r="http://schemas.openxmlformats.org/officeDocument/2006/relationships" name="📍 서브격자 후보" sheetId="2" state="visible" r:id="rId2"/>
    <sheet xmlns:r="http://schemas.openxmlformats.org/officeDocument/2006/relationships" name="📐 기준점 매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sz val="9"/>
    </font>
    <font>
      <name val="맑은 고딕"/>
      <b val="1"/>
      <color rgb="00FFFFFF"/>
      <sz val="9"/>
    </font>
    <font>
      <name val="맑은 고딕"/>
      <b val="1"/>
      <sz val="9"/>
    </font>
    <font>
      <name val="맑은 고딕"/>
      <sz val="9"/>
    </font>
    <font>
      <name val="맑은 고딕"/>
      <color rgb="000563C1"/>
      <sz val="9"/>
      <u val="single"/>
    </font>
    <font>
      <name val="맑은 고딕"/>
      <i val="1"/>
      <color rgb="00595959"/>
      <sz val="8"/>
    </font>
    <font>
      <name val="맑은 고딕"/>
      <b val="1"/>
      <color rgb="00FFFFFF"/>
      <sz val="12"/>
    </font>
    <font>
      <name val="맑은 고딕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6DCE4"/>
      </patternFill>
    </fill>
    <fill>
      <patternFill patternType="solid">
        <fgColor rgb="002F75B6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7" fillId="6" borderId="0" pivotButton="0" quotePrefix="0" xfId="0"/>
    <xf numFmtId="0" fontId="8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9" fillId="7" borderId="0" pivotButton="0" quotePrefix="0" xfId="0"/>
    <xf numFmtId="0" fontId="5" fillId="8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1" customWidth="1" min="4" max="4"/>
    <col width="8" customWidth="1" min="5" max="5"/>
    <col width="7" customWidth="1" min="6" max="6"/>
    <col width="8" customWidth="1" min="7" max="7"/>
    <col width="7" customWidth="1" min="8" max="8"/>
    <col width="8" customWidth="1" min="9" max="9"/>
    <col width="6" customWidth="1" min="10" max="10"/>
    <col width="7" customWidth="1" min="11" max="11"/>
    <col width="7" customWidth="1" min="12" max="12"/>
    <col width="18" customWidth="1" min="13" max="13"/>
    <col width="18" customWidth="1" min="14" max="14"/>
  </cols>
  <sheetData>
    <row r="1" ht="26" customHeight="1">
      <c r="A1" s="1" t="inlineStr">
        <is>
          <t>1등급 P1 후보지 63개 — 서브격자 최우선 후보 + 기준점 매칭 요약</t>
        </is>
      </c>
    </row>
    <row r="2">
      <c r="A2" s="2" t="inlineStr">
        <is>
          <t>생성: 2026-05-20 16:39  / 반경5km / 격자1km / 도로≤2km / 기준점반경5km / 사이트당 상위5개</t>
        </is>
      </c>
    </row>
    <row r="3" ht="28" customHeight="1">
      <c r="A3" s="3" t="inlineStr">
        <is>
          <t>사이트</t>
        </is>
      </c>
      <c r="B3" s="3" t="inlineStr">
        <is>
          <t>국가점수</t>
        </is>
      </c>
      <c r="C3" s="3" t="inlineStr">
        <is>
          <t>서브#1위도</t>
        </is>
      </c>
      <c r="D3" s="3" t="inlineStr">
        <is>
          <t>서브#1경도</t>
        </is>
      </c>
      <c r="E3" s="3" t="inlineStr">
        <is>
          <t>서브점수</t>
        </is>
      </c>
      <c r="F3" s="3" t="inlineStr">
        <is>
          <t>②지형</t>
        </is>
      </c>
      <c r="G3" s="3" t="inlineStr">
        <is>
          <t>③전력철도</t>
        </is>
      </c>
      <c r="H3" s="3" t="inlineStr">
        <is>
          <t>④인구</t>
        </is>
      </c>
      <c r="I3" s="3" t="inlineStr">
        <is>
          <t>⑤모델기여</t>
        </is>
      </c>
      <c r="J3" s="3" t="inlineStr">
        <is>
          <t>⑥암상</t>
        </is>
      </c>
      <c r="K3" s="3" t="inlineStr">
        <is>
          <t>도로(m)</t>
        </is>
      </c>
      <c r="L3" s="3" t="inlineStr">
        <is>
          <t>기준점수</t>
        </is>
      </c>
      <c r="M3" s="3" t="inlineStr">
        <is>
          <t>네이버(#1)</t>
        </is>
      </c>
      <c r="N3" s="3" t="inlineStr">
        <is>
          <t>카카오(#1)</t>
        </is>
      </c>
    </row>
    <row r="4">
      <c r="A4" s="4" t="inlineStr">
        <is>
          <t>#1</t>
        </is>
      </c>
      <c r="B4" s="5" t="n">
        <v>71.3</v>
      </c>
      <c r="C4" s="5" t="n">
        <v>34.799276</v>
      </c>
      <c r="D4" s="5" t="n">
        <v>126.046235</v>
      </c>
      <c r="E4" s="4" t="n">
        <v>99.09999999999999</v>
      </c>
      <c r="F4" s="5" t="inlineStr">
        <is>
          <t>15.0</t>
        </is>
      </c>
      <c r="G4" s="5" t="inlineStr">
        <is>
          <t>14.5</t>
        </is>
      </c>
      <c r="H4" s="5" t="inlineStr">
        <is>
          <t>15.0</t>
        </is>
      </c>
      <c r="I4" s="5" t="inlineStr">
        <is>
          <t>10.0</t>
        </is>
      </c>
      <c r="J4" s="5" t="inlineStr">
        <is>
          <t>5.0</t>
        </is>
      </c>
      <c r="K4" s="5" t="inlineStr">
        <is>
          <t>1969</t>
        </is>
      </c>
      <c r="L4" s="5" t="n">
        <v>7</v>
      </c>
      <c r="M4" s="6">
        <f>HYPERLINK("https://map.naver.com/v5/search/34.799276,126.046235","📍 네이버 #1")</f>
        <v/>
      </c>
      <c r="N4" s="6">
        <f>HYPERLINK("https://map.kakao.com/link/map/P1-1,34.799276,126.046235","📍 카카오 #1")</f>
        <v/>
      </c>
    </row>
    <row r="5">
      <c r="A5" s="4" t="inlineStr">
        <is>
          <t>#2</t>
        </is>
      </c>
      <c r="B5" s="5" t="n">
        <v>85.59999999999999</v>
      </c>
      <c r="C5" s="5" t="n">
        <v>33.215139</v>
      </c>
      <c r="D5" s="5" t="n">
        <v>126.330504</v>
      </c>
      <c r="E5" s="4" t="n">
        <v>97.59999999999999</v>
      </c>
      <c r="F5" s="5" t="inlineStr">
        <is>
          <t>15.0</t>
        </is>
      </c>
      <c r="G5" s="5" t="inlineStr">
        <is>
          <t>13.5</t>
        </is>
      </c>
      <c r="H5" s="5" t="inlineStr">
        <is>
          <t>15.0</t>
        </is>
      </c>
      <c r="I5" s="5" t="inlineStr">
        <is>
          <t>10.0</t>
        </is>
      </c>
      <c r="J5" s="5" t="inlineStr">
        <is>
          <t>5.0</t>
        </is>
      </c>
      <c r="K5" s="5" t="inlineStr">
        <is>
          <t>1894</t>
        </is>
      </c>
      <c r="L5" s="5" t="n">
        <v>7</v>
      </c>
      <c r="M5" s="6">
        <f>HYPERLINK("https://map.naver.com/v5/search/33.215139,126.330504","📍 네이버 #2")</f>
        <v/>
      </c>
      <c r="N5" s="6">
        <f>HYPERLINK("https://map.kakao.com/link/map/P2-1,33.215139,126.330504","📍 카카오 #2")</f>
        <v/>
      </c>
    </row>
    <row r="6">
      <c r="A6" s="4" t="inlineStr">
        <is>
          <t>#3</t>
        </is>
      </c>
      <c r="B6" s="5" t="n">
        <v>70.8</v>
      </c>
      <c r="C6" s="5" t="n">
        <v>36.631925</v>
      </c>
      <c r="D6" s="5" t="n">
        <v>126.269802</v>
      </c>
      <c r="E6" s="4" t="n">
        <v>98.90000000000001</v>
      </c>
      <c r="F6" s="5" t="inlineStr">
        <is>
          <t>15.0</t>
        </is>
      </c>
      <c r="G6" s="5" t="inlineStr">
        <is>
          <t>14.3</t>
        </is>
      </c>
      <c r="H6" s="5" t="inlineStr">
        <is>
          <t>15.0</t>
        </is>
      </c>
      <c r="I6" s="5" t="inlineStr">
        <is>
          <t>10.0</t>
        </is>
      </c>
      <c r="J6" s="5" t="inlineStr">
        <is>
          <t>5.0</t>
        </is>
      </c>
      <c r="K6" s="5" t="inlineStr">
        <is>
          <t>1663</t>
        </is>
      </c>
      <c r="L6" s="5" t="n">
        <v>7</v>
      </c>
      <c r="M6" s="6">
        <f>HYPERLINK("https://map.naver.com/v5/search/36.631925,126.269802","📍 네이버 #3")</f>
        <v/>
      </c>
      <c r="N6" s="6">
        <f>HYPERLINK("https://map.kakao.com/link/map/P3-1,36.631925,126.269802","📍 카카오 #3")</f>
        <v/>
      </c>
    </row>
    <row r="7">
      <c r="A7" s="4" t="inlineStr">
        <is>
          <t>#4</t>
        </is>
      </c>
      <c r="B7" s="5" t="n">
        <v>68.90000000000001</v>
      </c>
      <c r="C7" s="5" t="n">
        <v>34.325559</v>
      </c>
      <c r="D7" s="5" t="n">
        <v>126.456627</v>
      </c>
      <c r="E7" s="4" t="n">
        <v>99.59999999999999</v>
      </c>
      <c r="F7" s="5" t="inlineStr">
        <is>
          <t>15.0</t>
        </is>
      </c>
      <c r="G7" s="5" t="inlineStr">
        <is>
          <t>15.0</t>
        </is>
      </c>
      <c r="H7" s="5" t="inlineStr">
        <is>
          <t>15.0</t>
        </is>
      </c>
      <c r="I7" s="5" t="inlineStr">
        <is>
          <t>10.0</t>
        </is>
      </c>
      <c r="J7" s="5" t="inlineStr">
        <is>
          <t>4.8</t>
        </is>
      </c>
      <c r="K7" s="5" t="inlineStr">
        <is>
          <t>1875</t>
        </is>
      </c>
      <c r="L7" s="5" t="n">
        <v>7</v>
      </c>
      <c r="M7" s="6">
        <f>HYPERLINK("https://map.naver.com/v5/search/34.325559,126.456627","📍 네이버 #4")</f>
        <v/>
      </c>
      <c r="N7" s="6">
        <f>HYPERLINK("https://map.kakao.com/link/map/P4-1,34.325559,126.456627","📍 카카오 #4")</f>
        <v/>
      </c>
    </row>
    <row r="8">
      <c r="A8" s="4" t="inlineStr">
        <is>
          <t>#5</t>
        </is>
      </c>
      <c r="B8" s="5" t="n">
        <v>60.5</v>
      </c>
      <c r="C8" s="5" t="n">
        <v>36.102912</v>
      </c>
      <c r="D8" s="5" t="n">
        <v>126.58916</v>
      </c>
      <c r="E8" s="4" t="n">
        <v>98</v>
      </c>
      <c r="F8" s="5" t="inlineStr">
        <is>
          <t>15.0</t>
        </is>
      </c>
      <c r="G8" s="5" t="inlineStr">
        <is>
          <t>14.4</t>
        </is>
      </c>
      <c r="H8" s="5" t="inlineStr">
        <is>
          <t>14.5</t>
        </is>
      </c>
      <c r="I8" s="5" t="inlineStr">
        <is>
          <t>10.0</t>
        </is>
      </c>
      <c r="J8" s="5" t="inlineStr">
        <is>
          <t>4.9</t>
        </is>
      </c>
      <c r="K8" s="5" t="inlineStr">
        <is>
          <t>1786</t>
        </is>
      </c>
      <c r="L8" s="5" t="n">
        <v>10</v>
      </c>
      <c r="M8" s="6">
        <f>HYPERLINK("https://map.naver.com/v5/search/36.102912,126.58916","📍 네이버 #5")</f>
        <v/>
      </c>
      <c r="N8" s="6">
        <f>HYPERLINK("https://map.kakao.com/link/map/P5-1,36.102912,126.58916","📍 카카오 #5")</f>
        <v/>
      </c>
    </row>
    <row r="9">
      <c r="A9" s="4" t="inlineStr">
        <is>
          <t>#6</t>
        </is>
      </c>
      <c r="B9" s="5" t="n">
        <v>58.6</v>
      </c>
      <c r="C9" s="5" t="n">
        <v>36.229911</v>
      </c>
      <c r="D9" s="5" t="n">
        <v>126.698963</v>
      </c>
      <c r="E9" s="4" t="n">
        <v>90.2</v>
      </c>
      <c r="F9" s="5" t="inlineStr">
        <is>
          <t>13.0</t>
        </is>
      </c>
      <c r="G9" s="5" t="inlineStr">
        <is>
          <t>13.1</t>
        </is>
      </c>
      <c r="H9" s="5" t="inlineStr">
        <is>
          <t>15.0</t>
        </is>
      </c>
      <c r="I9" s="5" t="inlineStr">
        <is>
          <t>8.0</t>
        </is>
      </c>
      <c r="J9" s="5" t="inlineStr">
        <is>
          <t>4.9</t>
        </is>
      </c>
      <c r="K9" s="5" t="inlineStr">
        <is>
          <t>61</t>
        </is>
      </c>
      <c r="L9" s="5" t="n">
        <v>13</v>
      </c>
      <c r="M9" s="6">
        <f>HYPERLINK("https://map.naver.com/v5/search/36.229911,126.698963","📍 네이버 #6")</f>
        <v/>
      </c>
      <c r="N9" s="6">
        <f>HYPERLINK("https://map.kakao.com/link/map/P6-1,36.229911,126.698963","📍 카카오 #6")</f>
        <v/>
      </c>
    </row>
    <row r="10">
      <c r="A10" s="4" t="inlineStr">
        <is>
          <t>#8</t>
        </is>
      </c>
      <c r="B10" s="5" t="n">
        <v>63</v>
      </c>
      <c r="C10" s="5" t="n">
        <v>35.50097</v>
      </c>
      <c r="D10" s="5" t="n">
        <v>126.93781</v>
      </c>
      <c r="E10" s="4" t="n">
        <v>89</v>
      </c>
      <c r="F10" s="5" t="inlineStr">
        <is>
          <t>13.4</t>
        </is>
      </c>
      <c r="G10" s="5" t="inlineStr">
        <is>
          <t>14.0</t>
        </is>
      </c>
      <c r="H10" s="5" t="inlineStr">
        <is>
          <t>11.5</t>
        </is>
      </c>
      <c r="I10" s="5" t="inlineStr">
        <is>
          <t>10.0</t>
        </is>
      </c>
      <c r="J10" s="5" t="inlineStr">
        <is>
          <t>4.5</t>
        </is>
      </c>
      <c r="K10" s="5" t="inlineStr">
        <is>
          <t>214</t>
        </is>
      </c>
      <c r="L10" s="5" t="n">
        <v>17</v>
      </c>
      <c r="M10" s="6">
        <f>HYPERLINK("https://map.naver.com/v5/search/35.50097,126.93781","📍 네이버 #8")</f>
        <v/>
      </c>
      <c r="N10" s="6">
        <f>HYPERLINK("https://map.kakao.com/link/map/P8-1,35.50097,126.93781","📍 카카오 #8")</f>
        <v/>
      </c>
    </row>
    <row r="11">
      <c r="A11" s="4" t="inlineStr">
        <is>
          <t>#9</t>
        </is>
      </c>
      <c r="B11" s="5" t="n">
        <v>61.1</v>
      </c>
      <c r="C11" s="5" t="n">
        <v>36.546607</v>
      </c>
      <c r="D11" s="5" t="n">
        <v>126.896818</v>
      </c>
      <c r="E11" s="4" t="n">
        <v>91.09999999999999</v>
      </c>
      <c r="F11" s="5" t="inlineStr">
        <is>
          <t>13.5</t>
        </is>
      </c>
      <c r="G11" s="5" t="inlineStr">
        <is>
          <t>13.2</t>
        </is>
      </c>
      <c r="H11" s="5" t="inlineStr">
        <is>
          <t>15.0</t>
        </is>
      </c>
      <c r="I11" s="5" t="inlineStr">
        <is>
          <t>8.0</t>
        </is>
      </c>
      <c r="J11" s="5" t="inlineStr">
        <is>
          <t>5.0</t>
        </is>
      </c>
      <c r="K11" s="5" t="inlineStr">
        <is>
          <t>260</t>
        </is>
      </c>
      <c r="L11" s="5" t="n">
        <v>13</v>
      </c>
      <c r="M11" s="6">
        <f>HYPERLINK("https://map.naver.com/v5/search/36.546607,126.896818","📍 네이버 #9")</f>
        <v/>
      </c>
      <c r="N11" s="6">
        <f>HYPERLINK("https://map.kakao.com/link/map/P9-1,36.546607,126.896818","📍 카카오 #9")</f>
        <v/>
      </c>
    </row>
    <row r="12">
      <c r="A12" s="4" t="inlineStr">
        <is>
          <t>#12</t>
        </is>
      </c>
      <c r="B12" s="5" t="n">
        <v>69.90000000000001</v>
      </c>
      <c r="C12" s="5" t="n">
        <v>34.563535</v>
      </c>
      <c r="D12" s="5" t="n">
        <v>127.020501</v>
      </c>
      <c r="E12" s="4" t="n">
        <v>99.8</v>
      </c>
      <c r="F12" s="5" t="inlineStr">
        <is>
          <t>15.0</t>
        </is>
      </c>
      <c r="G12" s="5" t="inlineStr">
        <is>
          <t>15.0</t>
        </is>
      </c>
      <c r="H12" s="5" t="inlineStr">
        <is>
          <t>15.0</t>
        </is>
      </c>
      <c r="I12" s="5" t="inlineStr">
        <is>
          <t>10.0</t>
        </is>
      </c>
      <c r="J12" s="5" t="inlineStr">
        <is>
          <t>4.9</t>
        </is>
      </c>
      <c r="K12" s="5" t="inlineStr">
        <is>
          <t>1324</t>
        </is>
      </c>
      <c r="L12" s="5" t="n">
        <v>3</v>
      </c>
      <c r="M12" s="6">
        <f>HYPERLINK("https://map.naver.com/v5/search/34.563535,127.020501","📍 네이버 #12")</f>
        <v/>
      </c>
      <c r="N12" s="6">
        <f>HYPERLINK("https://map.kakao.com/link/map/P12-1,34.563535,127.020501","📍 카카오 #12")</f>
        <v/>
      </c>
    </row>
    <row r="13">
      <c r="A13" s="4" t="inlineStr">
        <is>
          <t>#13</t>
        </is>
      </c>
      <c r="B13" s="5" t="n">
        <v>60</v>
      </c>
      <c r="C13" s="5" t="n">
        <v>36.58331</v>
      </c>
      <c r="D13" s="5" t="n">
        <v>127.04185</v>
      </c>
      <c r="E13" s="4" t="n">
        <v>86.09999999999999</v>
      </c>
      <c r="F13" s="5" t="inlineStr">
        <is>
          <t>12.1</t>
        </is>
      </c>
      <c r="G13" s="5" t="inlineStr">
        <is>
          <t>14.5</t>
        </is>
      </c>
      <c r="H13" s="5" t="inlineStr">
        <is>
          <t>14.0</t>
        </is>
      </c>
      <c r="I13" s="5" t="inlineStr">
        <is>
          <t>8.0</t>
        </is>
      </c>
      <c r="J13" s="5" t="inlineStr">
        <is>
          <t>3.2</t>
        </is>
      </c>
      <c r="K13" s="5" t="inlineStr">
        <is>
          <t>375</t>
        </is>
      </c>
      <c r="L13" s="5" t="n">
        <v>15</v>
      </c>
      <c r="M13" s="6">
        <f>HYPERLINK("https://map.naver.com/v5/search/36.58331,127.04185","📍 네이버 #13")</f>
        <v/>
      </c>
      <c r="N13" s="6">
        <f>HYPERLINK("https://map.kakao.com/link/map/P13-1,36.58331,127.04185","📍 카카오 #13")</f>
        <v/>
      </c>
    </row>
    <row r="14">
      <c r="A14" s="4" t="inlineStr">
        <is>
          <t>#14</t>
        </is>
      </c>
      <c r="B14" s="5" t="n">
        <v>58</v>
      </c>
      <c r="C14" s="5" t="n">
        <v>38.196728</v>
      </c>
      <c r="D14" s="5" t="n">
        <v>127.031918</v>
      </c>
      <c r="E14" s="4" t="n">
        <v>89.90000000000001</v>
      </c>
      <c r="F14" s="5" t="inlineStr">
        <is>
          <t>14.5</t>
        </is>
      </c>
      <c r="G14" s="5" t="inlineStr">
        <is>
          <t>14.0</t>
        </is>
      </c>
      <c r="H14" s="5" t="inlineStr">
        <is>
          <t>14.7</t>
        </is>
      </c>
      <c r="I14" s="5" t="inlineStr">
        <is>
          <t>6.0</t>
        </is>
      </c>
      <c r="J14" s="5" t="inlineStr">
        <is>
          <t>4.7</t>
        </is>
      </c>
      <c r="K14" s="5" t="inlineStr">
        <is>
          <t>162</t>
        </is>
      </c>
      <c r="L14" s="5" t="n">
        <v>9</v>
      </c>
      <c r="M14" s="6">
        <f>HYPERLINK("https://map.naver.com/v5/search/38.196728,127.031918","📍 네이버 #14")</f>
        <v/>
      </c>
      <c r="N14" s="6">
        <f>HYPERLINK("https://map.kakao.com/link/map/P14-1,38.196728,127.031918","📍 카카오 #14")</f>
        <v/>
      </c>
    </row>
    <row r="15">
      <c r="A15" s="4" t="inlineStr">
        <is>
          <t>#15</t>
        </is>
      </c>
      <c r="B15" s="5" t="n">
        <v>65.59999999999999</v>
      </c>
      <c r="C15" s="5" t="n">
        <v>34.654219</v>
      </c>
      <c r="D15" s="5" t="n">
        <v>127.172759</v>
      </c>
      <c r="E15" s="4" t="n">
        <v>99</v>
      </c>
      <c r="F15" s="5" t="inlineStr">
        <is>
          <t>15.0</t>
        </is>
      </c>
      <c r="G15" s="5" t="inlineStr">
        <is>
          <t>15.0</t>
        </is>
      </c>
      <c r="H15" s="5" t="inlineStr">
        <is>
          <t>14.4</t>
        </is>
      </c>
      <c r="I15" s="5" t="inlineStr">
        <is>
          <t>10.0</t>
        </is>
      </c>
      <c r="J15" s="5" t="inlineStr">
        <is>
          <t>5.0</t>
        </is>
      </c>
      <c r="K15" s="5" t="inlineStr">
        <is>
          <t>1976</t>
        </is>
      </c>
      <c r="L15" s="5" t="n">
        <v>5</v>
      </c>
      <c r="M15" s="6">
        <f>HYPERLINK("https://map.naver.com/v5/search/34.654219,127.172759","📍 네이버 #15")</f>
        <v/>
      </c>
      <c r="N15" s="6">
        <f>HYPERLINK("https://map.kakao.com/link/map/P15-1,34.654219,127.172759","📍 카카오 #15")</f>
        <v/>
      </c>
    </row>
    <row r="16">
      <c r="A16" s="4" t="inlineStr">
        <is>
          <t>#16</t>
        </is>
      </c>
      <c r="B16" s="5" t="n">
        <v>60.1</v>
      </c>
      <c r="C16" s="5" t="n">
        <v>35.600976</v>
      </c>
      <c r="D16" s="5" t="n">
        <v>127.157912</v>
      </c>
      <c r="E16" s="4" t="n">
        <v>91.2</v>
      </c>
      <c r="F16" s="5" t="inlineStr">
        <is>
          <t>13.5</t>
        </is>
      </c>
      <c r="G16" s="5" t="inlineStr">
        <is>
          <t>14.5</t>
        </is>
      </c>
      <c r="H16" s="5" t="inlineStr">
        <is>
          <t>14.4</t>
        </is>
      </c>
      <c r="I16" s="5" t="inlineStr">
        <is>
          <t>8.0</t>
        </is>
      </c>
      <c r="J16" s="5" t="inlineStr">
        <is>
          <t>4.4</t>
        </is>
      </c>
      <c r="K16" s="5" t="inlineStr">
        <is>
          <t>787</t>
        </is>
      </c>
      <c r="L16" s="5" t="n">
        <v>13</v>
      </c>
      <c r="M16" s="6">
        <f>HYPERLINK("https://map.naver.com/v5/search/35.600976,127.157912","📍 네이버 #16")</f>
        <v/>
      </c>
      <c r="N16" s="6">
        <f>HYPERLINK("https://map.kakao.com/link/map/P16-1,35.600976,127.157912","📍 카카오 #16")</f>
        <v/>
      </c>
    </row>
    <row r="17">
      <c r="A17" s="4" t="inlineStr">
        <is>
          <t>#17</t>
        </is>
      </c>
      <c r="B17" s="5" t="n">
        <v>59.4</v>
      </c>
      <c r="C17" s="5" t="n">
        <v>34.888884</v>
      </c>
      <c r="D17" s="5" t="n">
        <v>127.259386</v>
      </c>
      <c r="E17" s="4" t="n">
        <v>85.59999999999999</v>
      </c>
      <c r="F17" s="5" t="inlineStr">
        <is>
          <t>11.5</t>
        </is>
      </c>
      <c r="G17" s="5" t="inlineStr">
        <is>
          <t>14.3</t>
        </is>
      </c>
      <c r="H17" s="5" t="inlineStr">
        <is>
          <t>15.0</t>
        </is>
      </c>
      <c r="I17" s="5" t="inlineStr">
        <is>
          <t>8.0</t>
        </is>
      </c>
      <c r="J17" s="5" t="inlineStr">
        <is>
          <t>2.5</t>
        </is>
      </c>
      <c r="K17" s="5" t="inlineStr">
        <is>
          <t>260</t>
        </is>
      </c>
      <c r="L17" s="5" t="n">
        <v>10</v>
      </c>
      <c r="M17" s="6">
        <f>HYPERLINK("https://map.naver.com/v5/search/34.888884,127.259386","📍 네이버 #17")</f>
        <v/>
      </c>
      <c r="N17" s="6">
        <f>HYPERLINK("https://map.kakao.com/link/map/P17-1,34.888884,127.259386","📍 카카오 #17")</f>
        <v/>
      </c>
    </row>
    <row r="18">
      <c r="A18" s="4" t="inlineStr">
        <is>
          <t>#18</t>
        </is>
      </c>
      <c r="B18" s="5" t="n">
        <v>58.8</v>
      </c>
      <c r="C18" s="5" t="n">
        <v>35.817639</v>
      </c>
      <c r="D18" s="5" t="n">
        <v>127.267681</v>
      </c>
      <c r="E18" s="4" t="n">
        <v>93.90000000000001</v>
      </c>
      <c r="F18" s="5" t="inlineStr">
        <is>
          <t>12.6</t>
        </is>
      </c>
      <c r="G18" s="5" t="inlineStr">
        <is>
          <t>14.1</t>
        </is>
      </c>
      <c r="H18" s="5" t="inlineStr">
        <is>
          <t>15.0</t>
        </is>
      </c>
      <c r="I18" s="5" t="inlineStr">
        <is>
          <t>10.0</t>
        </is>
      </c>
      <c r="J18" s="5" t="inlineStr">
        <is>
          <t>4.7</t>
        </is>
      </c>
      <c r="K18" s="5" t="inlineStr">
        <is>
          <t>922</t>
        </is>
      </c>
      <c r="L18" s="5" t="n">
        <v>19</v>
      </c>
      <c r="M18" s="6">
        <f>HYPERLINK("https://map.naver.com/v5/search/35.817639,127.267681","📍 네이버 #18")</f>
        <v/>
      </c>
      <c r="N18" s="6">
        <f>HYPERLINK("https://map.kakao.com/link/map/P18-1,35.817639,127.267681","📍 카카오 #18")</f>
        <v/>
      </c>
    </row>
    <row r="19">
      <c r="A19" s="7" t="inlineStr">
        <is>
          <t>#33</t>
        </is>
      </c>
      <c r="B19" s="8" t="n">
        <v>58.2</v>
      </c>
      <c r="C19" s="8" t="n">
        <v>35.357958</v>
      </c>
      <c r="D19" s="8" t="n">
        <v>127.621228</v>
      </c>
      <c r="E19" s="7" t="n">
        <v>87.7</v>
      </c>
      <c r="F19" s="8" t="inlineStr">
        <is>
          <t>9.4</t>
        </is>
      </c>
      <c r="G19" s="8" t="inlineStr">
        <is>
          <t>14.8</t>
        </is>
      </c>
      <c r="H19" s="8" t="inlineStr">
        <is>
          <t>13.9</t>
        </is>
      </c>
      <c r="I19" s="8" t="inlineStr">
        <is>
          <t>10.0</t>
        </is>
      </c>
      <c r="J19" s="8" t="inlineStr">
        <is>
          <t>4.5</t>
        </is>
      </c>
      <c r="K19" s="8" t="inlineStr">
        <is>
          <t>672</t>
        </is>
      </c>
      <c r="L19" s="8" t="n">
        <v>1</v>
      </c>
      <c r="M19" s="9">
        <f>HYPERLINK("https://map.naver.com/v5/search/35.357958,127.621228","📍 네이버 #33")</f>
        <v/>
      </c>
      <c r="N19" s="9">
        <f>HYPERLINK("https://map.kakao.com/link/map/P33-1,35.357958,127.621228","📍 카카오 #33")</f>
        <v/>
      </c>
    </row>
    <row r="20">
      <c r="A20" s="4" t="inlineStr">
        <is>
          <t>#35</t>
        </is>
      </c>
      <c r="B20" s="5" t="n">
        <v>58.4</v>
      </c>
      <c r="C20" s="5" t="n">
        <v>35.583362</v>
      </c>
      <c r="D20" s="5" t="n">
        <v>127.632602</v>
      </c>
      <c r="E20" s="4" t="n">
        <v>90.7</v>
      </c>
      <c r="F20" s="5" t="inlineStr">
        <is>
          <t>13.6</t>
        </is>
      </c>
      <c r="G20" s="5" t="inlineStr">
        <is>
          <t>14.8</t>
        </is>
      </c>
      <c r="H20" s="5" t="inlineStr">
        <is>
          <t>13.3</t>
        </is>
      </c>
      <c r="I20" s="5" t="inlineStr">
        <is>
          <t>8.0</t>
        </is>
      </c>
      <c r="J20" s="5" t="inlineStr">
        <is>
          <t>4.8</t>
        </is>
      </c>
      <c r="K20" s="5" t="inlineStr">
        <is>
          <t>62</t>
        </is>
      </c>
      <c r="L20" s="5" t="n">
        <v>8</v>
      </c>
      <c r="M20" s="6">
        <f>HYPERLINK("https://map.naver.com/v5/search/35.583362,127.632602","📍 네이버 #35")</f>
        <v/>
      </c>
      <c r="N20" s="6">
        <f>HYPERLINK("https://map.kakao.com/link/map/P35-1,35.583362,127.632602","📍 카카오 #35")</f>
        <v/>
      </c>
    </row>
    <row r="21">
      <c r="A21" s="4" t="inlineStr">
        <is>
          <t>#38</t>
        </is>
      </c>
      <c r="B21" s="5" t="n">
        <v>58.6</v>
      </c>
      <c r="C21" s="5" t="n">
        <v>36.115303</v>
      </c>
      <c r="D21" s="5" t="n">
        <v>127.644603</v>
      </c>
      <c r="E21" s="4" t="n">
        <v>86.7</v>
      </c>
      <c r="F21" s="5" t="inlineStr">
        <is>
          <t>12.3</t>
        </is>
      </c>
      <c r="G21" s="5" t="inlineStr">
        <is>
          <t>15.0</t>
        </is>
      </c>
      <c r="H21" s="5" t="inlineStr">
        <is>
          <t>14.3</t>
        </is>
      </c>
      <c r="I21" s="5" t="inlineStr">
        <is>
          <t>8.0</t>
        </is>
      </c>
      <c r="J21" s="5" t="inlineStr">
        <is>
          <t>2.5</t>
        </is>
      </c>
      <c r="K21" s="5" t="inlineStr">
        <is>
          <t>177</t>
        </is>
      </c>
      <c r="L21" s="5" t="n">
        <v>18</v>
      </c>
      <c r="M21" s="6">
        <f>HYPERLINK("https://map.naver.com/v5/search/36.115303,127.644603","📍 네이버 #38")</f>
        <v/>
      </c>
      <c r="N21" s="6">
        <f>HYPERLINK("https://map.kakao.com/link/map/P38-1,36.115303,127.644603","📍 카카오 #38")</f>
        <v/>
      </c>
    </row>
    <row r="22">
      <c r="A22" s="10" t="inlineStr">
        <is>
          <t>#46</t>
        </is>
      </c>
      <c r="B22" s="11" t="n">
        <v>58</v>
      </c>
      <c r="C22" s="11" t="n">
        <v>35.294719</v>
      </c>
      <c r="D22" s="11" t="n">
        <v>127.70912</v>
      </c>
      <c r="E22" s="10" t="n">
        <v>88</v>
      </c>
      <c r="F22" s="11" t="inlineStr">
        <is>
          <t>11.3</t>
        </is>
      </c>
      <c r="G22" s="11" t="inlineStr">
        <is>
          <t>14.6</t>
        </is>
      </c>
      <c r="H22" s="11" t="inlineStr">
        <is>
          <t>14.3</t>
        </is>
      </c>
      <c r="I22" s="11" t="inlineStr">
        <is>
          <t>8.0</t>
        </is>
      </c>
      <c r="J22" s="11" t="inlineStr">
        <is>
          <t>4.6</t>
        </is>
      </c>
      <c r="K22" s="11" t="inlineStr">
        <is>
          <t>1475</t>
        </is>
      </c>
      <c r="L22" s="11" t="n">
        <v>0</v>
      </c>
      <c r="M22" s="12">
        <f>HYPERLINK("https://map.naver.com/v5/search/35.294719,127.70912","📍 네이버 #46")</f>
        <v/>
      </c>
      <c r="N22" s="12">
        <f>HYPERLINK("https://map.kakao.com/link/map/P46-1,35.294719,127.70912","📍 카카오 #46")</f>
        <v/>
      </c>
    </row>
    <row r="23">
      <c r="A23" s="4" t="inlineStr">
        <is>
          <t>#57</t>
        </is>
      </c>
      <c r="B23" s="5" t="n">
        <v>58.6</v>
      </c>
      <c r="C23" s="5" t="n">
        <v>35.916691</v>
      </c>
      <c r="D23" s="5" t="n">
        <v>127.788333</v>
      </c>
      <c r="E23" s="4" t="n">
        <v>91.2</v>
      </c>
      <c r="F23" s="5" t="inlineStr">
        <is>
          <t>12.4</t>
        </is>
      </c>
      <c r="G23" s="5" t="inlineStr">
        <is>
          <t>15.0</t>
        </is>
      </c>
      <c r="H23" s="5" t="inlineStr">
        <is>
          <t>14.8</t>
        </is>
      </c>
      <c r="I23" s="5" t="inlineStr">
        <is>
          <t>10.0</t>
        </is>
      </c>
      <c r="J23" s="5" t="inlineStr">
        <is>
          <t>2.5</t>
        </is>
      </c>
      <c r="K23" s="5" t="inlineStr">
        <is>
          <t>1029</t>
        </is>
      </c>
      <c r="L23" s="5" t="n">
        <v>11</v>
      </c>
      <c r="M23" s="6">
        <f>HYPERLINK("https://map.naver.com/v5/search/35.916691,127.788333","📍 네이버 #57")</f>
        <v/>
      </c>
      <c r="N23" s="6">
        <f>HYPERLINK("https://map.kakao.com/link/map/P57-1,35.916691,127.788333","📍 카카오 #57")</f>
        <v/>
      </c>
    </row>
    <row r="24">
      <c r="A24" s="4" t="inlineStr">
        <is>
          <t>#59</t>
        </is>
      </c>
      <c r="B24" s="5" t="n">
        <v>57.7</v>
      </c>
      <c r="C24" s="5" t="n">
        <v>36.592635</v>
      </c>
      <c r="D24" s="5" t="n">
        <v>127.869085</v>
      </c>
      <c r="E24" s="4" t="n">
        <v>90.2</v>
      </c>
      <c r="F24" s="5" t="inlineStr">
        <is>
          <t>13.1</t>
        </is>
      </c>
      <c r="G24" s="5" t="inlineStr">
        <is>
          <t>15.0</t>
        </is>
      </c>
      <c r="H24" s="5" t="inlineStr">
        <is>
          <t>13.4</t>
        </is>
      </c>
      <c r="I24" s="5" t="inlineStr">
        <is>
          <t>8.0</t>
        </is>
      </c>
      <c r="J24" s="5" t="inlineStr">
        <is>
          <t>4.6</t>
        </is>
      </c>
      <c r="K24" s="5" t="inlineStr">
        <is>
          <t>154</t>
        </is>
      </c>
      <c r="L24" s="5" t="n">
        <v>10</v>
      </c>
      <c r="M24" s="6">
        <f>HYPERLINK("https://map.naver.com/v5/search/36.592635,127.869085","📍 네이버 #59")</f>
        <v/>
      </c>
      <c r="N24" s="6">
        <f>HYPERLINK("https://map.kakao.com/link/map/P59-1,36.592635,127.869085","📍 카카오 #59")</f>
        <v/>
      </c>
    </row>
    <row r="25">
      <c r="A25" s="4" t="inlineStr">
        <is>
          <t>#65</t>
        </is>
      </c>
      <c r="B25" s="5" t="n">
        <v>64.5</v>
      </c>
      <c r="C25" s="5" t="n">
        <v>34.834141</v>
      </c>
      <c r="D25" s="5" t="n">
        <v>127.959493</v>
      </c>
      <c r="E25" s="4" t="n">
        <v>95.2</v>
      </c>
      <c r="F25" s="5" t="inlineStr">
        <is>
          <t>15.0</t>
        </is>
      </c>
      <c r="G25" s="5" t="inlineStr">
        <is>
          <t>14.8</t>
        </is>
      </c>
      <c r="H25" s="5" t="inlineStr">
        <is>
          <t>14.9</t>
        </is>
      </c>
      <c r="I25" s="5" t="inlineStr">
        <is>
          <t>10.0</t>
        </is>
      </c>
      <c r="J25" s="5" t="inlineStr">
        <is>
          <t>2.5</t>
        </is>
      </c>
      <c r="K25" s="5" t="inlineStr">
        <is>
          <t>1532</t>
        </is>
      </c>
      <c r="L25" s="5" t="n">
        <v>7</v>
      </c>
      <c r="M25" s="6">
        <f>HYPERLINK("https://map.naver.com/v5/search/34.834141,127.959493","📍 네이버 #65")</f>
        <v/>
      </c>
      <c r="N25" s="6">
        <f>HYPERLINK("https://map.kakao.com/link/map/P65-1,34.834141,127.959493","📍 카카오 #65")</f>
        <v/>
      </c>
    </row>
    <row r="26">
      <c r="A26" s="4" t="inlineStr">
        <is>
          <t>#67</t>
        </is>
      </c>
      <c r="B26" s="5" t="n">
        <v>59.8</v>
      </c>
      <c r="C26" s="5" t="n">
        <v>35.94318</v>
      </c>
      <c r="D26" s="5" t="n">
        <v>127.965822</v>
      </c>
      <c r="E26" s="4" t="n">
        <v>90.7</v>
      </c>
      <c r="F26" s="5" t="inlineStr">
        <is>
          <t>13.8</t>
        </is>
      </c>
      <c r="G26" s="5" t="inlineStr">
        <is>
          <t>14.5</t>
        </is>
      </c>
      <c r="H26" s="5" t="inlineStr">
        <is>
          <t>13.7</t>
        </is>
      </c>
      <c r="I26" s="5" t="inlineStr">
        <is>
          <t>10.0</t>
        </is>
      </c>
      <c r="J26" s="5" t="inlineStr">
        <is>
          <t>2.5</t>
        </is>
      </c>
      <c r="K26" s="5" t="inlineStr">
        <is>
          <t>475</t>
        </is>
      </c>
      <c r="L26" s="5" t="n">
        <v>11</v>
      </c>
      <c r="M26" s="6">
        <f>HYPERLINK("https://map.naver.com/v5/search/35.94318,127.965822","📍 네이버 #67")</f>
        <v/>
      </c>
      <c r="N26" s="6">
        <f>HYPERLINK("https://map.kakao.com/link/map/P67-1,35.94318,127.965822","📍 카카오 #67")</f>
        <v/>
      </c>
    </row>
    <row r="27">
      <c r="A27" s="4" t="inlineStr">
        <is>
          <t>#69</t>
        </is>
      </c>
      <c r="B27" s="5" t="n">
        <v>59.5</v>
      </c>
      <c r="C27" s="5" t="n">
        <v>36.330844</v>
      </c>
      <c r="D27" s="5" t="n">
        <v>127.968115</v>
      </c>
      <c r="E27" s="4" t="n">
        <v>91.59999999999999</v>
      </c>
      <c r="F27" s="5" t="inlineStr">
        <is>
          <t>14.6</t>
        </is>
      </c>
      <c r="G27" s="5" t="inlineStr">
        <is>
          <t>15.0</t>
        </is>
      </c>
      <c r="H27" s="5" t="inlineStr">
        <is>
          <t>13.0</t>
        </is>
      </c>
      <c r="I27" s="5" t="inlineStr">
        <is>
          <t>8.0</t>
        </is>
      </c>
      <c r="J27" s="5" t="inlineStr">
        <is>
          <t>4.3</t>
        </is>
      </c>
      <c r="K27" s="5" t="inlineStr">
        <is>
          <t>247</t>
        </is>
      </c>
      <c r="L27" s="5" t="n">
        <v>16</v>
      </c>
      <c r="M27" s="6">
        <f>HYPERLINK("https://map.naver.com/v5/search/36.330844,127.968115","📍 네이버 #69")</f>
        <v/>
      </c>
      <c r="N27" s="6">
        <f>HYPERLINK("https://map.kakao.com/link/map/P69-1,36.330844,127.968115","📍 카카오 #69")</f>
        <v/>
      </c>
    </row>
    <row r="28">
      <c r="A28" s="4" t="inlineStr">
        <is>
          <t>#70</t>
        </is>
      </c>
      <c r="B28" s="5" t="n">
        <v>57.8</v>
      </c>
      <c r="C28" s="5" t="n">
        <v>36.529172</v>
      </c>
      <c r="D28" s="5" t="n">
        <v>127.969313</v>
      </c>
      <c r="E28" s="4" t="n">
        <v>91</v>
      </c>
      <c r="F28" s="5" t="inlineStr">
        <is>
          <t>12.6</t>
        </is>
      </c>
      <c r="G28" s="5" t="inlineStr">
        <is>
          <t>15.0</t>
        </is>
      </c>
      <c r="H28" s="5" t="inlineStr">
        <is>
          <t>14.4</t>
        </is>
      </c>
      <c r="I28" s="5" t="inlineStr">
        <is>
          <t>8.0</t>
        </is>
      </c>
      <c r="J28" s="5" t="inlineStr">
        <is>
          <t>4.6</t>
        </is>
      </c>
      <c r="K28" s="5" t="inlineStr">
        <is>
          <t>144</t>
        </is>
      </c>
      <c r="L28" s="5" t="n">
        <v>12</v>
      </c>
      <c r="M28" s="6">
        <f>HYPERLINK("https://map.naver.com/v5/search/36.529172,127.969313","📍 네이버 #70")</f>
        <v/>
      </c>
      <c r="N28" s="6">
        <f>HYPERLINK("https://map.kakao.com/link/map/P70-1,36.529172,127.969313","📍 카카오 #70")</f>
        <v/>
      </c>
    </row>
    <row r="29">
      <c r="A29" s="4" t="inlineStr">
        <is>
          <t>#71</t>
        </is>
      </c>
      <c r="B29" s="5" t="n">
        <v>58.9</v>
      </c>
      <c r="C29" s="5" t="n">
        <v>36.673732</v>
      </c>
      <c r="D29" s="5" t="n">
        <v>127.880655</v>
      </c>
      <c r="E29" s="4" t="n">
        <v>92.3</v>
      </c>
      <c r="F29" s="5" t="inlineStr">
        <is>
          <t>13.1</t>
        </is>
      </c>
      <c r="G29" s="5" t="inlineStr">
        <is>
          <t>14.9</t>
        </is>
      </c>
      <c r="H29" s="5" t="inlineStr">
        <is>
          <t>14.5</t>
        </is>
      </c>
      <c r="I29" s="5" t="inlineStr">
        <is>
          <t>8.0</t>
        </is>
      </c>
      <c r="J29" s="5" t="inlineStr">
        <is>
          <t>4.9</t>
        </is>
      </c>
      <c r="K29" s="5" t="inlineStr">
        <is>
          <t>221</t>
        </is>
      </c>
      <c r="L29" s="5" t="n">
        <v>15</v>
      </c>
      <c r="M29" s="6">
        <f>HYPERLINK("https://map.naver.com/v5/search/36.673732,127.880655","📍 네이버 #71")</f>
        <v/>
      </c>
      <c r="N29" s="6">
        <f>HYPERLINK("https://map.kakao.com/link/map/P71-1,36.673732,127.880655","📍 카카오 #71")</f>
        <v/>
      </c>
    </row>
    <row r="30">
      <c r="A30" s="4" t="inlineStr">
        <is>
          <t>#77</t>
        </is>
      </c>
      <c r="B30" s="5" t="n">
        <v>66.5</v>
      </c>
      <c r="C30" s="5" t="n">
        <v>34.725472</v>
      </c>
      <c r="D30" s="5" t="n">
        <v>128.068108</v>
      </c>
      <c r="E30" s="4" t="n">
        <v>94.3</v>
      </c>
      <c r="F30" s="5" t="inlineStr">
        <is>
          <t>15.0</t>
        </is>
      </c>
      <c r="G30" s="5" t="inlineStr">
        <is>
          <t>15.0</t>
        </is>
      </c>
      <c r="H30" s="5" t="inlineStr">
        <is>
          <t>14.1</t>
        </is>
      </c>
      <c r="I30" s="5" t="inlineStr">
        <is>
          <t>10.0</t>
        </is>
      </c>
      <c r="J30" s="5" t="inlineStr">
        <is>
          <t>2.5</t>
        </is>
      </c>
      <c r="K30" s="5" t="inlineStr">
        <is>
          <t>1923</t>
        </is>
      </c>
      <c r="L30" s="5" t="n">
        <v>4</v>
      </c>
      <c r="M30" s="6">
        <f>HYPERLINK("https://map.naver.com/v5/search/34.725472,128.068108","📍 네이버 #77")</f>
        <v/>
      </c>
      <c r="N30" s="6">
        <f>HYPERLINK("https://map.kakao.com/link/map/P77-1,34.725472,128.068108","📍 카카오 #77")</f>
        <v/>
      </c>
    </row>
    <row r="31">
      <c r="A31" s="4" t="inlineStr">
        <is>
          <t>#78</t>
        </is>
      </c>
      <c r="B31" s="5" t="n">
        <v>60.3</v>
      </c>
      <c r="C31" s="5" t="n">
        <v>35.789592</v>
      </c>
      <c r="D31" s="5" t="n">
        <v>128.042382</v>
      </c>
      <c r="E31" s="4" t="n">
        <v>92</v>
      </c>
      <c r="F31" s="5" t="inlineStr">
        <is>
          <t>13.5</t>
        </is>
      </c>
      <c r="G31" s="5" t="inlineStr">
        <is>
          <t>14.4</t>
        </is>
      </c>
      <c r="H31" s="5" t="inlineStr">
        <is>
          <t>14.8</t>
        </is>
      </c>
      <c r="I31" s="5" t="inlineStr">
        <is>
          <t>10.0</t>
        </is>
      </c>
      <c r="J31" s="5" t="inlineStr">
        <is>
          <t>2.5</t>
        </is>
      </c>
      <c r="K31" s="5" t="inlineStr">
        <is>
          <t>75</t>
        </is>
      </c>
      <c r="L31" s="5" t="n">
        <v>11</v>
      </c>
      <c r="M31" s="6">
        <f>HYPERLINK("https://map.naver.com/v5/search/35.789592,128.042382","📍 네이버 #78")</f>
        <v/>
      </c>
      <c r="N31" s="6">
        <f>HYPERLINK("https://map.kakao.com/link/map/P78-1,35.789592,128.042382","📍 카카오 #78")</f>
        <v/>
      </c>
    </row>
    <row r="32">
      <c r="A32" s="4" t="inlineStr">
        <is>
          <t>#84</t>
        </is>
      </c>
      <c r="B32" s="5" t="n">
        <v>58.1</v>
      </c>
      <c r="C32" s="5" t="n">
        <v>37.76351</v>
      </c>
      <c r="D32" s="5" t="n">
        <v>128.101889</v>
      </c>
      <c r="E32" s="4" t="n">
        <v>92.59999999999999</v>
      </c>
      <c r="F32" s="5" t="inlineStr">
        <is>
          <t>13.6</t>
        </is>
      </c>
      <c r="G32" s="5" t="inlineStr">
        <is>
          <t>14.7</t>
        </is>
      </c>
      <c r="H32" s="5" t="inlineStr">
        <is>
          <t>14.6</t>
        </is>
      </c>
      <c r="I32" s="5" t="inlineStr">
        <is>
          <t>8.0</t>
        </is>
      </c>
      <c r="J32" s="5" t="inlineStr">
        <is>
          <t>4.7</t>
        </is>
      </c>
      <c r="K32" s="5" t="inlineStr">
        <is>
          <t>372</t>
        </is>
      </c>
      <c r="L32" s="5" t="n">
        <v>17</v>
      </c>
      <c r="M32" s="6">
        <f>HYPERLINK("https://map.naver.com/v5/search/37.76351,128.101889","📍 네이버 #84")</f>
        <v/>
      </c>
      <c r="N32" s="6">
        <f>HYPERLINK("https://map.kakao.com/link/map/P84-1,37.76351,128.101889","📍 카카오 #84")</f>
        <v/>
      </c>
    </row>
    <row r="33">
      <c r="A33" s="4" t="inlineStr">
        <is>
          <t>#87</t>
        </is>
      </c>
      <c r="B33" s="5" t="n">
        <v>57.7</v>
      </c>
      <c r="C33" s="5" t="n">
        <v>35.807249</v>
      </c>
      <c r="D33" s="5" t="n">
        <v>128.119982</v>
      </c>
      <c r="E33" s="4" t="n">
        <v>90.09999999999999</v>
      </c>
      <c r="F33" s="5" t="inlineStr">
        <is>
          <t>11.8</t>
        </is>
      </c>
      <c r="G33" s="5" t="inlineStr">
        <is>
          <t>14.8</t>
        </is>
      </c>
      <c r="H33" s="5" t="inlineStr">
        <is>
          <t>15.0</t>
        </is>
      </c>
      <c r="I33" s="5" t="inlineStr">
        <is>
          <t>10.0</t>
        </is>
      </c>
      <c r="J33" s="5" t="inlineStr">
        <is>
          <t>2.5</t>
        </is>
      </c>
      <c r="K33" s="5" t="inlineStr">
        <is>
          <t>1588</t>
        </is>
      </c>
      <c r="L33" s="5" t="n">
        <v>12</v>
      </c>
      <c r="M33" s="6">
        <f>HYPERLINK("https://map.naver.com/v5/search/35.807249,128.119982","📍 네이버 #87")</f>
        <v/>
      </c>
      <c r="N33" s="6">
        <f>HYPERLINK("https://map.kakao.com/link/map/P87-1,35.807249,128.119982","📍 카카오 #87")</f>
        <v/>
      </c>
    </row>
    <row r="34">
      <c r="A34" s="4" t="inlineStr">
        <is>
          <t>#88</t>
        </is>
      </c>
      <c r="B34" s="5" t="n">
        <v>58.3</v>
      </c>
      <c r="C34" s="5" t="n">
        <v>35.843305</v>
      </c>
      <c r="D34" s="5" t="n">
        <v>128.120264</v>
      </c>
      <c r="E34" s="4" t="n">
        <v>92.7</v>
      </c>
      <c r="F34" s="5" t="inlineStr">
        <is>
          <t>12.2</t>
        </is>
      </c>
      <c r="G34" s="5" t="inlineStr">
        <is>
          <t>14.8</t>
        </is>
      </c>
      <c r="H34" s="5" t="inlineStr">
        <is>
          <t>13.8</t>
        </is>
      </c>
      <c r="I34" s="5" t="inlineStr">
        <is>
          <t>10.0</t>
        </is>
      </c>
      <c r="J34" s="5" t="inlineStr">
        <is>
          <t>4.9</t>
        </is>
      </c>
      <c r="K34" s="5" t="inlineStr">
        <is>
          <t>913</t>
        </is>
      </c>
      <c r="L34" s="5" t="n">
        <v>11</v>
      </c>
      <c r="M34" s="6">
        <f>HYPERLINK("https://map.naver.com/v5/search/35.843305,128.120264","📍 네이버 #88")</f>
        <v/>
      </c>
      <c r="N34" s="6">
        <f>HYPERLINK("https://map.kakao.com/link/map/P88-1,35.843305,128.120264","📍 카카오 #88")</f>
        <v/>
      </c>
    </row>
    <row r="35">
      <c r="A35" s="4" t="inlineStr">
        <is>
          <t>#89</t>
        </is>
      </c>
      <c r="B35" s="5" t="n">
        <v>58.6</v>
      </c>
      <c r="C35" s="5" t="n">
        <v>36.843776</v>
      </c>
      <c r="D35" s="5" t="n">
        <v>128.161902</v>
      </c>
      <c r="E35" s="4" t="n">
        <v>90.2</v>
      </c>
      <c r="F35" s="5" t="inlineStr">
        <is>
          <t>11.9</t>
        </is>
      </c>
      <c r="G35" s="5" t="inlineStr">
        <is>
          <t>15.0</t>
        </is>
      </c>
      <c r="H35" s="5" t="inlineStr">
        <is>
          <t>14.6</t>
        </is>
      </c>
      <c r="I35" s="5" t="inlineStr">
        <is>
          <t>8.0</t>
        </is>
      </c>
      <c r="J35" s="5" t="inlineStr">
        <is>
          <t>4.6</t>
        </is>
      </c>
      <c r="K35" s="5" t="inlineStr">
        <is>
          <t>1404</t>
        </is>
      </c>
      <c r="L35" s="5" t="n">
        <v>11</v>
      </c>
      <c r="M35" s="6">
        <f>HYPERLINK("https://map.naver.com/v5/search/36.843776,128.161902","📍 네이버 #89")</f>
        <v/>
      </c>
      <c r="N35" s="6">
        <f>HYPERLINK("https://map.kakao.com/link/map/P89-1,36.843776,128.161902","📍 카카오 #89")</f>
        <v/>
      </c>
    </row>
    <row r="36">
      <c r="A36" s="4" t="inlineStr">
        <is>
          <t>#94</t>
        </is>
      </c>
      <c r="B36" s="5" t="n">
        <v>57.7</v>
      </c>
      <c r="C36" s="5" t="n">
        <v>37.681895</v>
      </c>
      <c r="D36" s="5" t="n">
        <v>128.191952</v>
      </c>
      <c r="E36" s="4" t="n">
        <v>91</v>
      </c>
      <c r="F36" s="5" t="inlineStr">
        <is>
          <t>13.2</t>
        </is>
      </c>
      <c r="G36" s="5" t="inlineStr">
        <is>
          <t>14.9</t>
        </is>
      </c>
      <c r="H36" s="5" t="inlineStr">
        <is>
          <t>13.9</t>
        </is>
      </c>
      <c r="I36" s="5" t="inlineStr">
        <is>
          <t>8.0</t>
        </is>
      </c>
      <c r="J36" s="5" t="inlineStr">
        <is>
          <t>4.7</t>
        </is>
      </c>
      <c r="K36" s="5" t="inlineStr">
        <is>
          <t>507</t>
        </is>
      </c>
      <c r="L36" s="5" t="n">
        <v>22</v>
      </c>
      <c r="M36" s="6">
        <f>HYPERLINK("https://map.naver.com/v5/search/37.681895,128.191952","📍 네이버 #94")</f>
        <v/>
      </c>
      <c r="N36" s="6">
        <f>HYPERLINK("https://map.kakao.com/link/map/P94-1,37.681895,128.191952","📍 카카오 #94")</f>
        <v/>
      </c>
    </row>
    <row r="37">
      <c r="A37" s="4" t="inlineStr">
        <is>
          <t>#98</t>
        </is>
      </c>
      <c r="B37" s="5" t="n">
        <v>60.8</v>
      </c>
      <c r="C37" s="5" t="n">
        <v>35.689285</v>
      </c>
      <c r="D37" s="5" t="n">
        <v>128.251695</v>
      </c>
      <c r="E37" s="4" t="n">
        <v>91.09999999999999</v>
      </c>
      <c r="F37" s="5" t="inlineStr">
        <is>
          <t>14.0</t>
        </is>
      </c>
      <c r="G37" s="5" t="inlineStr">
        <is>
          <t>15.0</t>
        </is>
      </c>
      <c r="H37" s="5" t="inlineStr">
        <is>
          <t>13.2</t>
        </is>
      </c>
      <c r="I37" s="5" t="inlineStr">
        <is>
          <t>10.0</t>
        </is>
      </c>
      <c r="J37" s="5" t="inlineStr">
        <is>
          <t>2.5</t>
        </is>
      </c>
      <c r="K37" s="5" t="inlineStr">
        <is>
          <t>269</t>
        </is>
      </c>
      <c r="L37" s="5" t="n">
        <v>19</v>
      </c>
      <c r="M37" s="6">
        <f>HYPERLINK("https://map.naver.com/v5/search/35.689285,128.251695","📍 네이버 #98")</f>
        <v/>
      </c>
      <c r="N37" s="6">
        <f>HYPERLINK("https://map.kakao.com/link/map/P98-1,35.689285,128.251695","📍 카카오 #98")</f>
        <v/>
      </c>
    </row>
    <row r="38">
      <c r="A38" s="4" t="inlineStr">
        <is>
          <t>#102</t>
        </is>
      </c>
      <c r="B38" s="5" t="n">
        <v>58.8</v>
      </c>
      <c r="C38" s="5" t="n">
        <v>37.798492</v>
      </c>
      <c r="D38" s="5" t="n">
        <v>128.283916</v>
      </c>
      <c r="E38" s="4" t="n">
        <v>93.09999999999999</v>
      </c>
      <c r="F38" s="5" t="inlineStr">
        <is>
          <t>13.8</t>
        </is>
      </c>
      <c r="G38" s="5" t="inlineStr">
        <is>
          <t>15.0</t>
        </is>
      </c>
      <c r="H38" s="5" t="inlineStr">
        <is>
          <t>14.5</t>
        </is>
      </c>
      <c r="I38" s="5" t="inlineStr">
        <is>
          <t>8.0</t>
        </is>
      </c>
      <c r="J38" s="5" t="inlineStr">
        <is>
          <t>4.5</t>
        </is>
      </c>
      <c r="K38" s="5" t="inlineStr">
        <is>
          <t>1180</t>
        </is>
      </c>
      <c r="L38" s="5" t="n">
        <v>13</v>
      </c>
      <c r="M38" s="6">
        <f>HYPERLINK("https://map.naver.com/v5/search/37.798492,128.283916","📍 네이버 #102")</f>
        <v/>
      </c>
      <c r="N38" s="6">
        <f>HYPERLINK("https://map.kakao.com/link/map/P102-1,37.798492,128.283916","📍 카카오 #102")</f>
        <v/>
      </c>
    </row>
    <row r="39">
      <c r="A39" s="4" t="inlineStr">
        <is>
          <t>#108</t>
        </is>
      </c>
      <c r="B39" s="5" t="n">
        <v>62.1</v>
      </c>
      <c r="C39" s="5" t="n">
        <v>34.841263</v>
      </c>
      <c r="D39" s="5" t="n">
        <v>128.320461</v>
      </c>
      <c r="E39" s="4" t="n">
        <v>94.3</v>
      </c>
      <c r="F39" s="5" t="inlineStr">
        <is>
          <t>15.0</t>
        </is>
      </c>
      <c r="G39" s="5" t="inlineStr">
        <is>
          <t>15.0</t>
        </is>
      </c>
      <c r="H39" s="5" t="inlineStr">
        <is>
          <t>14.9</t>
        </is>
      </c>
      <c r="I39" s="5" t="inlineStr">
        <is>
          <t>7.0</t>
        </is>
      </c>
      <c r="J39" s="5" t="inlineStr">
        <is>
          <t>4.7</t>
        </is>
      </c>
      <c r="K39" s="5" t="inlineStr">
        <is>
          <t>1930</t>
        </is>
      </c>
      <c r="L39" s="5" t="n">
        <v>9</v>
      </c>
      <c r="M39" s="6">
        <f>HYPERLINK("https://map.naver.com/v5/search/34.841263,128.320461","📍 네이버 #108")</f>
        <v/>
      </c>
      <c r="N39" s="6">
        <f>HYPERLINK("https://map.kakao.com/link/map/P108-1,34.841263,128.320461","📍 카카오 #108")</f>
        <v/>
      </c>
    </row>
    <row r="40">
      <c r="A40" s="4" t="inlineStr">
        <is>
          <t>#119</t>
        </is>
      </c>
      <c r="B40" s="5" t="n">
        <v>60.3</v>
      </c>
      <c r="C40" s="5" t="n">
        <v>36.48116</v>
      </c>
      <c r="D40" s="5" t="n">
        <v>128.460209</v>
      </c>
      <c r="E40" s="4" t="n">
        <v>92.40000000000001</v>
      </c>
      <c r="F40" s="5" t="inlineStr">
        <is>
          <t>12.7</t>
        </is>
      </c>
      <c r="G40" s="5" t="inlineStr">
        <is>
          <t>15.0</t>
        </is>
      </c>
      <c r="H40" s="5" t="inlineStr">
        <is>
          <t>14.9</t>
        </is>
      </c>
      <c r="I40" s="5" t="inlineStr">
        <is>
          <t>8.0</t>
        </is>
      </c>
      <c r="J40" s="5" t="inlineStr">
        <is>
          <t>4.7</t>
        </is>
      </c>
      <c r="K40" s="5" t="inlineStr">
        <is>
          <t>242</t>
        </is>
      </c>
      <c r="L40" s="5" t="n">
        <v>15</v>
      </c>
      <c r="M40" s="6">
        <f>HYPERLINK("https://map.naver.com/v5/search/36.48116,128.460209","📍 네이버 #119")</f>
        <v/>
      </c>
      <c r="N40" s="6">
        <f>HYPERLINK("https://map.kakao.com/link/map/P119-1,36.48116,128.460209","📍 카카오 #119")</f>
        <v/>
      </c>
    </row>
    <row r="41">
      <c r="A41" s="4" t="inlineStr">
        <is>
          <t>#125</t>
        </is>
      </c>
      <c r="B41" s="5" t="n">
        <v>59.3</v>
      </c>
      <c r="C41" s="5" t="n">
        <v>37.752173</v>
      </c>
      <c r="D41" s="5" t="n">
        <v>128.45369</v>
      </c>
      <c r="E41" s="4" t="n">
        <v>85.59999999999999</v>
      </c>
      <c r="F41" s="5" t="inlineStr">
        <is>
          <t>11.6</t>
        </is>
      </c>
      <c r="G41" s="5" t="inlineStr">
        <is>
          <t>14.9</t>
        </is>
      </c>
      <c r="H41" s="5" t="inlineStr">
        <is>
          <t>14.4</t>
        </is>
      </c>
      <c r="I41" s="5" t="inlineStr">
        <is>
          <t>8.0</t>
        </is>
      </c>
      <c r="J41" s="5" t="inlineStr">
        <is>
          <t>2.5</t>
        </is>
      </c>
      <c r="K41" s="5" t="inlineStr">
        <is>
          <t>1544</t>
        </is>
      </c>
      <c r="L41" s="5" t="n">
        <v>11</v>
      </c>
      <c r="M41" s="6">
        <f>HYPERLINK("https://map.naver.com/v5/search/37.752173,128.45369","📍 네이버 #125")</f>
        <v/>
      </c>
      <c r="N41" s="6">
        <f>HYPERLINK("https://map.kakao.com/link/map/P125-1,37.752173,128.45369","📍 카카오 #125")</f>
        <v/>
      </c>
    </row>
    <row r="42">
      <c r="A42" s="4" t="inlineStr">
        <is>
          <t>#126</t>
        </is>
      </c>
      <c r="B42" s="5" t="n">
        <v>58.3</v>
      </c>
      <c r="C42" s="5" t="n">
        <v>37.91429</v>
      </c>
      <c r="D42" s="5" t="n">
        <v>128.467163</v>
      </c>
      <c r="E42" s="4" t="n">
        <v>88.3</v>
      </c>
      <c r="F42" s="5" t="inlineStr">
        <is>
          <t>11.9</t>
        </is>
      </c>
      <c r="G42" s="5" t="inlineStr">
        <is>
          <t>14.6</t>
        </is>
      </c>
      <c r="H42" s="5" t="inlineStr">
        <is>
          <t>14.3</t>
        </is>
      </c>
      <c r="I42" s="5" t="inlineStr">
        <is>
          <t>8.0</t>
        </is>
      </c>
      <c r="J42" s="5" t="inlineStr">
        <is>
          <t>4.1</t>
        </is>
      </c>
      <c r="K42" s="5" t="inlineStr">
        <is>
          <t>1816</t>
        </is>
      </c>
      <c r="L42" s="5" t="n">
        <v>14</v>
      </c>
      <c r="M42" s="6">
        <f>HYPERLINK("https://map.naver.com/v5/search/37.91429,128.467163","📍 네이버 #126")</f>
        <v/>
      </c>
      <c r="N42" s="6">
        <f>HYPERLINK("https://map.kakao.com/link/map/P126-1,37.91429,128.467163","📍 카카오 #126")</f>
        <v/>
      </c>
    </row>
    <row r="43">
      <c r="A43" s="4" t="inlineStr">
        <is>
          <t>#128</t>
        </is>
      </c>
      <c r="B43" s="5" t="n">
        <v>58.6</v>
      </c>
      <c r="C43" s="5" t="n">
        <v>38.373389</v>
      </c>
      <c r="D43" s="5" t="n">
        <v>128.53048</v>
      </c>
      <c r="E43" s="4" t="n">
        <v>89.09999999999999</v>
      </c>
      <c r="F43" s="5" t="inlineStr">
        <is>
          <t>15.0</t>
        </is>
      </c>
      <c r="G43" s="5" t="inlineStr">
        <is>
          <t>15.0</t>
        </is>
      </c>
      <c r="H43" s="5" t="inlineStr">
        <is>
          <t>15.0</t>
        </is>
      </c>
      <c r="I43" s="5" t="inlineStr">
        <is>
          <t>6.0</t>
        </is>
      </c>
      <c r="J43" s="5" t="inlineStr">
        <is>
          <t>2.5</t>
        </is>
      </c>
      <c r="K43" s="5" t="inlineStr">
        <is>
          <t>1650</t>
        </is>
      </c>
      <c r="L43" s="5" t="n">
        <v>5</v>
      </c>
      <c r="M43" s="6">
        <f>HYPERLINK("https://map.naver.com/v5/search/38.373389,128.53048","📍 네이버 #128")</f>
        <v/>
      </c>
      <c r="N43" s="6">
        <f>HYPERLINK("https://map.kakao.com/link/map/P128-1,38.373389,128.53048","📍 카카오 #128")</f>
        <v/>
      </c>
    </row>
    <row r="44">
      <c r="A44" s="4" t="inlineStr">
        <is>
          <t>#129</t>
        </is>
      </c>
      <c r="B44" s="5" t="n">
        <v>65.59999999999999</v>
      </c>
      <c r="C44" s="5" t="n">
        <v>34.992385</v>
      </c>
      <c r="D44" s="5" t="n">
        <v>128.595901</v>
      </c>
      <c r="E44" s="4" t="n">
        <v>99.90000000000001</v>
      </c>
      <c r="F44" s="5" t="inlineStr">
        <is>
          <t>15.0</t>
        </is>
      </c>
      <c r="G44" s="5" t="inlineStr">
        <is>
          <t>15.0</t>
        </is>
      </c>
      <c r="H44" s="5" t="inlineStr">
        <is>
          <t>15.0</t>
        </is>
      </c>
      <c r="I44" s="5" t="inlineStr">
        <is>
          <t>10.0</t>
        </is>
      </c>
      <c r="J44" s="5" t="inlineStr">
        <is>
          <t>5.0</t>
        </is>
      </c>
      <c r="K44" s="5" t="inlineStr">
        <is>
          <t>1999</t>
        </is>
      </c>
      <c r="L44" s="5" t="n">
        <v>5</v>
      </c>
      <c r="M44" s="6">
        <f>HYPERLINK("https://map.naver.com/v5/search/34.992385,128.595901","📍 네이버 #129")</f>
        <v/>
      </c>
      <c r="N44" s="6">
        <f>HYPERLINK("https://map.kakao.com/link/map/P129-1,34.992385,128.595901","📍 카카오 #129")</f>
        <v/>
      </c>
    </row>
    <row r="45">
      <c r="A45" s="4" t="inlineStr">
        <is>
          <t>#130</t>
        </is>
      </c>
      <c r="B45" s="5" t="n">
        <v>57.7</v>
      </c>
      <c r="C45" s="5" t="n">
        <v>35.777102</v>
      </c>
      <c r="D45" s="5" t="n">
        <v>128.562307</v>
      </c>
      <c r="E45" s="4" t="n">
        <v>86.8</v>
      </c>
      <c r="F45" s="5" t="inlineStr">
        <is>
          <t>10.9</t>
        </is>
      </c>
      <c r="G45" s="5" t="inlineStr">
        <is>
          <t>11.6</t>
        </is>
      </c>
      <c r="H45" s="5" t="inlineStr">
        <is>
          <t>15.0</t>
        </is>
      </c>
      <c r="I45" s="5" t="inlineStr">
        <is>
          <t>10.0</t>
        </is>
      </c>
      <c r="J45" s="5" t="inlineStr">
        <is>
          <t>4.6</t>
        </is>
      </c>
      <c r="K45" s="5" t="inlineStr">
        <is>
          <t>1108</t>
        </is>
      </c>
      <c r="L45" s="5" t="n">
        <v>19</v>
      </c>
      <c r="M45" s="6">
        <f>HYPERLINK("https://map.naver.com/v5/search/35.777102,128.562307","📍 네이버 #130")</f>
        <v/>
      </c>
      <c r="N45" s="6">
        <f>HYPERLINK("https://map.kakao.com/link/map/P130-1,35.777102,128.562307","📍 카카오 #130")</f>
        <v/>
      </c>
    </row>
    <row r="46">
      <c r="A46" s="4" t="inlineStr">
        <is>
          <t>#138</t>
        </is>
      </c>
      <c r="B46" s="5" t="n">
        <v>69.7</v>
      </c>
      <c r="C46" s="5" t="n">
        <v>34.756833</v>
      </c>
      <c r="D46" s="5" t="n">
        <v>128.712959</v>
      </c>
      <c r="E46" s="4" t="n">
        <v>99.7</v>
      </c>
      <c r="F46" s="5" t="inlineStr">
        <is>
          <t>15.0</t>
        </is>
      </c>
      <c r="G46" s="5" t="inlineStr">
        <is>
          <t>15.0</t>
        </is>
      </c>
      <c r="H46" s="5" t="inlineStr">
        <is>
          <t>15.0</t>
        </is>
      </c>
      <c r="I46" s="5" t="inlineStr">
        <is>
          <t>10.0</t>
        </is>
      </c>
      <c r="J46" s="5" t="inlineStr">
        <is>
          <t>4.8</t>
        </is>
      </c>
      <c r="K46" s="5" t="inlineStr">
        <is>
          <t>1339</t>
        </is>
      </c>
      <c r="L46" s="5" t="n">
        <v>6</v>
      </c>
      <c r="M46" s="6">
        <f>HYPERLINK("https://map.naver.com/v5/search/34.756833,128.712959","📍 네이버 #138")</f>
        <v/>
      </c>
      <c r="N46" s="6">
        <f>HYPERLINK("https://map.kakao.com/link/map/P138-1,34.756833,128.712959","📍 카카오 #138")</f>
        <v/>
      </c>
    </row>
    <row r="47">
      <c r="A47" s="4" t="inlineStr">
        <is>
          <t>#144</t>
        </is>
      </c>
      <c r="B47" s="5" t="n">
        <v>60</v>
      </c>
      <c r="C47" s="5" t="n">
        <v>36.47725</v>
      </c>
      <c r="D47" s="5" t="n">
        <v>128.862006</v>
      </c>
      <c r="E47" s="4" t="n">
        <v>93.5</v>
      </c>
      <c r="F47" s="5" t="inlineStr">
        <is>
          <t>12.2</t>
        </is>
      </c>
      <c r="G47" s="5" t="inlineStr">
        <is>
          <t>15.0</t>
        </is>
      </c>
      <c r="H47" s="5" t="inlineStr">
        <is>
          <t>15.0</t>
        </is>
      </c>
      <c r="I47" s="5" t="inlineStr">
        <is>
          <t>10.0</t>
        </is>
      </c>
      <c r="J47" s="5" t="inlineStr">
        <is>
          <t>3.9</t>
        </is>
      </c>
      <c r="K47" s="5" t="inlineStr">
        <is>
          <t>1165</t>
        </is>
      </c>
      <c r="L47" s="5" t="n">
        <v>14</v>
      </c>
      <c r="M47" s="6">
        <f>HYPERLINK("https://map.naver.com/v5/search/36.47725,128.862006","📍 네이버 #144")</f>
        <v/>
      </c>
      <c r="N47" s="6">
        <f>HYPERLINK("https://map.kakao.com/link/map/P144-1,36.47725,128.862006","📍 카카오 #144")</f>
        <v/>
      </c>
    </row>
    <row r="48">
      <c r="A48" s="4" t="inlineStr">
        <is>
          <t>#145</t>
        </is>
      </c>
      <c r="B48" s="5" t="n">
        <v>57.7</v>
      </c>
      <c r="C48" s="5" t="n">
        <v>36.721342</v>
      </c>
      <c r="D48" s="5" t="n">
        <v>128.799121</v>
      </c>
      <c r="E48" s="4" t="n">
        <v>93.40000000000001</v>
      </c>
      <c r="F48" s="5" t="inlineStr">
        <is>
          <t>14.0</t>
        </is>
      </c>
      <c r="G48" s="5" t="inlineStr">
        <is>
          <t>15.0</t>
        </is>
      </c>
      <c r="H48" s="5" t="inlineStr">
        <is>
          <t>14.1</t>
        </is>
      </c>
      <c r="I48" s="5" t="inlineStr">
        <is>
          <t>8.0</t>
        </is>
      </c>
      <c r="J48" s="5" t="inlineStr">
        <is>
          <t>5.0</t>
        </is>
      </c>
      <c r="K48" s="5" t="inlineStr">
        <is>
          <t>318</t>
        </is>
      </c>
      <c r="L48" s="5" t="n">
        <v>15</v>
      </c>
      <c r="M48" s="6">
        <f>HYPERLINK("https://map.naver.com/v5/search/36.721342,128.799121","📍 네이버 #145")</f>
        <v/>
      </c>
      <c r="N48" s="6">
        <f>HYPERLINK("https://map.kakao.com/link/map/P145-1,36.721342,128.799121","📍 카카오 #145")</f>
        <v/>
      </c>
    </row>
    <row r="49">
      <c r="A49" s="4" t="inlineStr">
        <is>
          <t>#149</t>
        </is>
      </c>
      <c r="B49" s="5" t="n">
        <v>60</v>
      </c>
      <c r="C49" s="5" t="n">
        <v>35.629109</v>
      </c>
      <c r="D49" s="5" t="n">
        <v>128.924769</v>
      </c>
      <c r="E49" s="4" t="n">
        <v>92.40000000000001</v>
      </c>
      <c r="F49" s="5" t="inlineStr">
        <is>
          <t>11.0</t>
        </is>
      </c>
      <c r="G49" s="5" t="inlineStr">
        <is>
          <t>15.0</t>
        </is>
      </c>
      <c r="H49" s="5" t="inlineStr">
        <is>
          <t>14.5</t>
        </is>
      </c>
      <c r="I49" s="5" t="inlineStr">
        <is>
          <t>10.0</t>
        </is>
      </c>
      <c r="J49" s="5" t="inlineStr">
        <is>
          <t>4.9</t>
        </is>
      </c>
      <c r="K49" s="5" t="inlineStr">
        <is>
          <t>1434</t>
        </is>
      </c>
      <c r="L49" s="5" t="n">
        <v>14</v>
      </c>
      <c r="M49" s="6">
        <f>HYPERLINK("https://map.naver.com/v5/search/35.629109,128.924769","📍 네이버 #149")</f>
        <v/>
      </c>
      <c r="N49" s="6">
        <f>HYPERLINK("https://map.kakao.com/link/map/P149-1,35.629109,128.924769","📍 카카오 #149")</f>
        <v/>
      </c>
    </row>
    <row r="50">
      <c r="A50" s="4" t="inlineStr">
        <is>
          <t>#150</t>
        </is>
      </c>
      <c r="B50" s="5" t="n">
        <v>61.6</v>
      </c>
      <c r="C50" s="5" t="n">
        <v>37.044624</v>
      </c>
      <c r="D50" s="5" t="n">
        <v>128.905815</v>
      </c>
      <c r="E50" s="4" t="n">
        <v>95.8</v>
      </c>
      <c r="F50" s="5" t="inlineStr">
        <is>
          <t>13.1</t>
        </is>
      </c>
      <c r="G50" s="5" t="inlineStr">
        <is>
          <t>14.6</t>
        </is>
      </c>
      <c r="H50" s="5" t="inlineStr">
        <is>
          <t>15.0</t>
        </is>
      </c>
      <c r="I50" s="5" t="inlineStr">
        <is>
          <t>10.0</t>
        </is>
      </c>
      <c r="J50" s="5" t="inlineStr">
        <is>
          <t>4.8</t>
        </is>
      </c>
      <c r="K50" s="5" t="inlineStr">
        <is>
          <t>1496</t>
        </is>
      </c>
      <c r="L50" s="5" t="n">
        <v>4</v>
      </c>
      <c r="M50" s="6">
        <f>HYPERLINK("https://map.naver.com/v5/search/37.044624,128.905815","📍 네이버 #150")</f>
        <v/>
      </c>
      <c r="N50" s="6">
        <f>HYPERLINK("https://map.kakao.com/link/map/P150-1,37.044624,128.905815","📍 카카오 #150")</f>
        <v/>
      </c>
    </row>
    <row r="51">
      <c r="A51" s="4" t="inlineStr">
        <is>
          <t>#152</t>
        </is>
      </c>
      <c r="B51" s="5" t="n">
        <v>60.6</v>
      </c>
      <c r="C51" s="5" t="n">
        <v>37.386786</v>
      </c>
      <c r="D51" s="5" t="n">
        <v>128.934764</v>
      </c>
      <c r="E51" s="4" t="n">
        <v>94.59999999999999</v>
      </c>
      <c r="F51" s="5" t="inlineStr">
        <is>
          <t>13.5</t>
        </is>
      </c>
      <c r="G51" s="5" t="inlineStr">
        <is>
          <t>14.8</t>
        </is>
      </c>
      <c r="H51" s="5" t="inlineStr">
        <is>
          <t>14.3</t>
        </is>
      </c>
      <c r="I51" s="5" t="inlineStr">
        <is>
          <t>10.0</t>
        </is>
      </c>
      <c r="J51" s="5" t="inlineStr">
        <is>
          <t>4.2</t>
        </is>
      </c>
      <c r="K51" s="5" t="inlineStr">
        <is>
          <t>252</t>
        </is>
      </c>
      <c r="L51" s="5" t="n">
        <v>14</v>
      </c>
      <c r="M51" s="6">
        <f>HYPERLINK("https://map.naver.com/v5/search/37.386786,128.934764","📍 네이버 #152")</f>
        <v/>
      </c>
      <c r="N51" s="6">
        <f>HYPERLINK("https://map.kakao.com/link/map/P152-1,37.386786,128.934764","📍 카카오 #152")</f>
        <v/>
      </c>
    </row>
    <row r="52">
      <c r="A52" s="4" t="inlineStr">
        <is>
          <t>#154</t>
        </is>
      </c>
      <c r="B52" s="5" t="n">
        <v>58.6</v>
      </c>
      <c r="C52" s="5" t="n">
        <v>35.537617</v>
      </c>
      <c r="D52" s="5" t="n">
        <v>129.033447</v>
      </c>
      <c r="E52" s="4" t="n">
        <v>90.90000000000001</v>
      </c>
      <c r="F52" s="5" t="inlineStr">
        <is>
          <t>11.8</t>
        </is>
      </c>
      <c r="G52" s="5" t="inlineStr">
        <is>
          <t>14.5</t>
        </is>
      </c>
      <c r="H52" s="5" t="inlineStr">
        <is>
          <t>13.9</t>
        </is>
      </c>
      <c r="I52" s="5" t="inlineStr">
        <is>
          <t>10.0</t>
        </is>
      </c>
      <c r="J52" s="5" t="inlineStr">
        <is>
          <t>4.3</t>
        </is>
      </c>
      <c r="K52" s="5" t="inlineStr">
        <is>
          <t>1317</t>
        </is>
      </c>
      <c r="L52" s="5" t="n">
        <v>13</v>
      </c>
      <c r="M52" s="6">
        <f>HYPERLINK("https://map.naver.com/v5/search/35.537617,129.033447","📍 네이버 #154")</f>
        <v/>
      </c>
      <c r="N52" s="6">
        <f>HYPERLINK("https://map.kakao.com/link/map/P154-1,35.537617,129.033447","📍 카카오 #154")</f>
        <v/>
      </c>
    </row>
    <row r="53">
      <c r="A53" s="4" t="inlineStr">
        <is>
          <t>#155</t>
        </is>
      </c>
      <c r="B53" s="5" t="n">
        <v>61.5</v>
      </c>
      <c r="C53" s="5" t="n">
        <v>35.663807</v>
      </c>
      <c r="D53" s="5" t="n">
        <v>129.035857</v>
      </c>
      <c r="E53" s="4" t="n">
        <v>93.09999999999999</v>
      </c>
      <c r="F53" s="5" t="inlineStr">
        <is>
          <t>11.9</t>
        </is>
      </c>
      <c r="G53" s="5" t="inlineStr">
        <is>
          <t>14.1</t>
        </is>
      </c>
      <c r="H53" s="5" t="inlineStr">
        <is>
          <t>14.9</t>
        </is>
      </c>
      <c r="I53" s="5" t="inlineStr">
        <is>
          <t>10.0</t>
        </is>
      </c>
      <c r="J53" s="5" t="inlineStr">
        <is>
          <t>4.9</t>
        </is>
      </c>
      <c r="K53" s="5" t="inlineStr">
        <is>
          <t>1115</t>
        </is>
      </c>
      <c r="L53" s="5" t="n">
        <v>14</v>
      </c>
      <c r="M53" s="6">
        <f>HYPERLINK("https://map.naver.com/v5/search/35.663807,129.035857","📍 네이버 #155")</f>
        <v/>
      </c>
      <c r="N53" s="6">
        <f>HYPERLINK("https://map.kakao.com/link/map/P155-1,35.663807,129.035857","📍 카카오 #155")</f>
        <v/>
      </c>
    </row>
    <row r="54">
      <c r="A54" s="4" t="inlineStr">
        <is>
          <t>#156</t>
        </is>
      </c>
      <c r="B54" s="5" t="n">
        <v>59</v>
      </c>
      <c r="C54" s="5" t="n">
        <v>35.754356</v>
      </c>
      <c r="D54" s="5" t="n">
        <v>129.004415</v>
      </c>
      <c r="E54" s="4" t="n">
        <v>92.8</v>
      </c>
      <c r="F54" s="5" t="inlineStr">
        <is>
          <t>14.4</t>
        </is>
      </c>
      <c r="G54" s="5" t="inlineStr">
        <is>
          <t>14.0</t>
        </is>
      </c>
      <c r="H54" s="5" t="inlineStr">
        <is>
          <t>12.4</t>
        </is>
      </c>
      <c r="I54" s="5" t="inlineStr">
        <is>
          <t>10.0</t>
        </is>
      </c>
      <c r="J54" s="5" t="inlineStr">
        <is>
          <t>4.9</t>
        </is>
      </c>
      <c r="K54" s="5" t="inlineStr">
        <is>
          <t>73</t>
        </is>
      </c>
      <c r="L54" s="5" t="n">
        <v>15</v>
      </c>
      <c r="M54" s="6">
        <f>HYPERLINK("https://map.naver.com/v5/search/35.754356,129.004415","📍 네이버 #156")</f>
        <v/>
      </c>
      <c r="N54" s="6">
        <f>HYPERLINK("https://map.kakao.com/link/map/P156-1,35.754356,129.004415","📍 카카오 #156")</f>
        <v/>
      </c>
    </row>
    <row r="55">
      <c r="A55" s="4" t="inlineStr">
        <is>
          <t>#157</t>
        </is>
      </c>
      <c r="B55" s="5" t="n">
        <v>62.5</v>
      </c>
      <c r="C55" s="5" t="n">
        <v>36.132472</v>
      </c>
      <c r="D55" s="5" t="n">
        <v>129.044937</v>
      </c>
      <c r="E55" s="4" t="n">
        <v>92.5</v>
      </c>
      <c r="F55" s="5" t="inlineStr">
        <is>
          <t>12.3</t>
        </is>
      </c>
      <c r="G55" s="5" t="inlineStr">
        <is>
          <t>14.5</t>
        </is>
      </c>
      <c r="H55" s="5" t="inlineStr">
        <is>
          <t>13.8</t>
        </is>
      </c>
      <c r="I55" s="5" t="inlineStr">
        <is>
          <t>10.0</t>
        </is>
      </c>
      <c r="J55" s="5" t="inlineStr">
        <is>
          <t>4.9</t>
        </is>
      </c>
      <c r="K55" s="5" t="inlineStr">
        <is>
          <t>22</t>
        </is>
      </c>
      <c r="L55" s="5" t="n">
        <v>24</v>
      </c>
      <c r="M55" s="6">
        <f>HYPERLINK("https://map.naver.com/v5/search/36.132472,129.044937","📍 네이버 #157")</f>
        <v/>
      </c>
      <c r="N55" s="6">
        <f>HYPERLINK("https://map.kakao.com/link/map/P157-1,36.132472,129.044937","📍 카카오 #157")</f>
        <v/>
      </c>
    </row>
    <row r="56">
      <c r="A56" s="4" t="inlineStr">
        <is>
          <t>#160</t>
        </is>
      </c>
      <c r="B56" s="5" t="n">
        <v>60.3</v>
      </c>
      <c r="C56" s="5" t="n">
        <v>36.428376</v>
      </c>
      <c r="D56" s="5" t="n">
        <v>129.162328</v>
      </c>
      <c r="E56" s="4" t="n">
        <v>93.8</v>
      </c>
      <c r="F56" s="5" t="inlineStr">
        <is>
          <t>11.4</t>
        </is>
      </c>
      <c r="G56" s="5" t="inlineStr">
        <is>
          <t>15.0</t>
        </is>
      </c>
      <c r="H56" s="5" t="inlineStr">
        <is>
          <t>15.0</t>
        </is>
      </c>
      <c r="I56" s="5" t="inlineStr">
        <is>
          <t>10.0</t>
        </is>
      </c>
      <c r="J56" s="5" t="inlineStr">
        <is>
          <t>4.9</t>
        </is>
      </c>
      <c r="K56" s="5" t="inlineStr">
        <is>
          <t>1428</t>
        </is>
      </c>
      <c r="L56" s="5" t="n">
        <v>15</v>
      </c>
      <c r="M56" s="6">
        <f>HYPERLINK("https://map.naver.com/v5/search/36.428376,129.162328","📍 네이버 #160")</f>
        <v/>
      </c>
      <c r="N56" s="6">
        <f>HYPERLINK("https://map.kakao.com/link/map/P160-1,36.428376,129.162328","📍 카카오 #160")</f>
        <v/>
      </c>
    </row>
    <row r="57">
      <c r="A57" s="4" t="inlineStr">
        <is>
          <t>#161</t>
        </is>
      </c>
      <c r="B57" s="5" t="n">
        <v>58.3</v>
      </c>
      <c r="C57" s="5" t="n">
        <v>36.680057</v>
      </c>
      <c r="D57" s="5" t="n">
        <v>129.212499</v>
      </c>
      <c r="E57" s="4" t="n">
        <v>93.8</v>
      </c>
      <c r="F57" s="5" t="inlineStr">
        <is>
          <t>12.7</t>
        </is>
      </c>
      <c r="G57" s="5" t="inlineStr">
        <is>
          <t>14.6</t>
        </is>
      </c>
      <c r="H57" s="5" t="inlineStr">
        <is>
          <t>14.1</t>
        </is>
      </c>
      <c r="I57" s="5" t="inlineStr">
        <is>
          <t>10.0</t>
        </is>
      </c>
      <c r="J57" s="5" t="inlineStr">
        <is>
          <t>5.0</t>
        </is>
      </c>
      <c r="K57" s="5" t="inlineStr">
        <is>
          <t>140</t>
        </is>
      </c>
      <c r="L57" s="5" t="n">
        <v>17</v>
      </c>
      <c r="M57" s="6">
        <f>HYPERLINK("https://map.naver.com/v5/search/36.680057,129.212499","📍 네이버 #161")</f>
        <v/>
      </c>
      <c r="N57" s="6">
        <f>HYPERLINK("https://map.kakao.com/link/map/P161-1,36.680057,129.212499","📍 카카오 #161")</f>
        <v/>
      </c>
    </row>
    <row r="58">
      <c r="A58" s="4" t="inlineStr">
        <is>
          <t>#162</t>
        </is>
      </c>
      <c r="B58" s="5" t="n">
        <v>61.2</v>
      </c>
      <c r="C58" s="5" t="n">
        <v>36.788981</v>
      </c>
      <c r="D58" s="5" t="n">
        <v>129.158888</v>
      </c>
      <c r="E58" s="4" t="n">
        <v>96.8</v>
      </c>
      <c r="F58" s="5" t="inlineStr">
        <is>
          <t>13.8</t>
        </is>
      </c>
      <c r="G58" s="5" t="inlineStr">
        <is>
          <t>15.0</t>
        </is>
      </c>
      <c r="H58" s="5" t="inlineStr">
        <is>
          <t>14.5</t>
        </is>
      </c>
      <c r="I58" s="5" t="inlineStr">
        <is>
          <t>10.0</t>
        </is>
      </c>
      <c r="J58" s="5" t="inlineStr">
        <is>
          <t>4.8</t>
        </is>
      </c>
      <c r="K58" s="5" t="inlineStr">
        <is>
          <t>621</t>
        </is>
      </c>
      <c r="L58" s="5" t="n">
        <v>16</v>
      </c>
      <c r="M58" s="6">
        <f>HYPERLINK("https://map.naver.com/v5/search/36.788981,129.158888","📍 네이버 #162")</f>
        <v/>
      </c>
      <c r="N58" s="6">
        <f>HYPERLINK("https://map.kakao.com/link/map/P162-1,36.788981,129.158888","📍 카카오 #162")</f>
        <v/>
      </c>
    </row>
    <row r="59">
      <c r="A59" s="4" t="inlineStr">
        <is>
          <t>#163</t>
        </is>
      </c>
      <c r="B59" s="5" t="n">
        <v>58.4</v>
      </c>
      <c r="C59" s="5" t="n">
        <v>37.031467</v>
      </c>
      <c r="D59" s="5" t="n">
        <v>129.220353</v>
      </c>
      <c r="E59" s="4" t="n">
        <v>90.40000000000001</v>
      </c>
      <c r="F59" s="5" t="inlineStr">
        <is>
          <t>13.2</t>
        </is>
      </c>
      <c r="G59" s="5" t="inlineStr">
        <is>
          <t>14.5</t>
        </is>
      </c>
      <c r="H59" s="5" t="inlineStr">
        <is>
          <t>13.9</t>
        </is>
      </c>
      <c r="I59" s="5" t="inlineStr">
        <is>
          <t>8.0</t>
        </is>
      </c>
      <c r="J59" s="5" t="inlineStr">
        <is>
          <t>4.7</t>
        </is>
      </c>
      <c r="K59" s="5" t="inlineStr">
        <is>
          <t>990</t>
        </is>
      </c>
      <c r="L59" s="5" t="n">
        <v>13</v>
      </c>
      <c r="M59" s="6">
        <f>HYPERLINK("https://map.naver.com/v5/search/37.031467,129.220353","📍 네이버 #163")</f>
        <v/>
      </c>
      <c r="N59" s="6">
        <f>HYPERLINK("https://map.kakao.com/link/map/P163-1,37.031467,129.220353","📍 카카오 #163")</f>
        <v/>
      </c>
    </row>
    <row r="60">
      <c r="A60" s="4" t="inlineStr">
        <is>
          <t>#164</t>
        </is>
      </c>
      <c r="B60" s="5" t="n">
        <v>58.7</v>
      </c>
      <c r="C60" s="5" t="n">
        <v>37.211999</v>
      </c>
      <c r="D60" s="5" t="n">
        <v>129.201911</v>
      </c>
      <c r="E60" s="4" t="n">
        <v>90.90000000000001</v>
      </c>
      <c r="F60" s="5" t="inlineStr">
        <is>
          <t>12.5</t>
        </is>
      </c>
      <c r="G60" s="5" t="inlineStr">
        <is>
          <t>14.3</t>
        </is>
      </c>
      <c r="H60" s="5" t="inlineStr">
        <is>
          <t>15.0</t>
        </is>
      </c>
      <c r="I60" s="5" t="inlineStr">
        <is>
          <t>8.0</t>
        </is>
      </c>
      <c r="J60" s="5" t="inlineStr">
        <is>
          <t>4.8</t>
        </is>
      </c>
      <c r="K60" s="5" t="inlineStr">
        <is>
          <t>1875</t>
        </is>
      </c>
      <c r="L60" s="5" t="n">
        <v>17</v>
      </c>
      <c r="M60" s="6">
        <f>HYPERLINK("https://map.naver.com/v5/search/37.211999,129.201911","📍 네이버 #164")</f>
        <v/>
      </c>
      <c r="N60" s="6">
        <f>HYPERLINK("https://map.kakao.com/link/map/P164-1,37.211999,129.201911","📍 카카오 #164")</f>
        <v/>
      </c>
    </row>
    <row r="61">
      <c r="A61" s="4" t="inlineStr">
        <is>
          <t>#167</t>
        </is>
      </c>
      <c r="B61" s="5" t="n">
        <v>59</v>
      </c>
      <c r="C61" s="5" t="n">
        <v>36.301422</v>
      </c>
      <c r="D61" s="5" t="n">
        <v>129.215317</v>
      </c>
      <c r="E61" s="4" t="n">
        <v>94.90000000000001</v>
      </c>
      <c r="F61" s="5" t="inlineStr">
        <is>
          <t>12.6</t>
        </is>
      </c>
      <c r="G61" s="5" t="inlineStr">
        <is>
          <t>15.0</t>
        </is>
      </c>
      <c r="H61" s="5" t="inlineStr">
        <is>
          <t>15.0</t>
        </is>
      </c>
      <c r="I61" s="5" t="inlineStr">
        <is>
          <t>10.0</t>
        </is>
      </c>
      <c r="J61" s="5" t="inlineStr">
        <is>
          <t>4.3</t>
        </is>
      </c>
      <c r="K61" s="5" t="inlineStr">
        <is>
          <t>1378</t>
        </is>
      </c>
      <c r="L61" s="5" t="n">
        <v>12</v>
      </c>
      <c r="M61" s="6">
        <f>HYPERLINK("https://map.naver.com/v5/search/36.301422,129.215317","📍 네이버 #167")</f>
        <v/>
      </c>
      <c r="N61" s="6">
        <f>HYPERLINK("https://map.kakao.com/link/map/P167-1,36.301422,129.215317","📍 카카오 #167")</f>
        <v/>
      </c>
    </row>
    <row r="62">
      <c r="A62" s="4" t="inlineStr">
        <is>
          <t>#170</t>
        </is>
      </c>
      <c r="B62" s="5" t="n">
        <v>58.3</v>
      </c>
      <c r="C62" s="5" t="n">
        <v>36.760328</v>
      </c>
      <c r="D62" s="5" t="n">
        <v>129.27029</v>
      </c>
      <c r="E62" s="4" t="n">
        <v>94.90000000000001</v>
      </c>
      <c r="F62" s="5" t="inlineStr">
        <is>
          <t>13.3</t>
        </is>
      </c>
      <c r="G62" s="5" t="inlineStr">
        <is>
          <t>15.0</t>
        </is>
      </c>
      <c r="H62" s="5" t="inlineStr">
        <is>
          <t>14.0</t>
        </is>
      </c>
      <c r="I62" s="5" t="inlineStr">
        <is>
          <t>10.0</t>
        </is>
      </c>
      <c r="J62" s="5" t="inlineStr">
        <is>
          <t>4.7</t>
        </is>
      </c>
      <c r="K62" s="5" t="inlineStr">
        <is>
          <t>580</t>
        </is>
      </c>
      <c r="L62" s="5" t="n">
        <v>11</v>
      </c>
      <c r="M62" s="6">
        <f>HYPERLINK("https://map.naver.com/v5/search/36.760328,129.27029","📍 네이버 #170")</f>
        <v/>
      </c>
      <c r="N62" s="6">
        <f>HYPERLINK("https://map.kakao.com/link/map/P170-1,36.760328,129.27029","📍 카카오 #170")</f>
        <v/>
      </c>
    </row>
    <row r="63">
      <c r="A63" s="4" t="inlineStr">
        <is>
          <t>#172</t>
        </is>
      </c>
      <c r="B63" s="5" t="n">
        <v>59</v>
      </c>
      <c r="C63" s="5" t="n">
        <v>36.92201</v>
      </c>
      <c r="D63" s="5" t="n">
        <v>129.307704</v>
      </c>
      <c r="E63" s="4" t="n">
        <v>94.09999999999999</v>
      </c>
      <c r="F63" s="5" t="inlineStr">
        <is>
          <t>13.1</t>
        </is>
      </c>
      <c r="G63" s="5" t="inlineStr">
        <is>
          <t>13.8</t>
        </is>
      </c>
      <c r="H63" s="5" t="inlineStr">
        <is>
          <t>14.7</t>
        </is>
      </c>
      <c r="I63" s="5" t="inlineStr">
        <is>
          <t>10.0</t>
        </is>
      </c>
      <c r="J63" s="5" t="inlineStr">
        <is>
          <t>4.9</t>
        </is>
      </c>
      <c r="K63" s="5" t="inlineStr">
        <is>
          <t>1992</t>
        </is>
      </c>
      <c r="L63" s="5" t="n">
        <v>14</v>
      </c>
      <c r="M63" s="6">
        <f>HYPERLINK("https://map.naver.com/v5/search/36.92201,129.307704","📍 네이버 #172")</f>
        <v/>
      </c>
      <c r="N63" s="6">
        <f>HYPERLINK("https://map.kakao.com/link/map/P172-1,36.92201,129.307704","📍 카카오 #172")</f>
        <v/>
      </c>
    </row>
    <row r="64">
      <c r="A64" s="4" t="inlineStr">
        <is>
          <t>#173</t>
        </is>
      </c>
      <c r="B64" s="5" t="n">
        <v>58.7</v>
      </c>
      <c r="C64" s="5" t="n">
        <v>37.01228</v>
      </c>
      <c r="D64" s="5" t="n">
        <v>129.298594</v>
      </c>
      <c r="E64" s="4" t="n">
        <v>92</v>
      </c>
      <c r="F64" s="5" t="inlineStr">
        <is>
          <t>13.1</t>
        </is>
      </c>
      <c r="G64" s="5" t="inlineStr">
        <is>
          <t>13.3</t>
        </is>
      </c>
      <c r="H64" s="5" t="inlineStr">
        <is>
          <t>14.2</t>
        </is>
      </c>
      <c r="I64" s="5" t="inlineStr">
        <is>
          <t>10.0</t>
        </is>
      </c>
      <c r="J64" s="5" t="inlineStr">
        <is>
          <t>4.7</t>
        </is>
      </c>
      <c r="K64" s="5" t="inlineStr">
        <is>
          <t>290</t>
        </is>
      </c>
      <c r="L64" s="5" t="n">
        <v>13</v>
      </c>
      <c r="M64" s="6">
        <f>HYPERLINK("https://map.naver.com/v5/search/37.01228,129.298594","📍 네이버 #173")</f>
        <v/>
      </c>
      <c r="N64" s="6">
        <f>HYPERLINK("https://map.kakao.com/link/map/P173-1,37.01228,129.298594","📍 카카오 #173")</f>
        <v/>
      </c>
    </row>
    <row r="65">
      <c r="A65" s="4" t="inlineStr">
        <is>
          <t>#177</t>
        </is>
      </c>
      <c r="B65" s="5" t="n">
        <v>60.3</v>
      </c>
      <c r="C65" s="5" t="n">
        <v>35.621315</v>
      </c>
      <c r="D65" s="5" t="n">
        <v>129.47669</v>
      </c>
      <c r="E65" s="4" t="n">
        <v>99.8</v>
      </c>
      <c r="F65" s="5" t="inlineStr">
        <is>
          <t>15.0</t>
        </is>
      </c>
      <c r="G65" s="5" t="inlineStr">
        <is>
          <t>14.9</t>
        </is>
      </c>
      <c r="H65" s="5" t="inlineStr">
        <is>
          <t>15.0</t>
        </is>
      </c>
      <c r="I65" s="5" t="inlineStr">
        <is>
          <t>10.0</t>
        </is>
      </c>
      <c r="J65" s="5" t="inlineStr">
        <is>
          <t>5.0</t>
        </is>
      </c>
      <c r="K65" s="5" t="inlineStr">
        <is>
          <t>1907</t>
        </is>
      </c>
      <c r="L65" s="5" t="n">
        <v>7</v>
      </c>
      <c r="M65" s="6">
        <f>HYPERLINK("https://map.naver.com/v5/search/35.621315,129.47669","📍 네이버 #177")</f>
        <v/>
      </c>
      <c r="N65" s="6">
        <f>HYPERLINK("https://map.kakao.com/link/map/P177-1,35.621315,129.47669","📍 카카오 #177")</f>
        <v/>
      </c>
    </row>
    <row r="66">
      <c r="A66" s="4" t="inlineStr">
        <is>
          <t>#178</t>
        </is>
      </c>
      <c r="B66" s="5" t="n">
        <v>89.3</v>
      </c>
      <c r="C66" s="5" t="n">
        <v>37.40063</v>
      </c>
      <c r="D66" s="5" t="n">
        <v>130.900489</v>
      </c>
      <c r="E66" s="4" t="n">
        <v>93.3</v>
      </c>
      <c r="F66" s="5" t="inlineStr">
        <is>
          <t>15.0</t>
        </is>
      </c>
      <c r="G66" s="5" t="inlineStr">
        <is>
          <t>15.0</t>
        </is>
      </c>
      <c r="H66" s="5" t="inlineStr">
        <is>
          <t>15.0</t>
        </is>
      </c>
      <c r="I66" s="5" t="inlineStr">
        <is>
          <t>6.0</t>
        </is>
      </c>
      <c r="J66" s="5" t="inlineStr">
        <is>
          <t>5.0</t>
        </is>
      </c>
      <c r="K66" s="5" t="inlineStr">
        <is>
          <t>-</t>
        </is>
      </c>
      <c r="L66" s="5" t="n">
        <v>3</v>
      </c>
      <c r="M66" s="6">
        <f>HYPERLINK("https://map.naver.com/v5/search/37.40063,130.900489","📍 네이버 #178")</f>
        <v/>
      </c>
      <c r="N66" s="6">
        <f>HYPERLINK("https://map.kakao.com/link/map/P178-1,37.40063,130.900489","📍 카카오 #178")</f>
        <v/>
      </c>
    </row>
    <row r="68">
      <c r="A68" s="13" t="inlineStr">
        <is>
          <t>🟢 기준점 3개↑  🟡 기준점 1~2개  ⬜ 기준점 없음  │ 서브격자 #1위 기준 표시</t>
        </is>
      </c>
    </row>
  </sheetData>
  <mergeCells count="3">
    <mergeCell ref="A68:N68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11" customWidth="1" min="3" max="3"/>
    <col width="11" customWidth="1" min="4" max="4"/>
    <col width="7" customWidth="1" min="5" max="5"/>
    <col width="7" customWidth="1" min="6" max="6"/>
    <col width="8" customWidth="1" min="7" max="7"/>
    <col width="7" customWidth="1" min="8" max="8"/>
    <col width="8" customWidth="1" min="9" max="9"/>
    <col width="6" customWidth="1" min="10" max="10"/>
    <col width="7" customWidth="1" min="11" max="11"/>
    <col width="18" customWidth="1" min="12" max="12"/>
    <col width="18" customWidth="1" min="13" max="13"/>
  </cols>
  <sheetData>
    <row r="1" ht="24" customHeight="1">
      <c r="A1" s="14" t="inlineStr">
        <is>
          <t>전체 사이트 서브격자 상위 후보 (사이트당 상위 5개)</t>
        </is>
      </c>
    </row>
    <row r="2" ht="22" customHeight="1">
      <c r="A2" s="15" t="inlineStr">
        <is>
          <t>사이트</t>
        </is>
      </c>
      <c r="B2" s="15" t="inlineStr">
        <is>
          <t>순위</t>
        </is>
      </c>
      <c r="C2" s="15" t="inlineStr">
        <is>
          <t>위도</t>
        </is>
      </c>
      <c r="D2" s="15" t="inlineStr">
        <is>
          <t>경도</t>
        </is>
      </c>
      <c r="E2" s="15" t="inlineStr">
        <is>
          <t>점수</t>
        </is>
      </c>
      <c r="F2" s="15" t="inlineStr">
        <is>
          <t>②지형</t>
        </is>
      </c>
      <c r="G2" s="15" t="inlineStr">
        <is>
          <t>③전력철도</t>
        </is>
      </c>
      <c r="H2" s="15" t="inlineStr">
        <is>
          <t>④인구</t>
        </is>
      </c>
      <c r="I2" s="15" t="inlineStr">
        <is>
          <t>⑤모델기여</t>
        </is>
      </c>
      <c r="J2" s="15" t="inlineStr">
        <is>
          <t>⑥암상</t>
        </is>
      </c>
      <c r="K2" s="15" t="inlineStr">
        <is>
          <t>도로(m)</t>
        </is>
      </c>
      <c r="L2" s="15" t="inlineStr">
        <is>
          <t>네이버</t>
        </is>
      </c>
      <c r="M2" s="15" t="inlineStr">
        <is>
          <t>카카오</t>
        </is>
      </c>
    </row>
    <row r="3">
      <c r="A3" s="7" t="inlineStr">
        <is>
          <t>#1</t>
        </is>
      </c>
      <c r="B3" s="8" t="n">
        <v>1</v>
      </c>
      <c r="C3" s="8" t="n">
        <v>34.799276</v>
      </c>
      <c r="D3" s="8" t="n">
        <v>126.046235</v>
      </c>
      <c r="E3" s="7" t="n">
        <v>99.09999999999999</v>
      </c>
      <c r="F3" s="8" t="inlineStr">
        <is>
          <t>15.0</t>
        </is>
      </c>
      <c r="G3" s="8" t="inlineStr">
        <is>
          <t>14.5</t>
        </is>
      </c>
      <c r="H3" s="8" t="inlineStr">
        <is>
          <t>15.0</t>
        </is>
      </c>
      <c r="I3" s="8" t="inlineStr">
        <is>
          <t>10.0</t>
        </is>
      </c>
      <c r="J3" s="8" t="inlineStr">
        <is>
          <t>5.0</t>
        </is>
      </c>
      <c r="K3" s="8" t="inlineStr">
        <is>
          <t>1969</t>
        </is>
      </c>
      <c r="L3" s="9">
        <f>HYPERLINK("https://map.naver.com/v5/search/34.799276,126.046235","📍 네이버")</f>
        <v/>
      </c>
      <c r="M3" s="9">
        <f>HYPERLINK("https://map.kakao.com/link/map/P1-1,34.799276,126.046235","📍 카카오")</f>
        <v/>
      </c>
    </row>
    <row r="4">
      <c r="A4" s="10" t="inlineStr">
        <is>
          <t>#1</t>
        </is>
      </c>
      <c r="B4" s="11" t="n">
        <v>2</v>
      </c>
      <c r="C4" s="11" t="n">
        <v>34.771835</v>
      </c>
      <c r="D4" s="11" t="n">
        <v>126.013935</v>
      </c>
      <c r="E4" s="10" t="n">
        <v>97.7</v>
      </c>
      <c r="F4" s="11" t="inlineStr">
        <is>
          <t>15.0</t>
        </is>
      </c>
      <c r="G4" s="11" t="inlineStr">
        <is>
          <t>15.0</t>
        </is>
      </c>
      <c r="H4" s="11" t="inlineStr">
        <is>
          <t>14.1</t>
        </is>
      </c>
      <c r="I4" s="11" t="inlineStr">
        <is>
          <t>10.0</t>
        </is>
      </c>
      <c r="J4" s="11" t="inlineStr">
        <is>
          <t>4.5</t>
        </is>
      </c>
      <c r="K4" s="11" t="inlineStr">
        <is>
          <t>1482</t>
        </is>
      </c>
      <c r="L4" s="12">
        <f>HYPERLINK("https://map.naver.com/v5/search/34.771835,126.013935","📍 네이버")</f>
        <v/>
      </c>
      <c r="M4" s="12">
        <f>HYPERLINK("https://map.kakao.com/link/map/P1-2,34.771835,126.013935","📍 카카오")</f>
        <v/>
      </c>
    </row>
    <row r="5">
      <c r="A5" s="10" t="inlineStr">
        <is>
          <t>#1</t>
        </is>
      </c>
      <c r="B5" s="11" t="n">
        <v>3</v>
      </c>
      <c r="C5" s="11" t="n">
        <v>34.7721</v>
      </c>
      <c r="D5" s="11" t="n">
        <v>126.035785</v>
      </c>
      <c r="E5" s="10" t="n">
        <v>95.90000000000001</v>
      </c>
      <c r="F5" s="11" t="inlineStr">
        <is>
          <t>14.7</t>
        </is>
      </c>
      <c r="G5" s="11" t="inlineStr">
        <is>
          <t>14.8</t>
        </is>
      </c>
      <c r="H5" s="11" t="inlineStr">
        <is>
          <t>14.4</t>
        </is>
      </c>
      <c r="I5" s="11" t="inlineStr">
        <is>
          <t>10.0</t>
        </is>
      </c>
      <c r="J5" s="11" t="inlineStr">
        <is>
          <t>3.7</t>
        </is>
      </c>
      <c r="K5" s="11" t="inlineStr">
        <is>
          <t>1555</t>
        </is>
      </c>
      <c r="L5" s="12">
        <f>HYPERLINK("https://map.naver.com/v5/search/34.7721,126.035785","📍 네이버")</f>
        <v/>
      </c>
      <c r="M5" s="12">
        <f>HYPERLINK("https://map.kakao.com/link/map/P1-3,34.7721,126.035785","📍 카카오")</f>
        <v/>
      </c>
    </row>
    <row r="6">
      <c r="A6" s="10" t="inlineStr">
        <is>
          <t>#1</t>
        </is>
      </c>
      <c r="B6" s="11" t="n">
        <v>4</v>
      </c>
      <c r="C6" s="11" t="n">
        <v>34.736171</v>
      </c>
      <c r="D6" s="11" t="n">
        <v>126.047342</v>
      </c>
      <c r="E6" s="10" t="n">
        <v>95.59999999999999</v>
      </c>
      <c r="F6" s="11" t="inlineStr">
        <is>
          <t>15.0</t>
        </is>
      </c>
      <c r="G6" s="11" t="inlineStr">
        <is>
          <t>14.8</t>
        </is>
      </c>
      <c r="H6" s="11" t="inlineStr">
        <is>
          <t>13.5</t>
        </is>
      </c>
      <c r="I6" s="11" t="inlineStr">
        <is>
          <t>10.0</t>
        </is>
      </c>
      <c r="J6" s="11" t="inlineStr">
        <is>
          <t>4.0</t>
        </is>
      </c>
      <c r="K6" s="11" t="inlineStr">
        <is>
          <t>1837</t>
        </is>
      </c>
      <c r="L6" s="12">
        <f>HYPERLINK("https://map.naver.com/v5/search/34.736171,126.047342","📍 네이버")</f>
        <v/>
      </c>
      <c r="M6" s="12">
        <f>HYPERLINK("https://map.kakao.com/link/map/P1-4,34.736171,126.047342","📍 카카오")</f>
        <v/>
      </c>
    </row>
    <row r="7">
      <c r="A7" s="10" t="inlineStr">
        <is>
          <t>#1</t>
        </is>
      </c>
      <c r="B7" s="11" t="n">
        <v>5</v>
      </c>
      <c r="C7" s="11" t="n">
        <v>34.790391</v>
      </c>
      <c r="D7" s="11" t="n">
        <v>126.057321</v>
      </c>
      <c r="E7" s="10" t="n">
        <v>92.7</v>
      </c>
      <c r="F7" s="11" t="inlineStr">
        <is>
          <t>15.0</t>
        </is>
      </c>
      <c r="G7" s="11" t="inlineStr">
        <is>
          <t>14.3</t>
        </is>
      </c>
      <c r="H7" s="11" t="inlineStr">
        <is>
          <t>14.4</t>
        </is>
      </c>
      <c r="I7" s="11" t="inlineStr">
        <is>
          <t>7.0</t>
        </is>
      </c>
      <c r="J7" s="11" t="inlineStr">
        <is>
          <t>4.8</t>
        </is>
      </c>
      <c r="K7" s="11" t="inlineStr">
        <is>
          <t>1755</t>
        </is>
      </c>
      <c r="L7" s="12">
        <f>HYPERLINK("https://map.naver.com/v5/search/34.790391,126.057321","📍 네이버")</f>
        <v/>
      </c>
      <c r="M7" s="12">
        <f>HYPERLINK("https://map.kakao.com/link/map/P1-5,34.790391,126.057321","📍 카카오")</f>
        <v/>
      </c>
    </row>
    <row r="8">
      <c r="A8" s="7" t="inlineStr">
        <is>
          <t>#2</t>
        </is>
      </c>
      <c r="B8" s="8" t="n">
        <v>1</v>
      </c>
      <c r="C8" s="8" t="n">
        <v>33.215139</v>
      </c>
      <c r="D8" s="8" t="n">
        <v>126.330504</v>
      </c>
      <c r="E8" s="7" t="n">
        <v>97.59999999999999</v>
      </c>
      <c r="F8" s="8" t="inlineStr">
        <is>
          <t>15.0</t>
        </is>
      </c>
      <c r="G8" s="8" t="inlineStr">
        <is>
          <t>13.5</t>
        </is>
      </c>
      <c r="H8" s="8" t="inlineStr">
        <is>
          <t>15.0</t>
        </is>
      </c>
      <c r="I8" s="8" t="inlineStr">
        <is>
          <t>10.0</t>
        </is>
      </c>
      <c r="J8" s="8" t="inlineStr">
        <is>
          <t>5.0</t>
        </is>
      </c>
      <c r="K8" s="8" t="inlineStr">
        <is>
          <t>1894</t>
        </is>
      </c>
      <c r="L8" s="9">
        <f>HYPERLINK("https://map.naver.com/v5/search/33.215139,126.330504","📍 네이버")</f>
        <v/>
      </c>
      <c r="M8" s="9">
        <f>HYPERLINK("https://map.kakao.com/link/map/P2-1,33.215139,126.330504","📍 카카오")</f>
        <v/>
      </c>
    </row>
    <row r="9">
      <c r="A9" s="10" t="inlineStr">
        <is>
          <t>#2</t>
        </is>
      </c>
      <c r="B9" s="11" t="n">
        <v>2</v>
      </c>
      <c r="C9" s="11" t="n">
        <v>33.205918</v>
      </c>
      <c r="D9" s="11" t="n">
        <v>126.309169</v>
      </c>
      <c r="E9" s="10" t="n">
        <v>97.09999999999999</v>
      </c>
      <c r="F9" s="11" t="inlineStr">
        <is>
          <t>15.0</t>
        </is>
      </c>
      <c r="G9" s="11" t="inlineStr">
        <is>
          <t>14.8</t>
        </is>
      </c>
      <c r="H9" s="11" t="inlineStr">
        <is>
          <t>14.2</t>
        </is>
      </c>
      <c r="I9" s="11" t="inlineStr">
        <is>
          <t>10.0</t>
        </is>
      </c>
      <c r="J9" s="11" t="inlineStr">
        <is>
          <t>4.2</t>
        </is>
      </c>
      <c r="K9" s="11" t="inlineStr">
        <is>
          <t>1589</t>
        </is>
      </c>
      <c r="L9" s="12">
        <f>HYPERLINK("https://map.naver.com/v5/search/33.205918,126.309169","📍 네이버")</f>
        <v/>
      </c>
      <c r="M9" s="12">
        <f>HYPERLINK("https://map.kakao.com/link/map/P2-2,33.205918,126.309169","📍 카카오")</f>
        <v/>
      </c>
    </row>
    <row r="10">
      <c r="A10" s="10" t="inlineStr">
        <is>
          <t>#2</t>
        </is>
      </c>
      <c r="B10" s="11" t="n">
        <v>3</v>
      </c>
      <c r="C10" s="11" t="n">
        <v>33.215038</v>
      </c>
      <c r="D10" s="11" t="n">
        <v>126.319775</v>
      </c>
      <c r="E10" s="10" t="n">
        <v>97</v>
      </c>
      <c r="F10" s="11" t="inlineStr">
        <is>
          <t>15.0</t>
        </is>
      </c>
      <c r="G10" s="11" t="inlineStr">
        <is>
          <t>14.1</t>
        </is>
      </c>
      <c r="H10" s="11" t="inlineStr">
        <is>
          <t>14.7</t>
        </is>
      </c>
      <c r="I10" s="11" t="inlineStr">
        <is>
          <t>10.0</t>
        </is>
      </c>
      <c r="J10" s="11" t="inlineStr">
        <is>
          <t>4.4</t>
        </is>
      </c>
      <c r="K10" s="11" t="inlineStr">
        <is>
          <t>1719</t>
        </is>
      </c>
      <c r="L10" s="12">
        <f>HYPERLINK("https://map.naver.com/v5/search/33.215038,126.319775","📍 네이버")</f>
        <v/>
      </c>
      <c r="M10" s="12">
        <f>HYPERLINK("https://map.kakao.com/link/map/P2-3,33.215038,126.319775","📍 카카오")</f>
        <v/>
      </c>
    </row>
    <row r="11">
      <c r="A11" s="10" t="inlineStr">
        <is>
          <t>#2</t>
        </is>
      </c>
      <c r="B11" s="11" t="n">
        <v>4</v>
      </c>
      <c r="C11" s="11" t="n">
        <v>33.196899</v>
      </c>
      <c r="D11" s="11" t="n">
        <v>126.309291</v>
      </c>
      <c r="E11" s="10" t="n">
        <v>96.2</v>
      </c>
      <c r="F11" s="11" t="inlineStr">
        <is>
          <t>15.0</t>
        </is>
      </c>
      <c r="G11" s="11" t="inlineStr">
        <is>
          <t>15.0</t>
        </is>
      </c>
      <c r="H11" s="11" t="inlineStr">
        <is>
          <t>14.8</t>
        </is>
      </c>
      <c r="I11" s="11" t="inlineStr">
        <is>
          <t>8.0</t>
        </is>
      </c>
      <c r="J11" s="11" t="inlineStr">
        <is>
          <t>4.9</t>
        </is>
      </c>
      <c r="K11" s="11" t="inlineStr">
        <is>
          <t>1492</t>
        </is>
      </c>
      <c r="L11" s="12">
        <f>HYPERLINK("https://map.naver.com/v5/search/33.196899,126.309291","📍 네이버")</f>
        <v/>
      </c>
      <c r="M11" s="12">
        <f>HYPERLINK("https://map.kakao.com/link/map/P2-4,33.196899,126.309291","📍 카카오")</f>
        <v/>
      </c>
    </row>
    <row r="12">
      <c r="A12" s="10" t="inlineStr">
        <is>
          <t>#2</t>
        </is>
      </c>
      <c r="B12" s="11" t="n">
        <v>5</v>
      </c>
      <c r="C12" s="11" t="n">
        <v>33.214936</v>
      </c>
      <c r="D12" s="11" t="n">
        <v>126.309047</v>
      </c>
      <c r="E12" s="10" t="n">
        <v>95.90000000000001</v>
      </c>
      <c r="F12" s="11" t="inlineStr">
        <is>
          <t>15.0</t>
        </is>
      </c>
      <c r="G12" s="11" t="inlineStr">
        <is>
          <t>14.5</t>
        </is>
      </c>
      <c r="H12" s="11" t="inlineStr">
        <is>
          <t>14.0</t>
        </is>
      </c>
      <c r="I12" s="11" t="inlineStr">
        <is>
          <t>10.0</t>
        </is>
      </c>
      <c r="J12" s="11" t="inlineStr">
        <is>
          <t>4.1</t>
        </is>
      </c>
      <c r="K12" s="11" t="inlineStr">
        <is>
          <t>1274</t>
        </is>
      </c>
      <c r="L12" s="12">
        <f>HYPERLINK("https://map.naver.com/v5/search/33.214936,126.309047","📍 네이버")</f>
        <v/>
      </c>
      <c r="M12" s="12">
        <f>HYPERLINK("https://map.kakao.com/link/map/P2-5,33.214936,126.309047","📍 카카오")</f>
        <v/>
      </c>
    </row>
    <row r="13">
      <c r="A13" s="7" t="inlineStr">
        <is>
          <t>#3</t>
        </is>
      </c>
      <c r="B13" s="8" t="n">
        <v>1</v>
      </c>
      <c r="C13" s="8" t="n">
        <v>36.631925</v>
      </c>
      <c r="D13" s="8" t="n">
        <v>126.269802</v>
      </c>
      <c r="E13" s="7" t="n">
        <v>98.90000000000001</v>
      </c>
      <c r="F13" s="8" t="inlineStr">
        <is>
          <t>15.0</t>
        </is>
      </c>
      <c r="G13" s="8" t="inlineStr">
        <is>
          <t>14.3</t>
        </is>
      </c>
      <c r="H13" s="8" t="inlineStr">
        <is>
          <t>15.0</t>
        </is>
      </c>
      <c r="I13" s="8" t="inlineStr">
        <is>
          <t>10.0</t>
        </is>
      </c>
      <c r="J13" s="8" t="inlineStr">
        <is>
          <t>5.0</t>
        </is>
      </c>
      <c r="K13" s="8" t="inlineStr">
        <is>
          <t>1663</t>
        </is>
      </c>
      <c r="L13" s="9">
        <f>HYPERLINK("https://map.naver.com/v5/search/36.631925,126.269802","📍 네이버")</f>
        <v/>
      </c>
      <c r="M13" s="9">
        <f>HYPERLINK("https://map.kakao.com/link/map/P3-1,36.631925,126.269802","📍 카카오")</f>
        <v/>
      </c>
    </row>
    <row r="14">
      <c r="A14" s="10" t="inlineStr">
        <is>
          <t>#3</t>
        </is>
      </c>
      <c r="B14" s="11" t="n">
        <v>2</v>
      </c>
      <c r="C14" s="11" t="n">
        <v>36.658847</v>
      </c>
      <c r="D14" s="11" t="n">
        <v>126.258185</v>
      </c>
      <c r="E14" s="10" t="n">
        <v>98.2</v>
      </c>
      <c r="F14" s="11" t="inlineStr">
        <is>
          <t>15.0</t>
        </is>
      </c>
      <c r="G14" s="11" t="inlineStr">
        <is>
          <t>14.4</t>
        </is>
      </c>
      <c r="H14" s="11" t="inlineStr">
        <is>
          <t>14.8</t>
        </is>
      </c>
      <c r="I14" s="11" t="inlineStr">
        <is>
          <t>10.0</t>
        </is>
      </c>
      <c r="J14" s="11" t="inlineStr">
        <is>
          <t>4.8</t>
        </is>
      </c>
      <c r="K14" s="11" t="inlineStr">
        <is>
          <t>1751</t>
        </is>
      </c>
      <c r="L14" s="12">
        <f>HYPERLINK("https://map.naver.com/v5/search/36.658847,126.258185","📍 네이버")</f>
        <v/>
      </c>
      <c r="M14" s="12">
        <f>HYPERLINK("https://map.kakao.com/link/map/P3-2,36.658847,126.258185","📍 카카오")</f>
        <v/>
      </c>
    </row>
    <row r="15">
      <c r="A15" s="10" t="inlineStr">
        <is>
          <t>#3</t>
        </is>
      </c>
      <c r="B15" s="11" t="n">
        <v>3</v>
      </c>
      <c r="C15" s="11" t="n">
        <v>36.650065</v>
      </c>
      <c r="D15" s="11" t="n">
        <v>126.2807</v>
      </c>
      <c r="E15" s="10" t="n">
        <v>97.59999999999999</v>
      </c>
      <c r="F15" s="11" t="inlineStr">
        <is>
          <t>15.0</t>
        </is>
      </c>
      <c r="G15" s="11" t="inlineStr">
        <is>
          <t>14.1</t>
        </is>
      </c>
      <c r="H15" s="11" t="inlineStr">
        <is>
          <t>14.6</t>
        </is>
      </c>
      <c r="I15" s="11" t="inlineStr">
        <is>
          <t>10.0</t>
        </is>
      </c>
      <c r="J15" s="11" t="inlineStr">
        <is>
          <t>4.8</t>
        </is>
      </c>
      <c r="K15" s="11" t="inlineStr">
        <is>
          <t>1517</t>
        </is>
      </c>
      <c r="L15" s="12">
        <f>HYPERLINK("https://map.naver.com/v5/search/36.650065,126.2807","📍 네이버")</f>
        <v/>
      </c>
      <c r="M15" s="12">
        <f>HYPERLINK("https://map.kakao.com/link/map/P3-3,36.650065,126.2807","📍 카카오")</f>
        <v/>
      </c>
    </row>
    <row r="16">
      <c r="A16" s="10" t="inlineStr">
        <is>
          <t>#3</t>
        </is>
      </c>
      <c r="B16" s="11" t="n">
        <v>4</v>
      </c>
      <c r="C16" s="11" t="n">
        <v>36.658963</v>
      </c>
      <c r="D16" s="11" t="n">
        <v>126.269371</v>
      </c>
      <c r="E16" s="10" t="n">
        <v>97.5</v>
      </c>
      <c r="F16" s="11" t="inlineStr">
        <is>
          <t>15.0</t>
        </is>
      </c>
      <c r="G16" s="11" t="inlineStr">
        <is>
          <t>14.2</t>
        </is>
      </c>
      <c r="H16" s="11" t="inlineStr">
        <is>
          <t>14.5</t>
        </is>
      </c>
      <c r="I16" s="11" t="inlineStr">
        <is>
          <t>10.0</t>
        </is>
      </c>
      <c r="J16" s="11" t="inlineStr">
        <is>
          <t>4.8</t>
        </is>
      </c>
      <c r="K16" s="11" t="inlineStr">
        <is>
          <t>1492</t>
        </is>
      </c>
      <c r="L16" s="12">
        <f>HYPERLINK("https://map.naver.com/v5/search/36.658963,126.269371","📍 네이버")</f>
        <v/>
      </c>
      <c r="M16" s="12">
        <f>HYPERLINK("https://map.kakao.com/link/map/P3-4,36.658963,126.269371","📍 카카오")</f>
        <v/>
      </c>
    </row>
    <row r="17">
      <c r="A17" s="10" t="inlineStr">
        <is>
          <t>#3</t>
        </is>
      </c>
      <c r="B17" s="11" t="n">
        <v>5</v>
      </c>
      <c r="C17" s="11" t="n">
        <v>36.66786</v>
      </c>
      <c r="D17" s="11" t="n">
        <v>126.25804</v>
      </c>
      <c r="E17" s="10" t="n">
        <v>96.8</v>
      </c>
      <c r="F17" s="11" t="inlineStr">
        <is>
          <t>15.0</t>
        </is>
      </c>
      <c r="G17" s="11" t="inlineStr">
        <is>
          <t>14.3</t>
        </is>
      </c>
      <c r="H17" s="11" t="inlineStr">
        <is>
          <t>14.1</t>
        </is>
      </c>
      <c r="I17" s="11" t="inlineStr">
        <is>
          <t>10.0</t>
        </is>
      </c>
      <c r="J17" s="11" t="inlineStr">
        <is>
          <t>4.7</t>
        </is>
      </c>
      <c r="K17" s="11" t="inlineStr">
        <is>
          <t>985</t>
        </is>
      </c>
      <c r="L17" s="12">
        <f>HYPERLINK("https://map.naver.com/v5/search/36.66786,126.25804","📍 네이버")</f>
        <v/>
      </c>
      <c r="M17" s="12">
        <f>HYPERLINK("https://map.kakao.com/link/map/P3-5,36.66786,126.25804","📍 카카오")</f>
        <v/>
      </c>
    </row>
    <row r="18">
      <c r="A18" s="7" t="inlineStr">
        <is>
          <t>#4</t>
        </is>
      </c>
      <c r="B18" s="8" t="n">
        <v>1</v>
      </c>
      <c r="C18" s="8" t="n">
        <v>34.325559</v>
      </c>
      <c r="D18" s="8" t="n">
        <v>126.456627</v>
      </c>
      <c r="E18" s="7" t="n">
        <v>99.59999999999999</v>
      </c>
      <c r="F18" s="8" t="inlineStr">
        <is>
          <t>15.0</t>
        </is>
      </c>
      <c r="G18" s="8" t="inlineStr">
        <is>
          <t>15.0</t>
        </is>
      </c>
      <c r="H18" s="8" t="inlineStr">
        <is>
          <t>15.0</t>
        </is>
      </c>
      <c r="I18" s="8" t="inlineStr">
        <is>
          <t>10.0</t>
        </is>
      </c>
      <c r="J18" s="8" t="inlineStr">
        <is>
          <t>4.8</t>
        </is>
      </c>
      <c r="K18" s="8" t="inlineStr">
        <is>
          <t>1875</t>
        </is>
      </c>
      <c r="L18" s="9">
        <f>HYPERLINK("https://map.naver.com/v5/search/34.325559,126.456627","📍 네이버")</f>
        <v/>
      </c>
      <c r="M18" s="9">
        <f>HYPERLINK("https://map.kakao.com/link/map/P4-1,34.325559,126.456627","📍 카카오")</f>
        <v/>
      </c>
    </row>
    <row r="19">
      <c r="A19" s="10" t="inlineStr">
        <is>
          <t>#4</t>
        </is>
      </c>
      <c r="B19" s="11" t="n">
        <v>2</v>
      </c>
      <c r="C19" s="11" t="n">
        <v>34.325651</v>
      </c>
      <c r="D19" s="11" t="n">
        <v>126.467496</v>
      </c>
      <c r="E19" s="10" t="n">
        <v>98.5</v>
      </c>
      <c r="F19" s="11" t="inlineStr">
        <is>
          <t>15.0</t>
        </is>
      </c>
      <c r="G19" s="11" t="inlineStr">
        <is>
          <t>14.9</t>
        </is>
      </c>
      <c r="H19" s="11" t="inlineStr">
        <is>
          <t>14.7</t>
        </is>
      </c>
      <c r="I19" s="11" t="inlineStr">
        <is>
          <t>10.0</t>
        </is>
      </c>
      <c r="J19" s="11" t="inlineStr">
        <is>
          <t>4.5</t>
        </is>
      </c>
      <c r="K19" s="11" t="inlineStr">
        <is>
          <t>1162</t>
        </is>
      </c>
      <c r="L19" s="12">
        <f>HYPERLINK("https://map.naver.com/v5/search/34.325651,126.467496","📍 네이버")</f>
        <v/>
      </c>
      <c r="M19" s="12">
        <f>HYPERLINK("https://map.kakao.com/link/map/P4-2,34.325651,126.467496","📍 카카오")</f>
        <v/>
      </c>
    </row>
    <row r="20">
      <c r="A20" s="10" t="inlineStr">
        <is>
          <t>#4</t>
        </is>
      </c>
      <c r="B20" s="11" t="n">
        <v>3</v>
      </c>
      <c r="C20" s="11" t="n">
        <v>34.325833</v>
      </c>
      <c r="D20" s="11" t="n">
        <v>126.489233</v>
      </c>
      <c r="E20" s="10" t="n">
        <v>97.90000000000001</v>
      </c>
      <c r="F20" s="11" t="inlineStr">
        <is>
          <t>15.0</t>
        </is>
      </c>
      <c r="G20" s="11" t="inlineStr">
        <is>
          <t>14.6</t>
        </is>
      </c>
      <c r="H20" s="11" t="inlineStr">
        <is>
          <t>14.7</t>
        </is>
      </c>
      <c r="I20" s="11" t="inlineStr">
        <is>
          <t>10.0</t>
        </is>
      </c>
      <c r="J20" s="11" t="inlineStr">
        <is>
          <t>4.4</t>
        </is>
      </c>
      <c r="K20" s="11" t="inlineStr">
        <is>
          <t>1620</t>
        </is>
      </c>
      <c r="L20" s="12">
        <f>HYPERLINK("https://map.naver.com/v5/search/34.325833,126.489233","📍 네이버")</f>
        <v/>
      </c>
      <c r="M20" s="12">
        <f>HYPERLINK("https://map.kakao.com/link/map/P4-3,34.325833,126.489233","📍 카카오")</f>
        <v/>
      </c>
    </row>
    <row r="21">
      <c r="A21" s="10" t="inlineStr">
        <is>
          <t>#4</t>
        </is>
      </c>
      <c r="B21" s="11" t="n">
        <v>4</v>
      </c>
      <c r="C21" s="11" t="n">
        <v>34.325742</v>
      </c>
      <c r="D21" s="11" t="n">
        <v>126.478364</v>
      </c>
      <c r="E21" s="10" t="n">
        <v>97.8</v>
      </c>
      <c r="F21" s="11" t="inlineStr">
        <is>
          <t>15.0</t>
        </is>
      </c>
      <c r="G21" s="11" t="inlineStr">
        <is>
          <t>14.7</t>
        </is>
      </c>
      <c r="H21" s="11" t="inlineStr">
        <is>
          <t>14.6</t>
        </is>
      </c>
      <c r="I21" s="11" t="inlineStr">
        <is>
          <t>10.0</t>
        </is>
      </c>
      <c r="J21" s="11" t="inlineStr">
        <is>
          <t>4.3</t>
        </is>
      </c>
      <c r="K21" s="11" t="inlineStr">
        <is>
          <t>1089</t>
        </is>
      </c>
      <c r="L21" s="12">
        <f>HYPERLINK("https://map.naver.com/v5/search/34.325742,126.478364","📍 네이버")</f>
        <v/>
      </c>
      <c r="M21" s="12">
        <f>HYPERLINK("https://map.kakao.com/link/map/P4-4,34.325742,126.478364","📍 카카오")</f>
        <v/>
      </c>
    </row>
    <row r="22">
      <c r="A22" s="10" t="inlineStr">
        <is>
          <t>#4</t>
        </is>
      </c>
      <c r="B22" s="11" t="n">
        <v>5</v>
      </c>
      <c r="C22" s="11" t="n">
        <v>34.334939</v>
      </c>
      <c r="D22" s="11" t="n">
        <v>126.499994</v>
      </c>
      <c r="E22" s="10" t="n">
        <v>97.59999999999999</v>
      </c>
      <c r="F22" s="11" t="inlineStr">
        <is>
          <t>15.0</t>
        </is>
      </c>
      <c r="G22" s="11" t="inlineStr">
        <is>
          <t>14.5</t>
        </is>
      </c>
      <c r="H22" s="11" t="inlineStr">
        <is>
          <t>14.5</t>
        </is>
      </c>
      <c r="I22" s="11" t="inlineStr">
        <is>
          <t>10.0</t>
        </is>
      </c>
      <c r="J22" s="11" t="inlineStr">
        <is>
          <t>4.5</t>
        </is>
      </c>
      <c r="K22" s="11" t="inlineStr">
        <is>
          <t>1887</t>
        </is>
      </c>
      <c r="L22" s="12">
        <f>HYPERLINK("https://map.naver.com/v5/search/34.334939,126.499994","📍 네이버")</f>
        <v/>
      </c>
      <c r="M22" s="12">
        <f>HYPERLINK("https://map.kakao.com/link/map/P4-5,34.334939,126.499994","📍 카카오")</f>
        <v/>
      </c>
    </row>
    <row r="23">
      <c r="A23" s="7" t="inlineStr">
        <is>
          <t>#5</t>
        </is>
      </c>
      <c r="B23" s="8" t="n">
        <v>1</v>
      </c>
      <c r="C23" s="8" t="n">
        <v>36.102912</v>
      </c>
      <c r="D23" s="8" t="n">
        <v>126.58916</v>
      </c>
      <c r="E23" s="7" t="n">
        <v>98</v>
      </c>
      <c r="F23" s="8" t="inlineStr">
        <is>
          <t>15.0</t>
        </is>
      </c>
      <c r="G23" s="8" t="inlineStr">
        <is>
          <t>14.4</t>
        </is>
      </c>
      <c r="H23" s="8" t="inlineStr">
        <is>
          <t>14.5</t>
        </is>
      </c>
      <c r="I23" s="8" t="inlineStr">
        <is>
          <t>10.0</t>
        </is>
      </c>
      <c r="J23" s="8" t="inlineStr">
        <is>
          <t>4.9</t>
        </is>
      </c>
      <c r="K23" s="8" t="inlineStr">
        <is>
          <t>1786</t>
        </is>
      </c>
      <c r="L23" s="9">
        <f>HYPERLINK("https://map.naver.com/v5/search/36.102912,126.58916","📍 네이버")</f>
        <v/>
      </c>
      <c r="M23" s="9">
        <f>HYPERLINK("https://map.kakao.com/link/map/P5-1,36.102912,126.58916","📍 카카오")</f>
        <v/>
      </c>
    </row>
    <row r="24">
      <c r="A24" s="10" t="inlineStr">
        <is>
          <t>#5</t>
        </is>
      </c>
      <c r="B24" s="11" t="n">
        <v>2</v>
      </c>
      <c r="C24" s="11" t="n">
        <v>36.120856</v>
      </c>
      <c r="D24" s="11" t="n">
        <v>126.577841</v>
      </c>
      <c r="E24" s="10" t="n">
        <v>96.90000000000001</v>
      </c>
      <c r="F24" s="11" t="inlineStr">
        <is>
          <t>15.0</t>
        </is>
      </c>
      <c r="G24" s="11" t="inlineStr">
        <is>
          <t>14.1</t>
        </is>
      </c>
      <c r="H24" s="11" t="inlineStr">
        <is>
          <t>14.2</t>
        </is>
      </c>
      <c r="I24" s="11" t="inlineStr">
        <is>
          <t>10.0</t>
        </is>
      </c>
      <c r="J24" s="11" t="inlineStr">
        <is>
          <t>4.9</t>
        </is>
      </c>
      <c r="K24" s="11" t="inlineStr">
        <is>
          <t>1427</t>
        </is>
      </c>
      <c r="L24" s="12">
        <f>HYPERLINK("https://map.naver.com/v5/search/36.120856,126.577841","📍 네이버")</f>
        <v/>
      </c>
      <c r="M24" s="12">
        <f>HYPERLINK("https://map.kakao.com/link/map/P5-2,36.120856,126.577841","📍 카카오")</f>
        <v/>
      </c>
    </row>
    <row r="25">
      <c r="A25" s="10" t="inlineStr">
        <is>
          <t>#5</t>
        </is>
      </c>
      <c r="B25" s="11" t="n">
        <v>3</v>
      </c>
      <c r="C25" s="11" t="n">
        <v>36.111927</v>
      </c>
      <c r="D25" s="11" t="n">
        <v>126.589056</v>
      </c>
      <c r="E25" s="10" t="n">
        <v>96.3</v>
      </c>
      <c r="F25" s="11" t="inlineStr">
        <is>
          <t>15.0</t>
        </is>
      </c>
      <c r="G25" s="11" t="inlineStr">
        <is>
          <t>14.2</t>
        </is>
      </c>
      <c r="H25" s="11" t="inlineStr">
        <is>
          <t>13.8</t>
        </is>
      </c>
      <c r="I25" s="11" t="inlineStr">
        <is>
          <t>10.0</t>
        </is>
      </c>
      <c r="J25" s="11" t="inlineStr">
        <is>
          <t>4.8</t>
        </is>
      </c>
      <c r="K25" s="11" t="inlineStr">
        <is>
          <t>1272</t>
        </is>
      </c>
      <c r="L25" s="12">
        <f>HYPERLINK("https://map.naver.com/v5/search/36.111927,126.589056","📍 네이버")</f>
        <v/>
      </c>
      <c r="M25" s="12">
        <f>HYPERLINK("https://map.kakao.com/link/map/P5-3,36.111927,126.589056","📍 카카오")</f>
        <v/>
      </c>
    </row>
    <row r="26">
      <c r="A26" s="10" t="inlineStr">
        <is>
          <t>#5</t>
        </is>
      </c>
      <c r="B26" s="11" t="n">
        <v>4</v>
      </c>
      <c r="C26" s="11" t="n">
        <v>36.084967</v>
      </c>
      <c r="D26" s="11" t="n">
        <v>126.600474</v>
      </c>
      <c r="E26" s="10" t="n">
        <v>95.7</v>
      </c>
      <c r="F26" s="11" t="inlineStr">
        <is>
          <t>15.0</t>
        </is>
      </c>
      <c r="G26" s="11" t="inlineStr">
        <is>
          <t>14.6</t>
        </is>
      </c>
      <c r="H26" s="11" t="inlineStr">
        <is>
          <t>14.8</t>
        </is>
      </c>
      <c r="I26" s="11" t="inlineStr">
        <is>
          <t>8.0</t>
        </is>
      </c>
      <c r="J26" s="11" t="inlineStr">
        <is>
          <t>5.0</t>
        </is>
      </c>
      <c r="K26" s="11" t="inlineStr">
        <is>
          <t>1710</t>
        </is>
      </c>
      <c r="L26" s="12">
        <f>HYPERLINK("https://map.naver.com/v5/search/36.084967,126.600474","📍 네이버")</f>
        <v/>
      </c>
      <c r="M26" s="12">
        <f>HYPERLINK("https://map.kakao.com/link/map/P5-4,36.084967,126.600474","📍 카카오")</f>
        <v/>
      </c>
    </row>
    <row r="27">
      <c r="A27" s="10" t="inlineStr">
        <is>
          <t>#5</t>
        </is>
      </c>
      <c r="B27" s="11" t="n">
        <v>5</v>
      </c>
      <c r="C27" s="11" t="n">
        <v>36.120683</v>
      </c>
      <c r="D27" s="11" t="n">
        <v>126.555619</v>
      </c>
      <c r="E27" s="10" t="n">
        <v>95.3</v>
      </c>
      <c r="F27" s="11" t="inlineStr">
        <is>
          <t>15.0</t>
        </is>
      </c>
      <c r="G27" s="11" t="inlineStr">
        <is>
          <t>14.2</t>
        </is>
      </c>
      <c r="H27" s="11" t="inlineStr">
        <is>
          <t>15.0</t>
        </is>
      </c>
      <c r="I27" s="11" t="inlineStr">
        <is>
          <t>8.0</t>
        </is>
      </c>
      <c r="J27" s="11" t="inlineStr">
        <is>
          <t>5.0</t>
        </is>
      </c>
      <c r="K27" s="11" t="inlineStr">
        <is>
          <t>1260</t>
        </is>
      </c>
      <c r="L27" s="12">
        <f>HYPERLINK("https://map.naver.com/v5/search/36.120683,126.555619","📍 네이버")</f>
        <v/>
      </c>
      <c r="M27" s="12">
        <f>HYPERLINK("https://map.kakao.com/link/map/P5-5,36.120683,126.555619","📍 카카오")</f>
        <v/>
      </c>
    </row>
    <row r="28">
      <c r="A28" s="7" t="inlineStr">
        <is>
          <t>#6</t>
        </is>
      </c>
      <c r="B28" s="8" t="n">
        <v>1</v>
      </c>
      <c r="C28" s="8" t="n">
        <v>36.229911</v>
      </c>
      <c r="D28" s="8" t="n">
        <v>126.698963</v>
      </c>
      <c r="E28" s="7" t="n">
        <v>90.2</v>
      </c>
      <c r="F28" s="8" t="inlineStr">
        <is>
          <t>13.0</t>
        </is>
      </c>
      <c r="G28" s="8" t="inlineStr">
        <is>
          <t>13.1</t>
        </is>
      </c>
      <c r="H28" s="8" t="inlineStr">
        <is>
          <t>15.0</t>
        </is>
      </c>
      <c r="I28" s="8" t="inlineStr">
        <is>
          <t>8.0</t>
        </is>
      </c>
      <c r="J28" s="8" t="inlineStr">
        <is>
          <t>4.9</t>
        </is>
      </c>
      <c r="K28" s="8" t="inlineStr">
        <is>
          <t>61</t>
        </is>
      </c>
      <c r="L28" s="9">
        <f>HYPERLINK("https://map.naver.com/v5/search/36.229911,126.698963","📍 네이버")</f>
        <v/>
      </c>
      <c r="M28" s="9">
        <f>HYPERLINK("https://map.kakao.com/link/map/P6-1,36.229911,126.698963","📍 카카오")</f>
        <v/>
      </c>
    </row>
    <row r="29">
      <c r="A29" s="10" t="inlineStr">
        <is>
          <t>#6</t>
        </is>
      </c>
      <c r="B29" s="11" t="n">
        <v>2</v>
      </c>
      <c r="C29" s="11" t="n">
        <v>36.238999</v>
      </c>
      <c r="D29" s="11" t="n">
        <v>126.709999</v>
      </c>
      <c r="E29" s="10" t="n">
        <v>90.09999999999999</v>
      </c>
      <c r="F29" s="11" t="inlineStr">
        <is>
          <t>13.0</t>
        </is>
      </c>
      <c r="G29" s="11" t="inlineStr">
        <is>
          <t>14.1</t>
        </is>
      </c>
      <c r="H29" s="11" t="inlineStr">
        <is>
          <t>15.0</t>
        </is>
      </c>
      <c r="I29" s="11" t="inlineStr">
        <is>
          <t>8.0</t>
        </is>
      </c>
      <c r="J29" s="11" t="inlineStr">
        <is>
          <t>4.0</t>
        </is>
      </c>
      <c r="K29" s="11" t="inlineStr">
        <is>
          <t>534</t>
        </is>
      </c>
      <c r="L29" s="12">
        <f>HYPERLINK("https://map.naver.com/v5/search/36.238999,126.709999","📍 네이버")</f>
        <v/>
      </c>
      <c r="M29" s="12">
        <f>HYPERLINK("https://map.kakao.com/link/map/P6-2,36.238999,126.709999","📍 카카오")</f>
        <v/>
      </c>
    </row>
    <row r="30">
      <c r="A30" s="10" t="inlineStr">
        <is>
          <t>#6</t>
        </is>
      </c>
      <c r="B30" s="11" t="n">
        <v>3</v>
      </c>
      <c r="C30" s="11" t="n">
        <v>36.220896</v>
      </c>
      <c r="D30" s="11" t="n">
        <v>126.699055</v>
      </c>
      <c r="E30" s="10" t="n">
        <v>85.59999999999999</v>
      </c>
      <c r="F30" s="11" t="inlineStr">
        <is>
          <t>11.5</t>
        </is>
      </c>
      <c r="G30" s="11" t="inlineStr">
        <is>
          <t>12.5</t>
        </is>
      </c>
      <c r="H30" s="11" t="inlineStr">
        <is>
          <t>14.5</t>
        </is>
      </c>
      <c r="I30" s="11" t="inlineStr">
        <is>
          <t>8.0</t>
        </is>
      </c>
      <c r="J30" s="11" t="inlineStr">
        <is>
          <t>4.9</t>
        </is>
      </c>
      <c r="K30" s="11" t="inlineStr">
        <is>
          <t>162</t>
        </is>
      </c>
      <c r="L30" s="12">
        <f>HYPERLINK("https://map.naver.com/v5/search/36.220896,126.699055","📍 네이버")</f>
        <v/>
      </c>
      <c r="M30" s="12">
        <f>HYPERLINK("https://map.kakao.com/link/map/P6-3,36.220896,126.699055","📍 카카오")</f>
        <v/>
      </c>
    </row>
    <row r="31">
      <c r="A31" s="10" t="inlineStr">
        <is>
          <t>#6</t>
        </is>
      </c>
      <c r="B31" s="11" t="n">
        <v>4</v>
      </c>
      <c r="C31" s="11" t="n">
        <v>36.248014</v>
      </c>
      <c r="D31" s="11" t="n">
        <v>126.709908</v>
      </c>
      <c r="E31" s="10" t="n">
        <v>84.90000000000001</v>
      </c>
      <c r="F31" s="11" t="inlineStr">
        <is>
          <t>10.6</t>
        </is>
      </c>
      <c r="G31" s="11" t="inlineStr">
        <is>
          <t>14.4</t>
        </is>
      </c>
      <c r="H31" s="11" t="inlineStr">
        <is>
          <t>13.8</t>
        </is>
      </c>
      <c r="I31" s="11" t="inlineStr">
        <is>
          <t>8.0</t>
        </is>
      </c>
      <c r="J31" s="11" t="inlineStr">
        <is>
          <t>4.1</t>
        </is>
      </c>
      <c r="K31" s="11" t="inlineStr">
        <is>
          <t>89</t>
        </is>
      </c>
      <c r="L31" s="12">
        <f>HYPERLINK("https://map.naver.com/v5/search/36.248014,126.709908","📍 네이버")</f>
        <v/>
      </c>
      <c r="M31" s="12">
        <f>HYPERLINK("https://map.kakao.com/link/map/P6-4,36.248014,126.709908","📍 카카오")</f>
        <v/>
      </c>
    </row>
    <row r="32">
      <c r="A32" s="10" t="inlineStr">
        <is>
          <t>#6</t>
        </is>
      </c>
      <c r="B32" s="11" t="n">
        <v>5</v>
      </c>
      <c r="C32" s="11" t="n">
        <v>36.257174</v>
      </c>
      <c r="D32" s="11" t="n">
        <v>126.732078</v>
      </c>
      <c r="E32" s="10" t="n">
        <v>84.90000000000001</v>
      </c>
      <c r="F32" s="11" t="inlineStr">
        <is>
          <t>10.5</t>
        </is>
      </c>
      <c r="G32" s="11" t="inlineStr">
        <is>
          <t>14.7</t>
        </is>
      </c>
      <c r="H32" s="11" t="inlineStr">
        <is>
          <t>13.5</t>
        </is>
      </c>
      <c r="I32" s="11" t="inlineStr">
        <is>
          <t>8.0</t>
        </is>
      </c>
      <c r="J32" s="11" t="inlineStr">
        <is>
          <t>4.3</t>
        </is>
      </c>
      <c r="K32" s="11" t="inlineStr">
        <is>
          <t>505</t>
        </is>
      </c>
      <c r="L32" s="12">
        <f>HYPERLINK("https://map.naver.com/v5/search/36.257174,126.732078","📍 네이버")</f>
        <v/>
      </c>
      <c r="M32" s="12">
        <f>HYPERLINK("https://map.kakao.com/link/map/P6-5,36.257174,126.732078","📍 카카오")</f>
        <v/>
      </c>
    </row>
    <row r="33">
      <c r="A33" s="7" t="inlineStr">
        <is>
          <t>#8</t>
        </is>
      </c>
      <c r="B33" s="8" t="n">
        <v>1</v>
      </c>
      <c r="C33" s="8" t="n">
        <v>35.50097</v>
      </c>
      <c r="D33" s="8" t="n">
        <v>126.93781</v>
      </c>
      <c r="E33" s="7" t="n">
        <v>89</v>
      </c>
      <c r="F33" s="8" t="inlineStr">
        <is>
          <t>13.4</t>
        </is>
      </c>
      <c r="G33" s="8" t="inlineStr">
        <is>
          <t>14.0</t>
        </is>
      </c>
      <c r="H33" s="8" t="inlineStr">
        <is>
          <t>11.5</t>
        </is>
      </c>
      <c r="I33" s="8" t="inlineStr">
        <is>
          <t>10.0</t>
        </is>
      </c>
      <c r="J33" s="8" t="inlineStr">
        <is>
          <t>4.5</t>
        </is>
      </c>
      <c r="K33" s="8" t="inlineStr">
        <is>
          <t>214</t>
        </is>
      </c>
      <c r="L33" s="9">
        <f>HYPERLINK("https://map.naver.com/v5/search/35.50097,126.93781","📍 네이버")</f>
        <v/>
      </c>
      <c r="M33" s="9">
        <f>HYPERLINK("https://map.kakao.com/link/map/P8-1,35.50097,126.93781","📍 카카오")</f>
        <v/>
      </c>
    </row>
    <row r="34">
      <c r="A34" s="10" t="inlineStr">
        <is>
          <t>#8</t>
        </is>
      </c>
      <c r="B34" s="11" t="n">
        <v>2</v>
      </c>
      <c r="C34" s="11" t="n">
        <v>35.509934</v>
      </c>
      <c r="D34" s="11" t="n">
        <v>126.92672</v>
      </c>
      <c r="E34" s="10" t="n">
        <v>88.5</v>
      </c>
      <c r="F34" s="11" t="inlineStr">
        <is>
          <t>11.4</t>
        </is>
      </c>
      <c r="G34" s="11" t="inlineStr">
        <is>
          <t>14.0</t>
        </is>
      </c>
      <c r="H34" s="11" t="inlineStr">
        <is>
          <t>13.2</t>
        </is>
      </c>
      <c r="I34" s="11" t="inlineStr">
        <is>
          <t>10.0</t>
        </is>
      </c>
      <c r="J34" s="11" t="inlineStr">
        <is>
          <t>4.5</t>
        </is>
      </c>
      <c r="K34" s="11" t="inlineStr">
        <is>
          <t>585</t>
        </is>
      </c>
      <c r="L34" s="12">
        <f>HYPERLINK("https://map.naver.com/v5/search/35.509934,126.92672","📍 네이버")</f>
        <v/>
      </c>
      <c r="M34" s="12">
        <f>HYPERLINK("https://map.kakao.com/link/map/P8-2,35.509934,126.92672","📍 카카오")</f>
        <v/>
      </c>
    </row>
    <row r="35">
      <c r="A35" s="10" t="inlineStr">
        <is>
          <t>#8</t>
        </is>
      </c>
      <c r="B35" s="11" t="n">
        <v>3</v>
      </c>
      <c r="C35" s="11" t="n">
        <v>35.483135</v>
      </c>
      <c r="D35" s="11" t="n">
        <v>126.982029</v>
      </c>
      <c r="E35" s="10" t="n">
        <v>88</v>
      </c>
      <c r="F35" s="11" t="inlineStr">
        <is>
          <t>14.0</t>
        </is>
      </c>
      <c r="G35" s="11" t="inlineStr">
        <is>
          <t>12.8</t>
        </is>
      </c>
      <c r="H35" s="11" t="inlineStr">
        <is>
          <t>11.7</t>
        </is>
      </c>
      <c r="I35" s="11" t="inlineStr">
        <is>
          <t>10.0</t>
        </is>
      </c>
      <c r="J35" s="11" t="inlineStr">
        <is>
          <t>4.4</t>
        </is>
      </c>
      <c r="K35" s="11" t="inlineStr">
        <is>
          <t>245</t>
        </is>
      </c>
      <c r="L35" s="12">
        <f>HYPERLINK("https://map.naver.com/v5/search/35.483135,126.982029","📍 네이버")</f>
        <v/>
      </c>
      <c r="M35" s="12">
        <f>HYPERLINK("https://map.kakao.com/link/map/P8-3,35.483135,126.982029","📍 카카오")</f>
        <v/>
      </c>
    </row>
    <row r="36">
      <c r="A36" s="10" t="inlineStr">
        <is>
          <t>#8</t>
        </is>
      </c>
      <c r="B36" s="11" t="n">
        <v>4</v>
      </c>
      <c r="C36" s="11" t="n">
        <v>35.500701</v>
      </c>
      <c r="D36" s="11" t="n">
        <v>126.882681</v>
      </c>
      <c r="E36" s="10" t="n">
        <v>83</v>
      </c>
      <c r="F36" s="11" t="inlineStr">
        <is>
          <t>10.1</t>
        </is>
      </c>
      <c r="G36" s="11" t="inlineStr">
        <is>
          <t>13.4</t>
        </is>
      </c>
      <c r="H36" s="11" t="inlineStr">
        <is>
          <t>15.0</t>
        </is>
      </c>
      <c r="I36" s="11" t="inlineStr">
        <is>
          <t>7.0</t>
        </is>
      </c>
      <c r="J36" s="11" t="inlineStr">
        <is>
          <t>4.3</t>
        </is>
      </c>
      <c r="K36" s="11" t="inlineStr">
        <is>
          <t>1082</t>
        </is>
      </c>
      <c r="L36" s="12">
        <f>HYPERLINK("https://map.naver.com/v5/search/35.500701,126.882681","📍 네이버")</f>
        <v/>
      </c>
      <c r="M36" s="12">
        <f>HYPERLINK("https://map.kakao.com/link/map/P8-4,35.500701,126.882681","📍 카카오")</f>
        <v/>
      </c>
    </row>
    <row r="37">
      <c r="A37" s="10" t="inlineStr">
        <is>
          <t>#8</t>
        </is>
      </c>
      <c r="B37" s="11" t="n">
        <v>5</v>
      </c>
      <c r="C37" s="11" t="n">
        <v>35.474071</v>
      </c>
      <c r="D37" s="11" t="n">
        <v>126.971065</v>
      </c>
      <c r="E37" s="10" t="n">
        <v>77.90000000000001</v>
      </c>
      <c r="F37" s="11" t="inlineStr">
        <is>
          <t>12.5</t>
        </is>
      </c>
      <c r="G37" s="11" t="inlineStr">
        <is>
          <t>13.4</t>
        </is>
      </c>
      <c r="H37" s="11" t="inlineStr">
        <is>
          <t>9.7</t>
        </is>
      </c>
      <c r="I37" s="11" t="inlineStr">
        <is>
          <t>7.0</t>
        </is>
      </c>
      <c r="J37" s="11" t="inlineStr">
        <is>
          <t>4.1</t>
        </is>
      </c>
      <c r="K37" s="11" t="inlineStr">
        <is>
          <t>2</t>
        </is>
      </c>
      <c r="L37" s="12">
        <f>HYPERLINK("https://map.naver.com/v5/search/35.474071,126.971065","📍 네이버")</f>
        <v/>
      </c>
      <c r="M37" s="12">
        <f>HYPERLINK("https://map.kakao.com/link/map/P8-5,35.474071,126.971065","📍 카카오")</f>
        <v/>
      </c>
    </row>
    <row r="38">
      <c r="A38" s="7" t="inlineStr">
        <is>
          <t>#9</t>
        </is>
      </c>
      <c r="B38" s="8" t="n">
        <v>1</v>
      </c>
      <c r="C38" s="8" t="n">
        <v>36.546607</v>
      </c>
      <c r="D38" s="8" t="n">
        <v>126.896818</v>
      </c>
      <c r="E38" s="7" t="n">
        <v>91.09999999999999</v>
      </c>
      <c r="F38" s="8" t="inlineStr">
        <is>
          <t>13.5</t>
        </is>
      </c>
      <c r="G38" s="8" t="inlineStr">
        <is>
          <t>13.2</t>
        </is>
      </c>
      <c r="H38" s="8" t="inlineStr">
        <is>
          <t>15.0</t>
        </is>
      </c>
      <c r="I38" s="8" t="inlineStr">
        <is>
          <t>8.0</t>
        </is>
      </c>
      <c r="J38" s="8" t="inlineStr">
        <is>
          <t>5.0</t>
        </is>
      </c>
      <c r="K38" s="8" t="inlineStr">
        <is>
          <t>260</t>
        </is>
      </c>
      <c r="L38" s="9">
        <f>HYPERLINK("https://map.naver.com/v5/search/36.546607,126.896818","📍 네이버")</f>
        <v/>
      </c>
      <c r="M38" s="9">
        <f>HYPERLINK("https://map.kakao.com/link/map/P9-1,36.546607,126.896818","📍 카카오")</f>
        <v/>
      </c>
    </row>
    <row r="39">
      <c r="A39" s="10" t="inlineStr">
        <is>
          <t>#9</t>
        </is>
      </c>
      <c r="B39" s="11" t="n">
        <v>2</v>
      </c>
      <c r="C39" s="11" t="n">
        <v>36.537757</v>
      </c>
      <c r="D39" s="11" t="n">
        <v>126.930401</v>
      </c>
      <c r="E39" s="10" t="n">
        <v>90.90000000000001</v>
      </c>
      <c r="F39" s="11" t="inlineStr">
        <is>
          <t>12.9</t>
        </is>
      </c>
      <c r="G39" s="11" t="inlineStr">
        <is>
          <t>14.5</t>
        </is>
      </c>
      <c r="H39" s="11" t="inlineStr">
        <is>
          <t>14.5</t>
        </is>
      </c>
      <c r="I39" s="11" t="inlineStr">
        <is>
          <t>8.0</t>
        </is>
      </c>
      <c r="J39" s="11" t="inlineStr">
        <is>
          <t>4.8</t>
        </is>
      </c>
      <c r="K39" s="11" t="inlineStr">
        <is>
          <t>921</t>
        </is>
      </c>
      <c r="L39" s="12">
        <f>HYPERLINK("https://map.naver.com/v5/search/36.537757,126.930401","📍 네이버")</f>
        <v/>
      </c>
      <c r="M39" s="12">
        <f>HYPERLINK("https://map.kakao.com/link/map/P9-2,36.537757,126.930401","📍 카카오")</f>
        <v/>
      </c>
    </row>
    <row r="40">
      <c r="A40" s="10" t="inlineStr">
        <is>
          <t>#9</t>
        </is>
      </c>
      <c r="B40" s="11" t="n">
        <v>3</v>
      </c>
      <c r="C40" s="11" t="n">
        <v>36.564854</v>
      </c>
      <c r="D40" s="11" t="n">
        <v>126.941378</v>
      </c>
      <c r="E40" s="10" t="n">
        <v>90.7</v>
      </c>
      <c r="F40" s="11" t="inlineStr">
        <is>
          <t>13.0</t>
        </is>
      </c>
      <c r="G40" s="11" t="inlineStr">
        <is>
          <t>14.5</t>
        </is>
      </c>
      <c r="H40" s="11" t="inlineStr">
        <is>
          <t>14.3</t>
        </is>
      </c>
      <c r="I40" s="11" t="inlineStr">
        <is>
          <t>8.0</t>
        </is>
      </c>
      <c r="J40" s="11" t="inlineStr">
        <is>
          <t>4.6</t>
        </is>
      </c>
      <c r="K40" s="11" t="inlineStr">
        <is>
          <t>139</t>
        </is>
      </c>
      <c r="L40" s="12">
        <f>HYPERLINK("https://map.naver.com/v5/search/36.564854,126.941378","📍 네이버")</f>
        <v/>
      </c>
      <c r="M40" s="12">
        <f>HYPERLINK("https://map.kakao.com/link/map/P9-3,36.564854,126.941378","📍 카카오")</f>
        <v/>
      </c>
    </row>
    <row r="41">
      <c r="A41" s="10" t="inlineStr">
        <is>
          <t>#9</t>
        </is>
      </c>
      <c r="B41" s="11" t="n">
        <v>4</v>
      </c>
      <c r="C41" s="11" t="n">
        <v>36.582883</v>
      </c>
      <c r="D41" s="11" t="n">
        <v>126.941248</v>
      </c>
      <c r="E41" s="10" t="n">
        <v>90.2</v>
      </c>
      <c r="F41" s="11" t="inlineStr">
        <is>
          <t>12.1</t>
        </is>
      </c>
      <c r="G41" s="11" t="inlineStr">
        <is>
          <t>14.5</t>
        </is>
      </c>
      <c r="H41" s="11" t="inlineStr">
        <is>
          <t>15.0</t>
        </is>
      </c>
      <c r="I41" s="11" t="inlineStr">
        <is>
          <t>8.0</t>
        </is>
      </c>
      <c r="J41" s="11" t="inlineStr">
        <is>
          <t>4.6</t>
        </is>
      </c>
      <c r="K41" s="11" t="inlineStr">
        <is>
          <t>155</t>
        </is>
      </c>
      <c r="L41" s="12">
        <f>HYPERLINK("https://map.naver.com/v5/search/36.582883,126.941248","📍 네이버")</f>
        <v/>
      </c>
      <c r="M41" s="12">
        <f>HYPERLINK("https://map.kakao.com/link/map/P9-4,36.582883,126.941248","📍 카카오")</f>
        <v/>
      </c>
    </row>
    <row r="42">
      <c r="A42" s="10" t="inlineStr">
        <is>
          <t>#9</t>
        </is>
      </c>
      <c r="B42" s="11" t="n">
        <v>5</v>
      </c>
      <c r="C42" s="11" t="n">
        <v>36.546663</v>
      </c>
      <c r="D42" s="11" t="n">
        <v>126.90799</v>
      </c>
      <c r="E42" s="10" t="n">
        <v>90</v>
      </c>
      <c r="F42" s="11" t="inlineStr">
        <is>
          <t>13.0</t>
        </is>
      </c>
      <c r="G42" s="11" t="inlineStr">
        <is>
          <t>13.8</t>
        </is>
      </c>
      <c r="H42" s="11" t="inlineStr">
        <is>
          <t>14.3</t>
        </is>
      </c>
      <c r="I42" s="11" t="inlineStr">
        <is>
          <t>8.0</t>
        </is>
      </c>
      <c r="J42" s="11" t="inlineStr">
        <is>
          <t>4.9</t>
        </is>
      </c>
      <c r="K42" s="11" t="inlineStr">
        <is>
          <t>552</t>
        </is>
      </c>
      <c r="L42" s="12">
        <f>HYPERLINK("https://map.naver.com/v5/search/36.546663,126.90799","📍 네이버")</f>
        <v/>
      </c>
      <c r="M42" s="12">
        <f>HYPERLINK("https://map.kakao.com/link/map/P9-5,36.546663,126.90799","📍 카카오")</f>
        <v/>
      </c>
    </row>
    <row r="43">
      <c r="A43" s="7" t="inlineStr">
        <is>
          <t>#12</t>
        </is>
      </c>
      <c r="B43" s="8" t="n">
        <v>1</v>
      </c>
      <c r="C43" s="8" t="n">
        <v>34.563535</v>
      </c>
      <c r="D43" s="8" t="n">
        <v>127.020501</v>
      </c>
      <c r="E43" s="7" t="n">
        <v>99.8</v>
      </c>
      <c r="F43" s="8" t="inlineStr">
        <is>
          <t>15.0</t>
        </is>
      </c>
      <c r="G43" s="8" t="inlineStr">
        <is>
          <t>15.0</t>
        </is>
      </c>
      <c r="H43" s="8" t="inlineStr">
        <is>
          <t>15.0</t>
        </is>
      </c>
      <c r="I43" s="8" t="inlineStr">
        <is>
          <t>10.0</t>
        </is>
      </c>
      <c r="J43" s="8" t="inlineStr">
        <is>
          <t>4.9</t>
        </is>
      </c>
      <c r="K43" s="8" t="inlineStr">
        <is>
          <t>1324</t>
        </is>
      </c>
      <c r="L43" s="9">
        <f>HYPERLINK("https://map.naver.com/v5/search/34.563535,127.020501","📍 네이버")</f>
        <v/>
      </c>
      <c r="M43" s="9">
        <f>HYPERLINK("https://map.kakao.com/link/map/P12-1,34.563535,127.020501","📍 카카오")</f>
        <v/>
      </c>
    </row>
    <row r="44">
      <c r="A44" s="10" t="inlineStr">
        <is>
          <t>#12</t>
        </is>
      </c>
      <c r="B44" s="11" t="n">
        <v>2</v>
      </c>
      <c r="C44" s="11" t="n">
        <v>34.572553</v>
      </c>
      <c r="D44" s="11" t="n">
        <v>127.020449</v>
      </c>
      <c r="E44" s="10" t="n">
        <v>99.09999999999999</v>
      </c>
      <c r="F44" s="11" t="inlineStr">
        <is>
          <t>15.0</t>
        </is>
      </c>
      <c r="G44" s="11" t="inlineStr">
        <is>
          <t>15.0</t>
        </is>
      </c>
      <c r="H44" s="11" t="inlineStr">
        <is>
          <t>14.7</t>
        </is>
      </c>
      <c r="I44" s="11" t="inlineStr">
        <is>
          <t>10.0</t>
        </is>
      </c>
      <c r="J44" s="11" t="inlineStr">
        <is>
          <t>4.8</t>
        </is>
      </c>
      <c r="K44" s="11" t="inlineStr">
        <is>
          <t>1475</t>
        </is>
      </c>
      <c r="L44" s="12">
        <f>HYPERLINK("https://map.naver.com/v5/search/34.572553,127.020449","📍 네이버")</f>
        <v/>
      </c>
      <c r="M44" s="12">
        <f>HYPERLINK("https://map.kakao.com/link/map/P12-2,34.572553,127.020449","📍 카카오")</f>
        <v/>
      </c>
    </row>
    <row r="45">
      <c r="A45" s="10" t="inlineStr">
        <is>
          <t>#12</t>
        </is>
      </c>
      <c r="B45" s="11" t="n">
        <v>3</v>
      </c>
      <c r="C45" s="11" t="n">
        <v>34.572509</v>
      </c>
      <c r="D45" s="11" t="n">
        <v>127.009547</v>
      </c>
      <c r="E45" s="10" t="n">
        <v>98.3</v>
      </c>
      <c r="F45" s="11" t="inlineStr">
        <is>
          <t>15.0</t>
        </is>
      </c>
      <c r="G45" s="11" t="inlineStr">
        <is>
          <t>15.0</t>
        </is>
      </c>
      <c r="H45" s="11" t="inlineStr">
        <is>
          <t>14.4</t>
        </is>
      </c>
      <c r="I45" s="11" t="inlineStr">
        <is>
          <t>10.0</t>
        </is>
      </c>
      <c r="J45" s="11" t="inlineStr">
        <is>
          <t>4.6</t>
        </is>
      </c>
      <c r="K45" s="11" t="inlineStr">
        <is>
          <t>547</t>
        </is>
      </c>
      <c r="L45" s="12">
        <f>HYPERLINK("https://map.naver.com/v5/search/34.572509,127.009547","📍 네이버")</f>
        <v/>
      </c>
      <c r="M45" s="12">
        <f>HYPERLINK("https://map.kakao.com/link/map/P12-3,34.572509,127.009547","📍 카카오")</f>
        <v/>
      </c>
    </row>
    <row r="46">
      <c r="A46" s="10" t="inlineStr">
        <is>
          <t>#12</t>
        </is>
      </c>
      <c r="B46" s="11" t="n">
        <v>4</v>
      </c>
      <c r="C46" s="11" t="n">
        <v>34.58157</v>
      </c>
      <c r="D46" s="11" t="n">
        <v>127.020397</v>
      </c>
      <c r="E46" s="10" t="n">
        <v>98.3</v>
      </c>
      <c r="F46" s="11" t="inlineStr">
        <is>
          <t>15.0</t>
        </is>
      </c>
      <c r="G46" s="11" t="inlineStr">
        <is>
          <t>15.0</t>
        </is>
      </c>
      <c r="H46" s="11" t="inlineStr">
        <is>
          <t>14.3</t>
        </is>
      </c>
      <c r="I46" s="11" t="inlineStr">
        <is>
          <t>10.0</t>
        </is>
      </c>
      <c r="J46" s="11" t="inlineStr">
        <is>
          <t>4.7</t>
        </is>
      </c>
      <c r="K46" s="11" t="inlineStr">
        <is>
          <t>1952</t>
        </is>
      </c>
      <c r="L46" s="12">
        <f>HYPERLINK("https://map.naver.com/v5/search/34.58157,127.020397","📍 네이버")</f>
        <v/>
      </c>
      <c r="M46" s="12">
        <f>HYPERLINK("https://map.kakao.com/link/map/P12-4,34.58157,127.020397","📍 카카오")</f>
        <v/>
      </c>
    </row>
    <row r="47">
      <c r="A47" s="10" t="inlineStr">
        <is>
          <t>#12</t>
        </is>
      </c>
      <c r="B47" s="11" t="n">
        <v>5</v>
      </c>
      <c r="C47" s="11" t="n">
        <v>34.608666</v>
      </c>
      <c r="D47" s="11" t="n">
        <v>127.031148</v>
      </c>
      <c r="E47" s="10" t="n">
        <v>97.5</v>
      </c>
      <c r="F47" s="11" t="inlineStr">
        <is>
          <t>15.0</t>
        </is>
      </c>
      <c r="G47" s="11" t="inlineStr">
        <is>
          <t>15.0</t>
        </is>
      </c>
      <c r="H47" s="11" t="inlineStr">
        <is>
          <t>13.6</t>
        </is>
      </c>
      <c r="I47" s="11" t="inlineStr">
        <is>
          <t>10.0</t>
        </is>
      </c>
      <c r="J47" s="11" t="inlineStr">
        <is>
          <t>4.9</t>
        </is>
      </c>
      <c r="K47" s="11" t="inlineStr">
        <is>
          <t>1651</t>
        </is>
      </c>
      <c r="L47" s="12">
        <f>HYPERLINK("https://map.naver.com/v5/search/34.608666,127.031148","📍 네이버")</f>
        <v/>
      </c>
      <c r="M47" s="12">
        <f>HYPERLINK("https://map.kakao.com/link/map/P12-5,34.608666,127.031148","📍 카카오")</f>
        <v/>
      </c>
    </row>
    <row r="48">
      <c r="A48" s="7" t="inlineStr">
        <is>
          <t>#13</t>
        </is>
      </c>
      <c r="B48" s="8" t="n">
        <v>1</v>
      </c>
      <c r="C48" s="8" t="n">
        <v>36.58331</v>
      </c>
      <c r="D48" s="8" t="n">
        <v>127.04185</v>
      </c>
      <c r="E48" s="7" t="n">
        <v>86.09999999999999</v>
      </c>
      <c r="F48" s="8" t="inlineStr">
        <is>
          <t>12.1</t>
        </is>
      </c>
      <c r="G48" s="8" t="inlineStr">
        <is>
          <t>14.5</t>
        </is>
      </c>
      <c r="H48" s="8" t="inlineStr">
        <is>
          <t>14.0</t>
        </is>
      </c>
      <c r="I48" s="8" t="inlineStr">
        <is>
          <t>8.0</t>
        </is>
      </c>
      <c r="J48" s="8" t="inlineStr">
        <is>
          <t>3.2</t>
        </is>
      </c>
      <c r="K48" s="8" t="inlineStr">
        <is>
          <t>375</t>
        </is>
      </c>
      <c r="L48" s="9">
        <f>HYPERLINK("https://map.naver.com/v5/search/36.58331,127.04185","📍 네이버")</f>
        <v/>
      </c>
      <c r="M48" s="9">
        <f>HYPERLINK("https://map.kakao.com/link/map/P13-1,36.58331,127.04185","📍 카카오")</f>
        <v/>
      </c>
    </row>
    <row r="49">
      <c r="A49" s="10" t="inlineStr">
        <is>
          <t>#13</t>
        </is>
      </c>
      <c r="B49" s="11" t="n">
        <v>2</v>
      </c>
      <c r="C49" s="11" t="n">
        <v>36.610174</v>
      </c>
      <c r="D49" s="11" t="n">
        <v>126.996963</v>
      </c>
      <c r="E49" s="10" t="n">
        <v>85.59999999999999</v>
      </c>
      <c r="F49" s="11" t="inlineStr">
        <is>
          <t>12.5</t>
        </is>
      </c>
      <c r="G49" s="11" t="inlineStr">
        <is>
          <t>14.0</t>
        </is>
      </c>
      <c r="H49" s="11" t="inlineStr">
        <is>
          <t>13.2</t>
        </is>
      </c>
      <c r="I49" s="11" t="inlineStr">
        <is>
          <t>8.0</t>
        </is>
      </c>
      <c r="J49" s="11" t="inlineStr">
        <is>
          <t>3.7</t>
        </is>
      </c>
      <c r="K49" s="11" t="inlineStr">
        <is>
          <t>240</t>
        </is>
      </c>
      <c r="L49" s="12">
        <f>HYPERLINK("https://map.naver.com/v5/search/36.610174,126.996963","📍 네이버")</f>
        <v/>
      </c>
      <c r="M49" s="12">
        <f>HYPERLINK("https://map.kakao.com/link/map/P13-2,36.610174,126.996963","📍 카카오")</f>
        <v/>
      </c>
    </row>
    <row r="50">
      <c r="A50" s="10" t="inlineStr">
        <is>
          <t>#13</t>
        </is>
      </c>
      <c r="B50" s="11" t="n">
        <v>3</v>
      </c>
      <c r="C50" s="11" t="n">
        <v>36.583176</v>
      </c>
      <c r="D50" s="11" t="n">
        <v>127.008316</v>
      </c>
      <c r="E50" s="10" t="n">
        <v>85.5</v>
      </c>
      <c r="F50" s="11" t="inlineStr">
        <is>
          <t>10.4</t>
        </is>
      </c>
      <c r="G50" s="11" t="inlineStr">
        <is>
          <t>14.6</t>
        </is>
      </c>
      <c r="H50" s="11" t="inlineStr">
        <is>
          <t>14.6</t>
        </is>
      </c>
      <c r="I50" s="11" t="inlineStr">
        <is>
          <t>8.0</t>
        </is>
      </c>
      <c r="J50" s="11" t="inlineStr">
        <is>
          <t>3.7</t>
        </is>
      </c>
      <c r="K50" s="11" t="inlineStr">
        <is>
          <t>697</t>
        </is>
      </c>
      <c r="L50" s="12">
        <f>HYPERLINK("https://map.naver.com/v5/search/36.583176,127.008316","📍 네이버")</f>
        <v/>
      </c>
      <c r="M50" s="12">
        <f>HYPERLINK("https://map.kakao.com/link/map/P13-3,36.583176,127.008316","📍 카카오")</f>
        <v/>
      </c>
    </row>
    <row r="51">
      <c r="A51" s="10" t="inlineStr">
        <is>
          <t>#13</t>
        </is>
      </c>
      <c r="B51" s="11" t="n">
        <v>4</v>
      </c>
      <c r="C51" s="11" t="n">
        <v>36.56528</v>
      </c>
      <c r="D51" s="11" t="n">
        <v>127.041956</v>
      </c>
      <c r="E51" s="10" t="n">
        <v>85</v>
      </c>
      <c r="F51" s="11" t="inlineStr">
        <is>
          <t>13.9</t>
        </is>
      </c>
      <c r="G51" s="11" t="inlineStr">
        <is>
          <t>14.8</t>
        </is>
      </c>
      <c r="H51" s="11" t="inlineStr">
        <is>
          <t>12.9</t>
        </is>
      </c>
      <c r="I51" s="11" t="inlineStr">
        <is>
          <t>5.0</t>
        </is>
      </c>
      <c r="J51" s="11" t="inlineStr">
        <is>
          <t>4.5</t>
        </is>
      </c>
      <c r="K51" s="11" t="inlineStr">
        <is>
          <t>321</t>
        </is>
      </c>
      <c r="L51" s="12">
        <f>HYPERLINK("https://map.naver.com/v5/search/36.56528,127.041956","📍 네이버")</f>
        <v/>
      </c>
      <c r="M51" s="12">
        <f>HYPERLINK("https://map.kakao.com/link/map/P13-4,36.56528,127.041956","📍 카카오")</f>
        <v/>
      </c>
    </row>
    <row r="52">
      <c r="A52" s="10" t="inlineStr">
        <is>
          <t>#13</t>
        </is>
      </c>
      <c r="B52" s="11" t="n">
        <v>5</v>
      </c>
      <c r="C52" s="11" t="n">
        <v>36.583082</v>
      </c>
      <c r="D52" s="11" t="n">
        <v>126.985961</v>
      </c>
      <c r="E52" s="10" t="n">
        <v>84.59999999999999</v>
      </c>
      <c r="F52" s="11" t="inlineStr">
        <is>
          <t>12.7</t>
        </is>
      </c>
      <c r="G52" s="11" t="inlineStr">
        <is>
          <t>14.7</t>
        </is>
      </c>
      <c r="H52" s="11" t="inlineStr">
        <is>
          <t>12.4</t>
        </is>
      </c>
      <c r="I52" s="11" t="inlineStr">
        <is>
          <t>8.0</t>
        </is>
      </c>
      <c r="J52" s="11" t="inlineStr">
        <is>
          <t>3.0</t>
        </is>
      </c>
      <c r="K52" s="11" t="inlineStr">
        <is>
          <t>162</t>
        </is>
      </c>
      <c r="L52" s="12">
        <f>HYPERLINK("https://map.naver.com/v5/search/36.583082,126.985961","📍 네이버")</f>
        <v/>
      </c>
      <c r="M52" s="12">
        <f>HYPERLINK("https://map.kakao.com/link/map/P13-5,36.583082,126.985961","📍 카카오")</f>
        <v/>
      </c>
    </row>
    <row r="53">
      <c r="A53" s="7" t="inlineStr">
        <is>
          <t>#14</t>
        </is>
      </c>
      <c r="B53" s="8" t="n">
        <v>1</v>
      </c>
      <c r="C53" s="8" t="n">
        <v>38.196728</v>
      </c>
      <c r="D53" s="8" t="n">
        <v>127.031918</v>
      </c>
      <c r="E53" s="7" t="n">
        <v>89.90000000000001</v>
      </c>
      <c r="F53" s="8" t="inlineStr">
        <is>
          <t>14.5</t>
        </is>
      </c>
      <c r="G53" s="8" t="inlineStr">
        <is>
          <t>14.0</t>
        </is>
      </c>
      <c r="H53" s="8" t="inlineStr">
        <is>
          <t>14.7</t>
        </is>
      </c>
      <c r="I53" s="8" t="inlineStr">
        <is>
          <t>6.0</t>
        </is>
      </c>
      <c r="J53" s="8" t="inlineStr">
        <is>
          <t>4.7</t>
        </is>
      </c>
      <c r="K53" s="8" t="inlineStr">
        <is>
          <t>162</t>
        </is>
      </c>
      <c r="L53" s="9">
        <f>HYPERLINK("https://map.naver.com/v5/search/38.196728,127.031918","📍 네이버")</f>
        <v/>
      </c>
      <c r="M53" s="9">
        <f>HYPERLINK("https://map.kakao.com/link/map/P14-1,38.196728,127.031918","📍 카카오")</f>
        <v/>
      </c>
    </row>
    <row r="54">
      <c r="A54" s="10" t="inlineStr">
        <is>
          <t>#14</t>
        </is>
      </c>
      <c r="B54" s="11" t="n">
        <v>2</v>
      </c>
      <c r="C54" s="11" t="n">
        <v>38.178657</v>
      </c>
      <c r="D54" s="11" t="n">
        <v>127.020616</v>
      </c>
      <c r="E54" s="10" t="n">
        <v>88.40000000000001</v>
      </c>
      <c r="F54" s="11" t="inlineStr">
        <is>
          <t>13.6</t>
        </is>
      </c>
      <c r="G54" s="11" t="inlineStr">
        <is>
          <t>14.1</t>
        </is>
      </c>
      <c r="H54" s="11" t="inlineStr">
        <is>
          <t>14.6</t>
        </is>
      </c>
      <c r="I54" s="11" t="inlineStr">
        <is>
          <t>6.0</t>
        </is>
      </c>
      <c r="J54" s="11" t="inlineStr">
        <is>
          <t>4.8</t>
        </is>
      </c>
      <c r="K54" s="11" t="inlineStr">
        <is>
          <t>1054</t>
        </is>
      </c>
      <c r="L54" s="12">
        <f>HYPERLINK("https://map.naver.com/v5/search/38.178657,127.020616","📍 네이버")</f>
        <v/>
      </c>
      <c r="M54" s="12">
        <f>HYPERLINK("https://map.kakao.com/link/map/P14-2,38.178657,127.020616","📍 카카오")</f>
        <v/>
      </c>
    </row>
    <row r="55">
      <c r="A55" s="10" t="inlineStr">
        <is>
          <t>#14</t>
        </is>
      </c>
      <c r="B55" s="11" t="n">
        <v>3</v>
      </c>
      <c r="C55" s="11" t="n">
        <v>38.187669</v>
      </c>
      <c r="D55" s="11" t="n">
        <v>127.020557</v>
      </c>
      <c r="E55" s="10" t="n">
        <v>88.3</v>
      </c>
      <c r="F55" s="11" t="inlineStr">
        <is>
          <t>12.9</t>
        </is>
      </c>
      <c r="G55" s="11" t="inlineStr">
        <is>
          <t>14.3</t>
        </is>
      </c>
      <c r="H55" s="11" t="inlineStr">
        <is>
          <t>15.0</t>
        </is>
      </c>
      <c r="I55" s="11" t="inlineStr">
        <is>
          <t>6.0</t>
        </is>
      </c>
      <c r="J55" s="11" t="inlineStr">
        <is>
          <t>4.8</t>
        </is>
      </c>
      <c r="K55" s="11" t="inlineStr">
        <is>
          <t>1405</t>
        </is>
      </c>
      <c r="L55" s="12">
        <f>HYPERLINK("https://map.naver.com/v5/search/38.187669,127.020557","📍 네이버")</f>
        <v/>
      </c>
      <c r="M55" s="12">
        <f>HYPERLINK("https://map.kakao.com/link/map/P14-3,38.187669,127.020557","📍 카카오")</f>
        <v/>
      </c>
    </row>
    <row r="56">
      <c r="A56" s="10" t="inlineStr">
        <is>
          <t>#14</t>
        </is>
      </c>
      <c r="B56" s="11" t="n">
        <v>4</v>
      </c>
      <c r="C56" s="11" t="n">
        <v>38.187622</v>
      </c>
      <c r="D56" s="11" t="n">
        <v>127.009138</v>
      </c>
      <c r="E56" s="10" t="n">
        <v>87.90000000000001</v>
      </c>
      <c r="F56" s="11" t="inlineStr">
        <is>
          <t>14.0</t>
        </is>
      </c>
      <c r="G56" s="11" t="inlineStr">
        <is>
          <t>14.6</t>
        </is>
      </c>
      <c r="H56" s="11" t="inlineStr">
        <is>
          <t>13.3</t>
        </is>
      </c>
      <c r="I56" s="11" t="inlineStr">
        <is>
          <t>6.0</t>
        </is>
      </c>
      <c r="J56" s="11" t="inlineStr">
        <is>
          <t>4.9</t>
        </is>
      </c>
      <c r="K56" s="11" t="inlineStr">
        <is>
          <t>822</t>
        </is>
      </c>
      <c r="L56" s="12">
        <f>HYPERLINK("https://map.naver.com/v5/search/38.187622,127.009138","📍 네이버")</f>
        <v/>
      </c>
      <c r="M56" s="12">
        <f>HYPERLINK("https://map.kakao.com/link/map/P14-4,38.187622,127.009138","📍 카카오")</f>
        <v/>
      </c>
    </row>
    <row r="57">
      <c r="A57" s="10" t="inlineStr">
        <is>
          <t>#14</t>
        </is>
      </c>
      <c r="B57" s="11" t="n">
        <v>5</v>
      </c>
      <c r="C57" s="11" t="n">
        <v>38.196773</v>
      </c>
      <c r="D57" s="11" t="n">
        <v>127.043338</v>
      </c>
      <c r="E57" s="10" t="n">
        <v>87.40000000000001</v>
      </c>
      <c r="F57" s="11" t="inlineStr">
        <is>
          <t>13.7</t>
        </is>
      </c>
      <c r="G57" s="11" t="inlineStr">
        <is>
          <t>13.3</t>
        </is>
      </c>
      <c r="H57" s="11" t="inlineStr">
        <is>
          <t>14.8</t>
        </is>
      </c>
      <c r="I57" s="11" t="inlineStr">
        <is>
          <t>6.0</t>
        </is>
      </c>
      <c r="J57" s="11" t="inlineStr">
        <is>
          <t>4.6</t>
        </is>
      </c>
      <c r="K57" s="11" t="inlineStr">
        <is>
          <t>789</t>
        </is>
      </c>
      <c r="L57" s="12">
        <f>HYPERLINK("https://map.naver.com/v5/search/38.196773,127.043338","📍 네이버")</f>
        <v/>
      </c>
      <c r="M57" s="12">
        <f>HYPERLINK("https://map.kakao.com/link/map/P14-5,38.196773,127.043338","📍 카카오")</f>
        <v/>
      </c>
    </row>
    <row r="58">
      <c r="A58" s="7" t="inlineStr">
        <is>
          <t>#15</t>
        </is>
      </c>
      <c r="B58" s="8" t="n">
        <v>1</v>
      </c>
      <c r="C58" s="8" t="n">
        <v>34.654219</v>
      </c>
      <c r="D58" s="8" t="n">
        <v>127.172759</v>
      </c>
      <c r="E58" s="7" t="n">
        <v>99</v>
      </c>
      <c r="F58" s="8" t="inlineStr">
        <is>
          <t>15.0</t>
        </is>
      </c>
      <c r="G58" s="8" t="inlineStr">
        <is>
          <t>15.0</t>
        </is>
      </c>
      <c r="H58" s="8" t="inlineStr">
        <is>
          <t>14.4</t>
        </is>
      </c>
      <c r="I58" s="8" t="inlineStr">
        <is>
          <t>10.0</t>
        </is>
      </c>
      <c r="J58" s="8" t="inlineStr">
        <is>
          <t>5.0</t>
        </is>
      </c>
      <c r="K58" s="8" t="inlineStr">
        <is>
          <t>1976</t>
        </is>
      </c>
      <c r="L58" s="9">
        <f>HYPERLINK("https://map.naver.com/v5/search/34.654219,127.172759","📍 네이버")</f>
        <v/>
      </c>
      <c r="M58" s="9">
        <f>HYPERLINK("https://map.kakao.com/link/map/P15-1,34.654219,127.172759","📍 카카오")</f>
        <v/>
      </c>
    </row>
    <row r="59">
      <c r="A59" s="10" t="inlineStr">
        <is>
          <t>#15</t>
        </is>
      </c>
      <c r="B59" s="11" t="n">
        <v>2</v>
      </c>
      <c r="C59" s="11" t="n">
        <v>34.681329</v>
      </c>
      <c r="D59" s="11" t="n">
        <v>127.194486</v>
      </c>
      <c r="E59" s="10" t="n">
        <v>98.5</v>
      </c>
      <c r="F59" s="11" t="inlineStr">
        <is>
          <t>15.0</t>
        </is>
      </c>
      <c r="G59" s="11" t="inlineStr">
        <is>
          <t>14.5</t>
        </is>
      </c>
      <c r="H59" s="11" t="inlineStr">
        <is>
          <t>15.0</t>
        </is>
      </c>
      <c r="I59" s="11" t="inlineStr">
        <is>
          <t>10.0</t>
        </is>
      </c>
      <c r="J59" s="11" t="inlineStr">
        <is>
          <t>4.6</t>
        </is>
      </c>
      <c r="K59" s="11" t="inlineStr">
        <is>
          <t>1793</t>
        </is>
      </c>
      <c r="L59" s="12">
        <f>HYPERLINK("https://map.naver.com/v5/search/34.681329,127.194486","📍 네이버")</f>
        <v/>
      </c>
      <c r="M59" s="12">
        <f>HYPERLINK("https://map.kakao.com/link/map/P15-2,34.681329,127.194486","📍 카카오")</f>
        <v/>
      </c>
    </row>
    <row r="60">
      <c r="A60" s="10" t="inlineStr">
        <is>
          <t>#15</t>
        </is>
      </c>
      <c r="B60" s="11" t="n">
        <v>3</v>
      </c>
      <c r="C60" s="11" t="n">
        <v>34.663265</v>
      </c>
      <c r="D60" s="11" t="n">
        <v>127.183638</v>
      </c>
      <c r="E60" s="10" t="n">
        <v>98.3</v>
      </c>
      <c r="F60" s="11" t="inlineStr">
        <is>
          <t>15.0</t>
        </is>
      </c>
      <c r="G60" s="11" t="inlineStr">
        <is>
          <t>14.8</t>
        </is>
      </c>
      <c r="H60" s="11" t="inlineStr">
        <is>
          <t>14.2</t>
        </is>
      </c>
      <c r="I60" s="11" t="inlineStr">
        <is>
          <t>10.0</t>
        </is>
      </c>
      <c r="J60" s="11" t="inlineStr">
        <is>
          <t>4.9</t>
        </is>
      </c>
      <c r="K60" s="11" t="inlineStr">
        <is>
          <t>1806</t>
        </is>
      </c>
      <c r="L60" s="12">
        <f>HYPERLINK("https://map.naver.com/v5/search/34.663265,127.183638","📍 네이버")</f>
        <v/>
      </c>
      <c r="M60" s="12">
        <f>HYPERLINK("https://map.kakao.com/link/map/P15-3,34.663265,127.183638","📍 카카오")</f>
        <v/>
      </c>
    </row>
    <row r="61">
      <c r="A61" s="10" t="inlineStr">
        <is>
          <t>#15</t>
        </is>
      </c>
      <c r="B61" s="11" t="n">
        <v>4</v>
      </c>
      <c r="C61" s="11" t="n">
        <v>34.681301</v>
      </c>
      <c r="D61" s="11" t="n">
        <v>127.183569</v>
      </c>
      <c r="E61" s="10" t="n">
        <v>97.8</v>
      </c>
      <c r="F61" s="11" t="inlineStr">
        <is>
          <t>15.0</t>
        </is>
      </c>
      <c r="G61" s="11" t="inlineStr">
        <is>
          <t>14.5</t>
        </is>
      </c>
      <c r="H61" s="11" t="inlineStr">
        <is>
          <t>14.7</t>
        </is>
      </c>
      <c r="I61" s="11" t="inlineStr">
        <is>
          <t>10.0</t>
        </is>
      </c>
      <c r="J61" s="11" t="inlineStr">
        <is>
          <t>4.5</t>
        </is>
      </c>
      <c r="K61" s="11" t="inlineStr">
        <is>
          <t>1376</t>
        </is>
      </c>
      <c r="L61" s="12">
        <f>HYPERLINK("https://map.naver.com/v5/search/34.681301,127.183569","📍 네이버")</f>
        <v/>
      </c>
      <c r="M61" s="12">
        <f>HYPERLINK("https://map.kakao.com/link/map/P15-4,34.681301,127.183569","📍 카카오")</f>
        <v/>
      </c>
    </row>
    <row r="62">
      <c r="A62" s="10" t="inlineStr">
        <is>
          <t>#15</t>
        </is>
      </c>
      <c r="B62" s="11" t="n">
        <v>5</v>
      </c>
      <c r="C62" s="11" t="n">
        <v>34.68118</v>
      </c>
      <c r="D62" s="11" t="n">
        <v>127.139904</v>
      </c>
      <c r="E62" s="10" t="n">
        <v>97.59999999999999</v>
      </c>
      <c r="F62" s="11" t="inlineStr">
        <is>
          <t>15.0</t>
        </is>
      </c>
      <c r="G62" s="11" t="inlineStr">
        <is>
          <t>14.7</t>
        </is>
      </c>
      <c r="H62" s="11" t="inlineStr">
        <is>
          <t>14.6</t>
        </is>
      </c>
      <c r="I62" s="11" t="inlineStr">
        <is>
          <t>10.0</t>
        </is>
      </c>
      <c r="J62" s="11" t="inlineStr">
        <is>
          <t>4.3</t>
        </is>
      </c>
      <c r="K62" s="11" t="inlineStr">
        <is>
          <t>1716</t>
        </is>
      </c>
      <c r="L62" s="12">
        <f>HYPERLINK("https://map.naver.com/v5/search/34.68118,127.139904","📍 네이버")</f>
        <v/>
      </c>
      <c r="M62" s="12">
        <f>HYPERLINK("https://map.kakao.com/link/map/P15-5,34.68118,127.139904","📍 카카오")</f>
        <v/>
      </c>
    </row>
    <row r="63">
      <c r="A63" s="7" t="inlineStr">
        <is>
          <t>#16</t>
        </is>
      </c>
      <c r="B63" s="8" t="n">
        <v>1</v>
      </c>
      <c r="C63" s="8" t="n">
        <v>35.600976</v>
      </c>
      <c r="D63" s="8" t="n">
        <v>127.157912</v>
      </c>
      <c r="E63" s="7" t="n">
        <v>91.2</v>
      </c>
      <c r="F63" s="8" t="inlineStr">
        <is>
          <t>13.5</t>
        </is>
      </c>
      <c r="G63" s="8" t="inlineStr">
        <is>
          <t>14.5</t>
        </is>
      </c>
      <c r="H63" s="8" t="inlineStr">
        <is>
          <t>14.4</t>
        </is>
      </c>
      <c r="I63" s="8" t="inlineStr">
        <is>
          <t>8.0</t>
        </is>
      </c>
      <c r="J63" s="8" t="inlineStr">
        <is>
          <t>4.4</t>
        </is>
      </c>
      <c r="K63" s="8" t="inlineStr">
        <is>
          <t>787</t>
        </is>
      </c>
      <c r="L63" s="9">
        <f>HYPERLINK("https://map.naver.com/v5/search/35.600976,127.157912","📍 네이버")</f>
        <v/>
      </c>
      <c r="M63" s="9">
        <f>HYPERLINK("https://map.kakao.com/link/map/P16-1,35.600976,127.157912","📍 카카오")</f>
        <v/>
      </c>
    </row>
    <row r="64">
      <c r="A64" s="10" t="inlineStr">
        <is>
          <t>#16</t>
        </is>
      </c>
      <c r="B64" s="11" t="n">
        <v>2</v>
      </c>
      <c r="C64" s="11" t="n">
        <v>35.601094</v>
      </c>
      <c r="D64" s="11" t="n">
        <v>127.202071</v>
      </c>
      <c r="E64" s="10" t="n">
        <v>88</v>
      </c>
      <c r="F64" s="11" t="inlineStr">
        <is>
          <t>12.8</t>
        </is>
      </c>
      <c r="G64" s="11" t="inlineStr">
        <is>
          <t>13.5</t>
        </is>
      </c>
      <c r="H64" s="11" t="inlineStr">
        <is>
          <t>13.6</t>
        </is>
      </c>
      <c r="I64" s="11" t="inlineStr">
        <is>
          <t>8.0</t>
        </is>
      </c>
      <c r="J64" s="11" t="inlineStr">
        <is>
          <t>4.8</t>
        </is>
      </c>
      <c r="K64" s="11" t="inlineStr">
        <is>
          <t>893</t>
        </is>
      </c>
      <c r="L64" s="12">
        <f>HYPERLINK("https://map.naver.com/v5/search/35.601094,127.202071","📍 네이버")</f>
        <v/>
      </c>
      <c r="M64" s="12">
        <f>HYPERLINK("https://map.kakao.com/link/map/P16-2,35.601094,127.202071","📍 카카오")</f>
        <v/>
      </c>
    </row>
    <row r="65">
      <c r="A65" s="10" t="inlineStr">
        <is>
          <t>#16</t>
        </is>
      </c>
      <c r="B65" s="11" t="n">
        <v>3</v>
      </c>
      <c r="C65" s="11" t="n">
        <v>35.591928</v>
      </c>
      <c r="D65" s="11" t="n">
        <v>127.146911</v>
      </c>
      <c r="E65" s="10" t="n">
        <v>86.8</v>
      </c>
      <c r="F65" s="11" t="inlineStr">
        <is>
          <t>8.6</t>
        </is>
      </c>
      <c r="G65" s="11" t="inlineStr">
        <is>
          <t>14.4</t>
        </is>
      </c>
      <c r="H65" s="11" t="inlineStr">
        <is>
          <t>14.5</t>
        </is>
      </c>
      <c r="I65" s="11" t="inlineStr">
        <is>
          <t>10.0</t>
        </is>
      </c>
      <c r="J65" s="11" t="inlineStr">
        <is>
          <t>4.5</t>
        </is>
      </c>
      <c r="K65" s="11" t="inlineStr">
        <is>
          <t>890</t>
        </is>
      </c>
      <c r="L65" s="12">
        <f>HYPERLINK("https://map.naver.com/v5/search/35.591928,127.146911","📍 네이버")</f>
        <v/>
      </c>
      <c r="M65" s="12">
        <f>HYPERLINK("https://map.kakao.com/link/map/P16-3,35.591928,127.146911","📍 카카오")</f>
        <v/>
      </c>
    </row>
    <row r="66">
      <c r="A66" s="10" t="inlineStr">
        <is>
          <t>#16</t>
        </is>
      </c>
      <c r="B66" s="11" t="n">
        <v>4</v>
      </c>
      <c r="C66" s="11" t="n">
        <v>35.59196</v>
      </c>
      <c r="D66" s="11" t="n">
        <v>127.15795</v>
      </c>
      <c r="E66" s="10" t="n">
        <v>86.8</v>
      </c>
      <c r="F66" s="11" t="inlineStr">
        <is>
          <t>10.1</t>
        </is>
      </c>
      <c r="G66" s="11" t="inlineStr">
        <is>
          <t>14.5</t>
        </is>
      </c>
      <c r="H66" s="11" t="inlineStr">
        <is>
          <t>15.0</t>
        </is>
      </c>
      <c r="I66" s="11" t="inlineStr">
        <is>
          <t>8.0</t>
        </is>
      </c>
      <c r="J66" s="11" t="inlineStr">
        <is>
          <t>4.5</t>
        </is>
      </c>
      <c r="K66" s="11" t="inlineStr">
        <is>
          <t>1158</t>
        </is>
      </c>
      <c r="L66" s="12">
        <f>HYPERLINK("https://map.naver.com/v5/search/35.59196,127.15795","📍 네이버")</f>
        <v/>
      </c>
      <c r="M66" s="12">
        <f>HYPERLINK("https://map.kakao.com/link/map/P16-4,35.59196,127.15795","📍 카카오")</f>
        <v/>
      </c>
    </row>
    <row r="67">
      <c r="A67" s="10" t="inlineStr">
        <is>
          <t>#16</t>
        </is>
      </c>
      <c r="B67" s="11" t="n">
        <v>5</v>
      </c>
      <c r="C67" s="11" t="n">
        <v>35.582944</v>
      </c>
      <c r="D67" s="11" t="n">
        <v>127.157988</v>
      </c>
      <c r="E67" s="10" t="n">
        <v>85.40000000000001</v>
      </c>
      <c r="F67" s="11" t="inlineStr">
        <is>
          <t>10.0</t>
        </is>
      </c>
      <c r="G67" s="11" t="inlineStr">
        <is>
          <t>14.6</t>
        </is>
      </c>
      <c r="H67" s="11" t="inlineStr">
        <is>
          <t>14.0</t>
        </is>
      </c>
      <c r="I67" s="11" t="inlineStr">
        <is>
          <t>8.0</t>
        </is>
      </c>
      <c r="J67" s="11" t="inlineStr">
        <is>
          <t>4.6</t>
        </is>
      </c>
      <c r="K67" s="11" t="inlineStr">
        <is>
          <t>858</t>
        </is>
      </c>
      <c r="L67" s="12">
        <f>HYPERLINK("https://map.naver.com/v5/search/35.582944,127.157988","📍 네이버")</f>
        <v/>
      </c>
      <c r="M67" s="12">
        <f>HYPERLINK("https://map.kakao.com/link/map/P16-5,35.582944,127.157988","📍 카카오")</f>
        <v/>
      </c>
    </row>
    <row r="68">
      <c r="A68" s="7" t="inlineStr">
        <is>
          <t>#17</t>
        </is>
      </c>
      <c r="B68" s="8" t="n">
        <v>1</v>
      </c>
      <c r="C68" s="8" t="n">
        <v>34.888884</v>
      </c>
      <c r="D68" s="8" t="n">
        <v>127.259386</v>
      </c>
      <c r="E68" s="7" t="n">
        <v>85.59999999999999</v>
      </c>
      <c r="F68" s="8" t="inlineStr">
        <is>
          <t>11.5</t>
        </is>
      </c>
      <c r="G68" s="8" t="inlineStr">
        <is>
          <t>14.3</t>
        </is>
      </c>
      <c r="H68" s="8" t="inlineStr">
        <is>
          <t>15.0</t>
        </is>
      </c>
      <c r="I68" s="8" t="inlineStr">
        <is>
          <t>8.0</t>
        </is>
      </c>
      <c r="J68" s="8" t="inlineStr">
        <is>
          <t>2.5</t>
        </is>
      </c>
      <c r="K68" s="8" t="inlineStr">
        <is>
          <t>260</t>
        </is>
      </c>
      <c r="L68" s="9">
        <f>HYPERLINK("https://map.naver.com/v5/search/34.888884,127.259386","📍 네이버")</f>
        <v/>
      </c>
      <c r="M68" s="9">
        <f>HYPERLINK("https://map.kakao.com/link/map/P17-1,34.888884,127.259386","📍 카카오")</f>
        <v/>
      </c>
    </row>
    <row r="69">
      <c r="A69" s="10" t="inlineStr">
        <is>
          <t>#17</t>
        </is>
      </c>
      <c r="B69" s="11" t="n">
        <v>2</v>
      </c>
      <c r="C69" s="11" t="n">
        <v>34.90698</v>
      </c>
      <c r="D69" s="11" t="n">
        <v>127.292172</v>
      </c>
      <c r="E69" s="10" t="n">
        <v>85.3</v>
      </c>
      <c r="F69" s="11" t="inlineStr">
        <is>
          <t>12.7</t>
        </is>
      </c>
      <c r="G69" s="11" t="inlineStr">
        <is>
          <t>14.4</t>
        </is>
      </c>
      <c r="H69" s="11" t="inlineStr">
        <is>
          <t>13.6</t>
        </is>
      </c>
      <c r="I69" s="11" t="inlineStr">
        <is>
          <t>8.0</t>
        </is>
      </c>
      <c r="J69" s="11" t="inlineStr">
        <is>
          <t>2.5</t>
        </is>
      </c>
      <c r="K69" s="11" t="inlineStr">
        <is>
          <t>229</t>
        </is>
      </c>
      <c r="L69" s="12">
        <f>HYPERLINK("https://map.naver.com/v5/search/34.90698,127.292172","📍 네이버")</f>
        <v/>
      </c>
      <c r="M69" s="12">
        <f>HYPERLINK("https://map.kakao.com/link/map/P17-2,34.90698,127.292172","📍 카카오")</f>
        <v/>
      </c>
    </row>
    <row r="70">
      <c r="A70" s="10" t="inlineStr">
        <is>
          <t>#17</t>
        </is>
      </c>
      <c r="B70" s="11" t="n">
        <v>3</v>
      </c>
      <c r="C70" s="11" t="n">
        <v>34.897901</v>
      </c>
      <c r="D70" s="11" t="n">
        <v>127.25936</v>
      </c>
      <c r="E70" s="10" t="n">
        <v>85</v>
      </c>
      <c r="F70" s="11" t="inlineStr">
        <is>
          <t>12.0</t>
        </is>
      </c>
      <c r="G70" s="11" t="inlineStr">
        <is>
          <t>14.2</t>
        </is>
      </c>
      <c r="H70" s="11" t="inlineStr">
        <is>
          <t>14.3</t>
        </is>
      </c>
      <c r="I70" s="11" t="inlineStr">
        <is>
          <t>8.0</t>
        </is>
      </c>
      <c r="J70" s="11" t="inlineStr">
        <is>
          <t>2.5</t>
        </is>
      </c>
      <c r="K70" s="11" t="inlineStr">
        <is>
          <t>229</t>
        </is>
      </c>
      <c r="L70" s="12">
        <f>HYPERLINK("https://map.naver.com/v5/search/34.897901,127.25936","📍 네이버")</f>
        <v/>
      </c>
      <c r="M70" s="12">
        <f>HYPERLINK("https://map.kakao.com/link/map/P17-3,34.897901,127.25936","📍 카카오")</f>
        <v/>
      </c>
    </row>
    <row r="71">
      <c r="A71" s="10" t="inlineStr">
        <is>
          <t>#17</t>
        </is>
      </c>
      <c r="B71" s="11" t="n">
        <v>4</v>
      </c>
      <c r="C71" s="11" t="n">
        <v>34.879866</v>
      </c>
      <c r="D71" s="11" t="n">
        <v>127.259412</v>
      </c>
      <c r="E71" s="10" t="n">
        <v>84</v>
      </c>
      <c r="F71" s="11" t="inlineStr">
        <is>
          <t>10.9</t>
        </is>
      </c>
      <c r="G71" s="11" t="inlineStr">
        <is>
          <t>14.1</t>
        </is>
      </c>
      <c r="H71" s="11" t="inlineStr">
        <is>
          <t>14.9</t>
        </is>
      </c>
      <c r="I71" s="11" t="inlineStr">
        <is>
          <t>8.0</t>
        </is>
      </c>
      <c r="J71" s="11" t="inlineStr">
        <is>
          <t>2.5</t>
        </is>
      </c>
      <c r="K71" s="11" t="inlineStr">
        <is>
          <t>237</t>
        </is>
      </c>
      <c r="L71" s="12">
        <f>HYPERLINK("https://map.naver.com/v5/search/34.879866,127.259412","📍 네이버")</f>
        <v/>
      </c>
      <c r="M71" s="12">
        <f>HYPERLINK("https://map.kakao.com/link/map/P17-4,34.879866,127.259412","📍 카카오")</f>
        <v/>
      </c>
    </row>
    <row r="72">
      <c r="A72" s="10" t="inlineStr">
        <is>
          <t>#17</t>
        </is>
      </c>
      <c r="B72" s="11" t="n">
        <v>5</v>
      </c>
      <c r="C72" s="11" t="n">
        <v>34.906998</v>
      </c>
      <c r="D72" s="11" t="n">
        <v>127.303118</v>
      </c>
      <c r="E72" s="10" t="n">
        <v>83</v>
      </c>
      <c r="F72" s="11" t="inlineStr">
        <is>
          <t>10.9</t>
        </is>
      </c>
      <c r="G72" s="11" t="inlineStr">
        <is>
          <t>14.5</t>
        </is>
      </c>
      <c r="H72" s="11" t="inlineStr">
        <is>
          <t>13.9</t>
        </is>
      </c>
      <c r="I72" s="11" t="inlineStr">
        <is>
          <t>8.0</t>
        </is>
      </c>
      <c r="J72" s="11" t="inlineStr">
        <is>
          <t>2.5</t>
        </is>
      </c>
      <c r="K72" s="11" t="inlineStr">
        <is>
          <t>415</t>
        </is>
      </c>
      <c r="L72" s="12">
        <f>HYPERLINK("https://map.naver.com/v5/search/34.906998,127.303118","📍 네이버")</f>
        <v/>
      </c>
      <c r="M72" s="12">
        <f>HYPERLINK("https://map.kakao.com/link/map/P17-5,34.906998,127.303118","📍 카카오")</f>
        <v/>
      </c>
    </row>
    <row r="73">
      <c r="A73" s="7" t="inlineStr">
        <is>
          <t>#18</t>
        </is>
      </c>
      <c r="B73" s="8" t="n">
        <v>1</v>
      </c>
      <c r="C73" s="8" t="n">
        <v>35.817639</v>
      </c>
      <c r="D73" s="8" t="n">
        <v>127.267681</v>
      </c>
      <c r="E73" s="7" t="n">
        <v>93.90000000000001</v>
      </c>
      <c r="F73" s="8" t="inlineStr">
        <is>
          <t>12.6</t>
        </is>
      </c>
      <c r="G73" s="8" t="inlineStr">
        <is>
          <t>14.1</t>
        </is>
      </c>
      <c r="H73" s="8" t="inlineStr">
        <is>
          <t>15.0</t>
        </is>
      </c>
      <c r="I73" s="8" t="inlineStr">
        <is>
          <t>10.0</t>
        </is>
      </c>
      <c r="J73" s="8" t="inlineStr">
        <is>
          <t>4.7</t>
        </is>
      </c>
      <c r="K73" s="8" t="inlineStr">
        <is>
          <t>922</t>
        </is>
      </c>
      <c r="L73" s="9">
        <f>HYPERLINK("https://map.naver.com/v5/search/35.817639,127.267681","📍 네이버")</f>
        <v/>
      </c>
      <c r="M73" s="9">
        <f>HYPERLINK("https://map.kakao.com/link/map/P18-1,35.817639,127.267681","📍 카카오")</f>
        <v/>
      </c>
    </row>
    <row r="74">
      <c r="A74" s="10" t="inlineStr">
        <is>
          <t>#18</t>
        </is>
      </c>
      <c r="B74" s="11" t="n">
        <v>2</v>
      </c>
      <c r="C74" s="11" t="n">
        <v>35.844688</v>
      </c>
      <c r="D74" s="11" t="n">
        <v>127.267603</v>
      </c>
      <c r="E74" s="10" t="n">
        <v>91.7</v>
      </c>
      <c r="F74" s="11" t="inlineStr">
        <is>
          <t>12.4</t>
        </is>
      </c>
      <c r="G74" s="11" t="inlineStr">
        <is>
          <t>14.5</t>
        </is>
      </c>
      <c r="H74" s="11" t="inlineStr">
        <is>
          <t>14.1</t>
        </is>
      </c>
      <c r="I74" s="11" t="inlineStr">
        <is>
          <t>10.0</t>
        </is>
      </c>
      <c r="J74" s="11" t="inlineStr">
        <is>
          <t>4.1</t>
        </is>
      </c>
      <c r="K74" s="11" t="inlineStr">
        <is>
          <t>60</t>
        </is>
      </c>
      <c r="L74" s="12">
        <f>HYPERLINK("https://map.naver.com/v5/search/35.844688,127.267603","📍 네이버")</f>
        <v/>
      </c>
      <c r="M74" s="12">
        <f>HYPERLINK("https://map.kakao.com/link/map/P18-2,35.844688,127.267603","📍 카카오")</f>
        <v/>
      </c>
    </row>
    <row r="75">
      <c r="A75" s="10" t="inlineStr">
        <is>
          <t>#18</t>
        </is>
      </c>
      <c r="B75" s="11" t="n">
        <v>3</v>
      </c>
      <c r="C75" s="11" t="n">
        <v>35.88073</v>
      </c>
      <c r="D75" s="11" t="n">
        <v>127.256419</v>
      </c>
      <c r="E75" s="10" t="n">
        <v>90.90000000000001</v>
      </c>
      <c r="F75" s="11" t="inlineStr">
        <is>
          <t>13.2</t>
        </is>
      </c>
      <c r="G75" s="11" t="inlineStr">
        <is>
          <t>14.4</t>
        </is>
      </c>
      <c r="H75" s="11" t="inlineStr">
        <is>
          <t>14.8</t>
        </is>
      </c>
      <c r="I75" s="11" t="inlineStr">
        <is>
          <t>8.0</t>
        </is>
      </c>
      <c r="J75" s="11" t="inlineStr">
        <is>
          <t>4.2</t>
        </is>
      </c>
      <c r="K75" s="11" t="inlineStr">
        <is>
          <t>89</t>
        </is>
      </c>
      <c r="L75" s="12">
        <f>HYPERLINK("https://map.naver.com/v5/search/35.88073,127.256419","📍 네이버")</f>
        <v/>
      </c>
      <c r="M75" s="12">
        <f>HYPERLINK("https://map.kakao.com/link/map/P18-3,35.88073,127.256419","📍 카카오")</f>
        <v/>
      </c>
    </row>
    <row r="76">
      <c r="A76" s="10" t="inlineStr">
        <is>
          <t>#18</t>
        </is>
      </c>
      <c r="B76" s="11" t="n">
        <v>4</v>
      </c>
      <c r="C76" s="11" t="n">
        <v>35.826696</v>
      </c>
      <c r="D76" s="11" t="n">
        <v>127.289797</v>
      </c>
      <c r="E76" s="10" t="n">
        <v>90.8</v>
      </c>
      <c r="F76" s="11" t="inlineStr">
        <is>
          <t>10.3</t>
        </is>
      </c>
      <c r="G76" s="11" t="inlineStr">
        <is>
          <t>15.0</t>
        </is>
      </c>
      <c r="H76" s="11" t="inlineStr">
        <is>
          <t>14.7</t>
        </is>
      </c>
      <c r="I76" s="11" t="inlineStr">
        <is>
          <t>10.0</t>
        </is>
      </c>
      <c r="J76" s="11" t="inlineStr">
        <is>
          <t>4.5</t>
        </is>
      </c>
      <c r="K76" s="11" t="inlineStr">
        <is>
          <t>194</t>
        </is>
      </c>
      <c r="L76" s="12">
        <f>HYPERLINK("https://map.naver.com/v5/search/35.826696,127.289797","📍 네이버")</f>
        <v/>
      </c>
      <c r="M76" s="12">
        <f>HYPERLINK("https://map.kakao.com/link/map/P18-4,35.826696,127.289797","📍 카카오")</f>
        <v/>
      </c>
    </row>
    <row r="77">
      <c r="A77" s="10" t="inlineStr">
        <is>
          <t>#18</t>
        </is>
      </c>
      <c r="B77" s="11" t="n">
        <v>5</v>
      </c>
      <c r="C77" s="11" t="n">
        <v>35.844666</v>
      </c>
      <c r="D77" s="11" t="n">
        <v>127.256529</v>
      </c>
      <c r="E77" s="10" t="n">
        <v>89.59999999999999</v>
      </c>
      <c r="F77" s="11" t="inlineStr">
        <is>
          <t>10.9</t>
        </is>
      </c>
      <c r="G77" s="11" t="inlineStr">
        <is>
          <t>14.1</t>
        </is>
      </c>
      <c r="H77" s="11" t="inlineStr">
        <is>
          <t>14.7</t>
        </is>
      </c>
      <c r="I77" s="11" t="inlineStr">
        <is>
          <t>10.0</t>
        </is>
      </c>
      <c r="J77" s="11" t="inlineStr">
        <is>
          <t>4.0</t>
        </is>
      </c>
      <c r="K77" s="11" t="inlineStr">
        <is>
          <t>226</t>
        </is>
      </c>
      <c r="L77" s="12">
        <f>HYPERLINK("https://map.naver.com/v5/search/35.844666,127.256529","📍 네이버")</f>
        <v/>
      </c>
      <c r="M77" s="12">
        <f>HYPERLINK("https://map.kakao.com/link/map/P18-5,35.844666,127.256529","📍 카카오")</f>
        <v/>
      </c>
    </row>
    <row r="78">
      <c r="A78" s="7" t="inlineStr">
        <is>
          <t>#33</t>
        </is>
      </c>
      <c r="B78" s="8" t="n">
        <v>1</v>
      </c>
      <c r="C78" s="8" t="n">
        <v>35.357958</v>
      </c>
      <c r="D78" s="8" t="n">
        <v>127.621228</v>
      </c>
      <c r="E78" s="7" t="n">
        <v>87.7</v>
      </c>
      <c r="F78" s="8" t="inlineStr">
        <is>
          <t>9.4</t>
        </is>
      </c>
      <c r="G78" s="8" t="inlineStr">
        <is>
          <t>14.8</t>
        </is>
      </c>
      <c r="H78" s="8" t="inlineStr">
        <is>
          <t>13.9</t>
        </is>
      </c>
      <c r="I78" s="8" t="inlineStr">
        <is>
          <t>10.0</t>
        </is>
      </c>
      <c r="J78" s="8" t="inlineStr">
        <is>
          <t>4.5</t>
        </is>
      </c>
      <c r="K78" s="8" t="inlineStr">
        <is>
          <t>672</t>
        </is>
      </c>
      <c r="L78" s="9">
        <f>HYPERLINK("https://map.naver.com/v5/search/35.357958,127.621228","📍 네이버")</f>
        <v/>
      </c>
      <c r="M78" s="9">
        <f>HYPERLINK("https://map.kakao.com/link/map/P33-1,35.357958,127.621228","📍 카카오")</f>
        <v/>
      </c>
    </row>
    <row r="79">
      <c r="A79" s="10" t="inlineStr">
        <is>
          <t>#33</t>
        </is>
      </c>
      <c r="B79" s="11" t="n">
        <v>2</v>
      </c>
      <c r="C79" s="11" t="n">
        <v>35.339924</v>
      </c>
      <c r="D79" s="11" t="n">
        <v>127.621201</v>
      </c>
      <c r="E79" s="10" t="n">
        <v>87.2</v>
      </c>
      <c r="F79" s="11" t="inlineStr">
        <is>
          <t>10.9</t>
        </is>
      </c>
      <c r="G79" s="11" t="inlineStr">
        <is>
          <t>14.6</t>
        </is>
      </c>
      <c r="H79" s="11" t="inlineStr">
        <is>
          <t>14.1</t>
        </is>
      </c>
      <c r="I79" s="11" t="inlineStr">
        <is>
          <t>8.0</t>
        </is>
      </c>
      <c r="J79" s="11" t="inlineStr">
        <is>
          <t>4.8</t>
        </is>
      </c>
      <c r="K79" s="11" t="inlineStr">
        <is>
          <t>1789</t>
        </is>
      </c>
      <c r="L79" s="12">
        <f>HYPERLINK("https://map.naver.com/v5/search/35.339924,127.621201","📍 네이버")</f>
        <v/>
      </c>
      <c r="M79" s="12">
        <f>HYPERLINK("https://map.kakao.com/link/map/P33-2,35.339924,127.621201","📍 카카오")</f>
        <v/>
      </c>
    </row>
    <row r="80">
      <c r="A80" s="10" t="inlineStr">
        <is>
          <t>#33</t>
        </is>
      </c>
      <c r="B80" s="11" t="n">
        <v>3</v>
      </c>
      <c r="C80" s="11" t="n">
        <v>35.303845</v>
      </c>
      <c r="D80" s="11" t="n">
        <v>127.632146</v>
      </c>
      <c r="E80" s="10" t="n">
        <v>86.8</v>
      </c>
      <c r="F80" s="11" t="inlineStr">
        <is>
          <t>11.1</t>
        </is>
      </c>
      <c r="G80" s="11" t="inlineStr">
        <is>
          <t>13.6</t>
        </is>
      </c>
      <c r="H80" s="11" t="inlineStr">
        <is>
          <t>14.4</t>
        </is>
      </c>
      <c r="I80" s="11" t="inlineStr">
        <is>
          <t>8.0</t>
        </is>
      </c>
      <c r="J80" s="11" t="inlineStr">
        <is>
          <t>5.0</t>
        </is>
      </c>
      <c r="K80" s="11" t="inlineStr">
        <is>
          <t>264</t>
        </is>
      </c>
      <c r="L80" s="12">
        <f>HYPERLINK("https://map.naver.com/v5/search/35.303845,127.632146","📍 네이버")</f>
        <v/>
      </c>
      <c r="M80" s="12">
        <f>HYPERLINK("https://map.kakao.com/link/map/P33-3,35.303845,127.632146","📍 카카오")</f>
        <v/>
      </c>
    </row>
    <row r="81">
      <c r="A81" s="10" t="inlineStr">
        <is>
          <t>#33</t>
        </is>
      </c>
      <c r="B81" s="11" t="n">
        <v>4</v>
      </c>
      <c r="C81" s="11" t="n">
        <v>35.357968</v>
      </c>
      <c r="D81" s="11" t="n">
        <v>127.610221</v>
      </c>
      <c r="E81" s="10" t="n">
        <v>85</v>
      </c>
      <c r="F81" s="11" t="inlineStr">
        <is>
          <t>10.1</t>
        </is>
      </c>
      <c r="G81" s="11" t="inlineStr">
        <is>
          <t>14.8</t>
        </is>
      </c>
      <c r="H81" s="11" t="inlineStr">
        <is>
          <t>12.3</t>
        </is>
      </c>
      <c r="I81" s="11" t="inlineStr">
        <is>
          <t>10.0</t>
        </is>
      </c>
      <c r="J81" s="11" t="inlineStr">
        <is>
          <t>3.8</t>
        </is>
      </c>
      <c r="K81" s="11" t="inlineStr">
        <is>
          <t>1385</t>
        </is>
      </c>
      <c r="L81" s="12">
        <f>HYPERLINK("https://map.naver.com/v5/search/35.357968,127.610221","📍 네이버")</f>
        <v/>
      </c>
      <c r="M81" s="12">
        <f>HYPERLINK("https://map.kakao.com/link/map/P33-4,35.357968,127.610221","📍 카카오")</f>
        <v/>
      </c>
    </row>
    <row r="82">
      <c r="A82" s="10" t="inlineStr">
        <is>
          <t>#33</t>
        </is>
      </c>
      <c r="B82" s="11" t="n">
        <v>5</v>
      </c>
      <c r="C82" s="11" t="n">
        <v>35.303832</v>
      </c>
      <c r="D82" s="11" t="n">
        <v>127.643146</v>
      </c>
      <c r="E82" s="10" t="n">
        <v>84.90000000000001</v>
      </c>
      <c r="F82" s="11" t="inlineStr">
        <is>
          <t>11.1</t>
        </is>
      </c>
      <c r="G82" s="11" t="inlineStr">
        <is>
          <t>13.3</t>
        </is>
      </c>
      <c r="H82" s="11" t="inlineStr">
        <is>
          <t>13.8</t>
        </is>
      </c>
      <c r="I82" s="11" t="inlineStr">
        <is>
          <t>8.0</t>
        </is>
      </c>
      <c r="J82" s="11" t="inlineStr">
        <is>
          <t>4.7</t>
        </is>
      </c>
      <c r="K82" s="11" t="inlineStr">
        <is>
          <t>756</t>
        </is>
      </c>
      <c r="L82" s="12">
        <f>HYPERLINK("https://map.naver.com/v5/search/35.303832,127.643146","📍 네이버")</f>
        <v/>
      </c>
      <c r="M82" s="12">
        <f>HYPERLINK("https://map.kakao.com/link/map/P33-5,35.303832,127.643146","📍 카카오")</f>
        <v/>
      </c>
    </row>
    <row r="83">
      <c r="A83" s="7" t="inlineStr">
        <is>
          <t>#35</t>
        </is>
      </c>
      <c r="B83" s="8" t="n">
        <v>1</v>
      </c>
      <c r="C83" s="8" t="n">
        <v>35.583362</v>
      </c>
      <c r="D83" s="8" t="n">
        <v>127.632602</v>
      </c>
      <c r="E83" s="7" t="n">
        <v>90.7</v>
      </c>
      <c r="F83" s="8" t="inlineStr">
        <is>
          <t>13.6</t>
        </is>
      </c>
      <c r="G83" s="8" t="inlineStr">
        <is>
          <t>14.8</t>
        </is>
      </c>
      <c r="H83" s="8" t="inlineStr">
        <is>
          <t>13.3</t>
        </is>
      </c>
      <c r="I83" s="8" t="inlineStr">
        <is>
          <t>8.0</t>
        </is>
      </c>
      <c r="J83" s="8" t="inlineStr">
        <is>
          <t>4.8</t>
        </is>
      </c>
      <c r="K83" s="8" t="inlineStr">
        <is>
          <t>62</t>
        </is>
      </c>
      <c r="L83" s="9">
        <f>HYPERLINK("https://map.naver.com/v5/search/35.583362,127.632602","📍 네이버")</f>
        <v/>
      </c>
      <c r="M83" s="9">
        <f>HYPERLINK("https://map.kakao.com/link/map/P35-1,35.583362,127.632602","📍 카카오")</f>
        <v/>
      </c>
    </row>
    <row r="84">
      <c r="A84" s="10" t="inlineStr">
        <is>
          <t>#35</t>
        </is>
      </c>
      <c r="B84" s="11" t="n">
        <v>2</v>
      </c>
      <c r="C84" s="11" t="n">
        <v>35.619428</v>
      </c>
      <c r="D84" s="11" t="n">
        <v>127.632661</v>
      </c>
      <c r="E84" s="10" t="n">
        <v>90.5</v>
      </c>
      <c r="F84" s="11" t="inlineStr">
        <is>
          <t>12.0</t>
        </is>
      </c>
      <c r="G84" s="11" t="inlineStr">
        <is>
          <t>15.0</t>
        </is>
      </c>
      <c r="H84" s="11" t="inlineStr">
        <is>
          <t>14.4</t>
        </is>
      </c>
      <c r="I84" s="11" t="inlineStr">
        <is>
          <t>8.0</t>
        </is>
      </c>
      <c r="J84" s="11" t="inlineStr">
        <is>
          <t>5.0</t>
        </is>
      </c>
      <c r="K84" s="11" t="inlineStr">
        <is>
          <t>1661</t>
        </is>
      </c>
      <c r="L84" s="12">
        <f>HYPERLINK("https://map.naver.com/v5/search/35.619428,127.632661","📍 네이버")</f>
        <v/>
      </c>
      <c r="M84" s="12">
        <f>HYPERLINK("https://map.kakao.com/link/map/P35-2,35.619428,127.632661","📍 카카오")</f>
        <v/>
      </c>
    </row>
    <row r="85">
      <c r="A85" s="10" t="inlineStr">
        <is>
          <t>#35</t>
        </is>
      </c>
      <c r="B85" s="11" t="n">
        <v>3</v>
      </c>
      <c r="C85" s="11" t="n">
        <v>35.556344</v>
      </c>
      <c r="D85" s="11" t="n">
        <v>127.599455</v>
      </c>
      <c r="E85" s="10" t="n">
        <v>89.40000000000001</v>
      </c>
      <c r="F85" s="11" t="inlineStr">
        <is>
          <t>12.0</t>
        </is>
      </c>
      <c r="G85" s="11" t="inlineStr">
        <is>
          <t>14.3</t>
        </is>
      </c>
      <c r="H85" s="11" t="inlineStr">
        <is>
          <t>13.0</t>
        </is>
      </c>
      <c r="I85" s="11" t="inlineStr">
        <is>
          <t>10.0</t>
        </is>
      </c>
      <c r="J85" s="11" t="inlineStr">
        <is>
          <t>4.4</t>
        </is>
      </c>
      <c r="K85" s="11" t="inlineStr">
        <is>
          <t>103</t>
        </is>
      </c>
      <c r="L85" s="12">
        <f>HYPERLINK("https://map.naver.com/v5/search/35.556344,127.599455","📍 네이버")</f>
        <v/>
      </c>
      <c r="M85" s="12">
        <f>HYPERLINK("https://map.kakao.com/link/map/P35-3,35.556344,127.599455","📍 카카오")</f>
        <v/>
      </c>
    </row>
    <row r="86">
      <c r="A86" s="10" t="inlineStr">
        <is>
          <t>#35</t>
        </is>
      </c>
      <c r="B86" s="11" t="n">
        <v>4</v>
      </c>
      <c r="C86" s="11" t="n">
        <v>35.56534</v>
      </c>
      <c r="D86" s="11" t="n">
        <v>127.621537</v>
      </c>
      <c r="E86" s="10" t="n">
        <v>88.7</v>
      </c>
      <c r="F86" s="11" t="inlineStr">
        <is>
          <t>13.2</t>
        </is>
      </c>
      <c r="G86" s="11" t="inlineStr">
        <is>
          <t>14.6</t>
        </is>
      </c>
      <c r="H86" s="11" t="inlineStr">
        <is>
          <t>12.8</t>
        </is>
      </c>
      <c r="I86" s="11" t="inlineStr">
        <is>
          <t>8.0</t>
        </is>
      </c>
      <c r="J86" s="11" t="inlineStr">
        <is>
          <t>4.6</t>
        </is>
      </c>
      <c r="K86" s="11" t="inlineStr">
        <is>
          <t>267</t>
        </is>
      </c>
      <c r="L86" s="12">
        <f>HYPERLINK("https://map.naver.com/v5/search/35.56534,127.621537","📍 네이버")</f>
        <v/>
      </c>
      <c r="M86" s="12">
        <f>HYPERLINK("https://map.kakao.com/link/map/P35-4,35.56534,127.621537","📍 카카오")</f>
        <v/>
      </c>
    </row>
    <row r="87">
      <c r="A87" s="10" t="inlineStr">
        <is>
          <t>#35</t>
        </is>
      </c>
      <c r="B87" s="11" t="n">
        <v>5</v>
      </c>
      <c r="C87" s="11" t="n">
        <v>35.583402</v>
      </c>
      <c r="D87" s="11" t="n">
        <v>127.588451</v>
      </c>
      <c r="E87" s="10" t="n">
        <v>88.09999999999999</v>
      </c>
      <c r="F87" s="11" t="inlineStr">
        <is>
          <t>11.5</t>
        </is>
      </c>
      <c r="G87" s="11" t="inlineStr">
        <is>
          <t>14.4</t>
        </is>
      </c>
      <c r="H87" s="11" t="inlineStr">
        <is>
          <t>14.4</t>
        </is>
      </c>
      <c r="I87" s="11" t="inlineStr">
        <is>
          <t>8.0</t>
        </is>
      </c>
      <c r="J87" s="11" t="inlineStr">
        <is>
          <t>4.6</t>
        </is>
      </c>
      <c r="K87" s="11" t="inlineStr">
        <is>
          <t>363</t>
        </is>
      </c>
      <c r="L87" s="12">
        <f>HYPERLINK("https://map.naver.com/v5/search/35.583402,127.588451","📍 네이버")</f>
        <v/>
      </c>
      <c r="M87" s="12">
        <f>HYPERLINK("https://map.kakao.com/link/map/P35-5,35.583402,127.588451","📍 카카오")</f>
        <v/>
      </c>
    </row>
    <row r="88">
      <c r="A88" s="7" t="inlineStr">
        <is>
          <t>#38</t>
        </is>
      </c>
      <c r="B88" s="8" t="n">
        <v>1</v>
      </c>
      <c r="C88" s="8" t="n">
        <v>36.115303</v>
      </c>
      <c r="D88" s="8" t="n">
        <v>127.644603</v>
      </c>
      <c r="E88" s="7" t="n">
        <v>86.7</v>
      </c>
      <c r="F88" s="8" t="inlineStr">
        <is>
          <t>12.3</t>
        </is>
      </c>
      <c r="G88" s="8" t="inlineStr">
        <is>
          <t>15.0</t>
        </is>
      </c>
      <c r="H88" s="8" t="inlineStr">
        <is>
          <t>14.3</t>
        </is>
      </c>
      <c r="I88" s="8" t="inlineStr">
        <is>
          <t>8.0</t>
        </is>
      </c>
      <c r="J88" s="8" t="inlineStr">
        <is>
          <t>2.5</t>
        </is>
      </c>
      <c r="K88" s="8" t="inlineStr">
        <is>
          <t>177</t>
        </is>
      </c>
      <c r="L88" s="9">
        <f>HYPERLINK("https://map.naver.com/v5/search/36.115303,127.644603","📍 네이버")</f>
        <v/>
      </c>
      <c r="M88" s="9">
        <f>HYPERLINK("https://map.kakao.com/link/map/P38-1,36.115303,127.644603","📍 카카오")</f>
        <v/>
      </c>
    </row>
    <row r="89">
      <c r="A89" s="10" t="inlineStr">
        <is>
          <t>#38</t>
        </is>
      </c>
      <c r="B89" s="11" t="n">
        <v>2</v>
      </c>
      <c r="C89" s="11" t="n">
        <v>36.115339</v>
      </c>
      <c r="D89" s="11" t="n">
        <v>127.611269</v>
      </c>
      <c r="E89" s="10" t="n">
        <v>86.2</v>
      </c>
      <c r="F89" s="11" t="inlineStr">
        <is>
          <t>11.6</t>
        </is>
      </c>
      <c r="G89" s="11" t="inlineStr">
        <is>
          <t>14.6</t>
        </is>
      </c>
      <c r="H89" s="11" t="inlineStr">
        <is>
          <t>15.0</t>
        </is>
      </c>
      <c r="I89" s="11" t="inlineStr">
        <is>
          <t>8.0</t>
        </is>
      </c>
      <c r="J89" s="11" t="inlineStr">
        <is>
          <t>2.5</t>
        </is>
      </c>
      <c r="K89" s="11" t="inlineStr">
        <is>
          <t>1113</t>
        </is>
      </c>
      <c r="L89" s="12">
        <f>HYPERLINK("https://map.naver.com/v5/search/36.115339,127.611269","📍 네이버")</f>
        <v/>
      </c>
      <c r="M89" s="12">
        <f>HYPERLINK("https://map.kakao.com/link/map/P38-2,36.115339,127.611269","📍 카카오")</f>
        <v/>
      </c>
    </row>
    <row r="90">
      <c r="A90" s="10" t="inlineStr">
        <is>
          <t>#38</t>
        </is>
      </c>
      <c r="B90" s="11" t="n">
        <v>3</v>
      </c>
      <c r="C90" s="11" t="n">
        <v>36.142412</v>
      </c>
      <c r="D90" s="11" t="n">
        <v>127.577961</v>
      </c>
      <c r="E90" s="10" t="n">
        <v>86.09999999999999</v>
      </c>
      <c r="F90" s="11" t="inlineStr">
        <is>
          <t>13.4</t>
        </is>
      </c>
      <c r="G90" s="11" t="inlineStr">
        <is>
          <t>13.9</t>
        </is>
      </c>
      <c r="H90" s="11" t="inlineStr">
        <is>
          <t>13.9</t>
        </is>
      </c>
      <c r="I90" s="11" t="inlineStr">
        <is>
          <t>8.0</t>
        </is>
      </c>
      <c r="J90" s="11" t="inlineStr">
        <is>
          <t>2.5</t>
        </is>
      </c>
      <c r="K90" s="11" t="inlineStr">
        <is>
          <t>306</t>
        </is>
      </c>
      <c r="L90" s="12">
        <f>HYPERLINK("https://map.naver.com/v5/search/36.142412,127.577961","📍 네이버")</f>
        <v/>
      </c>
      <c r="M90" s="12">
        <f>HYPERLINK("https://map.kakao.com/link/map/P38-3,36.142412,127.577961","📍 카카오")</f>
        <v/>
      </c>
    </row>
    <row r="91">
      <c r="A91" s="10" t="inlineStr">
        <is>
          <t>#38</t>
        </is>
      </c>
      <c r="B91" s="11" t="n">
        <v>4</v>
      </c>
      <c r="C91" s="11" t="n">
        <v>36.133321</v>
      </c>
      <c r="D91" s="11" t="n">
        <v>127.65575</v>
      </c>
      <c r="E91" s="10" t="n">
        <v>86.09999999999999</v>
      </c>
      <c r="F91" s="11" t="inlineStr">
        <is>
          <t>13.9</t>
        </is>
      </c>
      <c r="G91" s="11" t="inlineStr">
        <is>
          <t>14.7</t>
        </is>
      </c>
      <c r="H91" s="11" t="inlineStr">
        <is>
          <t>12.6</t>
        </is>
      </c>
      <c r="I91" s="11" t="inlineStr">
        <is>
          <t>8.0</t>
        </is>
      </c>
      <c r="J91" s="11" t="inlineStr">
        <is>
          <t>2.5</t>
        </is>
      </c>
      <c r="K91" s="11" t="inlineStr">
        <is>
          <t>74</t>
        </is>
      </c>
      <c r="L91" s="12">
        <f>HYPERLINK("https://map.naver.com/v5/search/36.133321,127.65575","📍 네이버")</f>
        <v/>
      </c>
      <c r="M91" s="12">
        <f>HYPERLINK("https://map.kakao.com/link/map/P38-4,36.133321,127.65575","📍 카카오")</f>
        <v/>
      </c>
    </row>
    <row r="92">
      <c r="A92" s="10" t="inlineStr">
        <is>
          <t>#38</t>
        </is>
      </c>
      <c r="B92" s="11" t="n">
        <v>5</v>
      </c>
      <c r="C92" s="11" t="n">
        <v>36.151402</v>
      </c>
      <c r="D92" s="11" t="n">
        <v>127.61132</v>
      </c>
      <c r="E92" s="10" t="n">
        <v>85.7</v>
      </c>
      <c r="F92" s="11" t="inlineStr">
        <is>
          <t>12.0</t>
        </is>
      </c>
      <c r="G92" s="11" t="inlineStr">
        <is>
          <t>14.6</t>
        </is>
      </c>
      <c r="H92" s="11" t="inlineStr">
        <is>
          <t>14.3</t>
        </is>
      </c>
      <c r="I92" s="11" t="inlineStr">
        <is>
          <t>8.0</t>
        </is>
      </c>
      <c r="J92" s="11" t="inlineStr">
        <is>
          <t>2.5</t>
        </is>
      </c>
      <c r="K92" s="11" t="inlineStr">
        <is>
          <t>919</t>
        </is>
      </c>
      <c r="L92" s="12">
        <f>HYPERLINK("https://map.naver.com/v5/search/36.151402,127.61132","📍 네이버")</f>
        <v/>
      </c>
      <c r="M92" s="12">
        <f>HYPERLINK("https://map.kakao.com/link/map/P38-5,36.151402,127.61132","📍 카카오")</f>
        <v/>
      </c>
    </row>
    <row r="93">
      <c r="A93" s="7" t="inlineStr">
        <is>
          <t>#46</t>
        </is>
      </c>
      <c r="B93" s="8" t="n">
        <v>1</v>
      </c>
      <c r="C93" s="8" t="n">
        <v>35.294719</v>
      </c>
      <c r="D93" s="8" t="n">
        <v>127.70912</v>
      </c>
      <c r="E93" s="7" t="n">
        <v>88</v>
      </c>
      <c r="F93" s="8" t="inlineStr">
        <is>
          <t>11.3</t>
        </is>
      </c>
      <c r="G93" s="8" t="inlineStr">
        <is>
          <t>14.6</t>
        </is>
      </c>
      <c r="H93" s="8" t="inlineStr">
        <is>
          <t>14.3</t>
        </is>
      </c>
      <c r="I93" s="8" t="inlineStr">
        <is>
          <t>8.0</t>
        </is>
      </c>
      <c r="J93" s="8" t="inlineStr">
        <is>
          <t>4.6</t>
        </is>
      </c>
      <c r="K93" s="8" t="inlineStr">
        <is>
          <t>1475</t>
        </is>
      </c>
      <c r="L93" s="9">
        <f>HYPERLINK("https://map.naver.com/v5/search/35.294719,127.70912","📍 네이버")</f>
        <v/>
      </c>
      <c r="M93" s="9">
        <f>HYPERLINK("https://map.kakao.com/link/map/P46-1,35.294719,127.70912","📍 카카오")</f>
        <v/>
      </c>
    </row>
    <row r="94">
      <c r="A94" s="10" t="inlineStr">
        <is>
          <t>#46</t>
        </is>
      </c>
      <c r="B94" s="11" t="n">
        <v>2</v>
      </c>
      <c r="C94" s="11" t="n">
        <v>35.321662</v>
      </c>
      <c r="D94" s="11" t="n">
        <v>127.764199</v>
      </c>
      <c r="E94" s="10" t="n">
        <v>87.59999999999999</v>
      </c>
      <c r="F94" s="11" t="inlineStr">
        <is>
          <t>9.9</t>
        </is>
      </c>
      <c r="G94" s="11" t="inlineStr">
        <is>
          <t>14.7</t>
        </is>
      </c>
      <c r="H94" s="11" t="inlineStr">
        <is>
          <t>15.0</t>
        </is>
      </c>
      <c r="I94" s="11" t="inlineStr">
        <is>
          <t>8.0</t>
        </is>
      </c>
      <c r="J94" s="11" t="inlineStr">
        <is>
          <t>5.0</t>
        </is>
      </c>
      <c r="K94" s="11" t="inlineStr">
        <is>
          <t>688</t>
        </is>
      </c>
      <c r="L94" s="12">
        <f>HYPERLINK("https://map.naver.com/v5/search/35.321662,127.764199","📍 네이버")</f>
        <v/>
      </c>
      <c r="M94" s="12">
        <f>HYPERLINK("https://map.kakao.com/link/map/P46-2,35.321662,127.764199","📍 카카오")</f>
        <v/>
      </c>
    </row>
    <row r="95">
      <c r="A95" s="10" t="inlineStr">
        <is>
          <t>#46</t>
        </is>
      </c>
      <c r="B95" s="11" t="n">
        <v>3</v>
      </c>
      <c r="C95" s="11" t="n">
        <v>35.294658</v>
      </c>
      <c r="D95" s="11" t="n">
        <v>127.742115</v>
      </c>
      <c r="E95" s="10" t="n">
        <v>86.7</v>
      </c>
      <c r="F95" s="11" t="inlineStr">
        <is>
          <t>12.0</t>
        </is>
      </c>
      <c r="G95" s="11" t="inlineStr">
        <is>
          <t>14.4</t>
        </is>
      </c>
      <c r="H95" s="11" t="inlineStr">
        <is>
          <t>12.7</t>
        </is>
      </c>
      <c r="I95" s="11" t="inlineStr">
        <is>
          <t>8.0</t>
        </is>
      </c>
      <c r="J95" s="11" t="inlineStr">
        <is>
          <t>5.0</t>
        </is>
      </c>
      <c r="K95" s="11" t="inlineStr">
        <is>
          <t>650</t>
        </is>
      </c>
      <c r="L95" s="12">
        <f>HYPERLINK("https://map.naver.com/v5/search/35.294658,127.742115","📍 네이버")</f>
        <v/>
      </c>
      <c r="M95" s="12">
        <f>HYPERLINK("https://map.kakao.com/link/map/P46-3,35.294658,127.742115","📍 카카오")</f>
        <v/>
      </c>
    </row>
    <row r="96">
      <c r="A96" s="10" t="inlineStr">
        <is>
          <t>#46</t>
        </is>
      </c>
      <c r="B96" s="11" t="n">
        <v>4</v>
      </c>
      <c r="C96" s="11" t="n">
        <v>35.294679</v>
      </c>
      <c r="D96" s="11" t="n">
        <v>127.731117</v>
      </c>
      <c r="E96" s="10" t="n">
        <v>86.40000000000001</v>
      </c>
      <c r="F96" s="11" t="inlineStr">
        <is>
          <t>10.7</t>
        </is>
      </c>
      <c r="G96" s="11" t="inlineStr">
        <is>
          <t>14.5</t>
        </is>
      </c>
      <c r="H96" s="11" t="inlineStr">
        <is>
          <t>13.8</t>
        </is>
      </c>
      <c r="I96" s="11" t="inlineStr">
        <is>
          <t>8.0</t>
        </is>
      </c>
      <c r="J96" s="11" t="inlineStr">
        <is>
          <t>4.9</t>
        </is>
      </c>
      <c r="K96" s="11" t="inlineStr">
        <is>
          <t>1217</t>
        </is>
      </c>
      <c r="L96" s="12">
        <f>HYPERLINK("https://map.naver.com/v5/search/35.294679,127.731117","📍 네이버")</f>
        <v/>
      </c>
      <c r="M96" s="12">
        <f>HYPERLINK("https://map.kakao.com/link/map/P46-4,35.294679,127.731117","📍 카카오")</f>
        <v/>
      </c>
    </row>
    <row r="97">
      <c r="A97" s="10" t="inlineStr">
        <is>
          <t>#46</t>
        </is>
      </c>
      <c r="B97" s="11" t="n">
        <v>5</v>
      </c>
      <c r="C97" s="11" t="n">
        <v>35.330703</v>
      </c>
      <c r="D97" s="11" t="n">
        <v>127.753226</v>
      </c>
      <c r="E97" s="10" t="n">
        <v>86.2</v>
      </c>
      <c r="F97" s="11" t="inlineStr">
        <is>
          <t>9.0</t>
        </is>
      </c>
      <c r="G97" s="11" t="inlineStr">
        <is>
          <t>14.9</t>
        </is>
      </c>
      <c r="H97" s="11" t="inlineStr">
        <is>
          <t>15.0</t>
        </is>
      </c>
      <c r="I97" s="11" t="inlineStr">
        <is>
          <t>8.0</t>
        </is>
      </c>
      <c r="J97" s="11" t="inlineStr">
        <is>
          <t>4.8</t>
        </is>
      </c>
      <c r="K97" s="11" t="inlineStr">
        <is>
          <t>1211</t>
        </is>
      </c>
      <c r="L97" s="12">
        <f>HYPERLINK("https://map.naver.com/v5/search/35.330703,127.753226","📍 네이버")</f>
        <v/>
      </c>
      <c r="M97" s="12">
        <f>HYPERLINK("https://map.kakao.com/link/map/P46-5,35.330703,127.753226","📍 카카오")</f>
        <v/>
      </c>
    </row>
    <row r="98">
      <c r="A98" s="7" t="inlineStr">
        <is>
          <t>#57</t>
        </is>
      </c>
      <c r="B98" s="8" t="n">
        <v>1</v>
      </c>
      <c r="C98" s="8" t="n">
        <v>35.916691</v>
      </c>
      <c r="D98" s="8" t="n">
        <v>127.788333</v>
      </c>
      <c r="E98" s="7" t="n">
        <v>91.2</v>
      </c>
      <c r="F98" s="8" t="inlineStr">
        <is>
          <t>12.4</t>
        </is>
      </c>
      <c r="G98" s="8" t="inlineStr">
        <is>
          <t>15.0</t>
        </is>
      </c>
      <c r="H98" s="8" t="inlineStr">
        <is>
          <t>14.8</t>
        </is>
      </c>
      <c r="I98" s="8" t="inlineStr">
        <is>
          <t>10.0</t>
        </is>
      </c>
      <c r="J98" s="8" t="inlineStr">
        <is>
          <t>2.5</t>
        </is>
      </c>
      <c r="K98" s="8" t="inlineStr">
        <is>
          <t>1029</t>
        </is>
      </c>
      <c r="L98" s="9">
        <f>HYPERLINK("https://map.naver.com/v5/search/35.916691,127.788333","📍 네이버")</f>
        <v/>
      </c>
      <c r="M98" s="9">
        <f>HYPERLINK("https://map.kakao.com/link/map/P57-1,35.916691,127.788333","📍 카카오")</f>
        <v/>
      </c>
    </row>
    <row r="99">
      <c r="A99" s="10" t="inlineStr">
        <is>
          <t>#57</t>
        </is>
      </c>
      <c r="B99" s="11" t="n">
        <v>2</v>
      </c>
      <c r="C99" s="11" t="n">
        <v>35.92568</v>
      </c>
      <c r="D99" s="11" t="n">
        <v>127.799451</v>
      </c>
      <c r="E99" s="10" t="n">
        <v>89.7</v>
      </c>
      <c r="F99" s="11" t="inlineStr">
        <is>
          <t>12.1</t>
        </is>
      </c>
      <c r="G99" s="11" t="inlineStr">
        <is>
          <t>15.0</t>
        </is>
      </c>
      <c r="H99" s="11" t="inlineStr">
        <is>
          <t>14.2</t>
        </is>
      </c>
      <c r="I99" s="11" t="inlineStr">
        <is>
          <t>10.0</t>
        </is>
      </c>
      <c r="J99" s="11" t="inlineStr">
        <is>
          <t>2.5</t>
        </is>
      </c>
      <c r="K99" s="11" t="inlineStr">
        <is>
          <t>1637</t>
        </is>
      </c>
      <c r="L99" s="12">
        <f>HYPERLINK("https://map.naver.com/v5/search/35.92568,127.799451","📍 네이버")</f>
        <v/>
      </c>
      <c r="M99" s="12">
        <f>HYPERLINK("https://map.kakao.com/link/map/P57-2,35.92568,127.799451","📍 카카오")</f>
        <v/>
      </c>
    </row>
    <row r="100">
      <c r="A100" s="10" t="inlineStr">
        <is>
          <t>#57</t>
        </is>
      </c>
      <c r="B100" s="11" t="n">
        <v>3</v>
      </c>
      <c r="C100" s="11" t="n">
        <v>35.988672</v>
      </c>
      <c r="D100" s="11" t="n">
        <v>127.844064</v>
      </c>
      <c r="E100" s="10" t="n">
        <v>88.40000000000001</v>
      </c>
      <c r="F100" s="11" t="inlineStr">
        <is>
          <t>12.0</t>
        </is>
      </c>
      <c r="G100" s="11" t="inlineStr">
        <is>
          <t>15.0</t>
        </is>
      </c>
      <c r="H100" s="11" t="inlineStr">
        <is>
          <t>13.5</t>
        </is>
      </c>
      <c r="I100" s="11" t="inlineStr">
        <is>
          <t>10.0</t>
        </is>
      </c>
      <c r="J100" s="11" t="inlineStr">
        <is>
          <t>2.5</t>
        </is>
      </c>
      <c r="K100" s="11" t="inlineStr">
        <is>
          <t>310</t>
        </is>
      </c>
      <c r="L100" s="12">
        <f>HYPERLINK("https://map.naver.com/v5/search/35.988672,127.844064","📍 네이버")</f>
        <v/>
      </c>
      <c r="M100" s="12">
        <f>HYPERLINK("https://map.kakao.com/link/map/P57-3,35.988672,127.844064","📍 카카오")</f>
        <v/>
      </c>
    </row>
    <row r="101">
      <c r="A101" s="10" t="inlineStr">
        <is>
          <t>#57</t>
        </is>
      </c>
      <c r="B101" s="11" t="n">
        <v>4</v>
      </c>
      <c r="C101" s="11" t="n">
        <v>35.970731</v>
      </c>
      <c r="D101" s="11" t="n">
        <v>127.810712</v>
      </c>
      <c r="E101" s="10" t="n">
        <v>87.8</v>
      </c>
      <c r="F101" s="11" t="inlineStr">
        <is>
          <t>11.9</t>
        </is>
      </c>
      <c r="G101" s="11" t="inlineStr">
        <is>
          <t>15.0</t>
        </is>
      </c>
      <c r="H101" s="11" t="inlineStr">
        <is>
          <t>13.2</t>
        </is>
      </c>
      <c r="I101" s="11" t="inlineStr">
        <is>
          <t>10.0</t>
        </is>
      </c>
      <c r="J101" s="11" t="inlineStr">
        <is>
          <t>2.5</t>
        </is>
      </c>
      <c r="K101" s="11" t="inlineStr">
        <is>
          <t>1087</t>
        </is>
      </c>
      <c r="L101" s="12">
        <f>HYPERLINK("https://map.naver.com/v5/search/35.970731,127.810712","📍 네이버")</f>
        <v/>
      </c>
      <c r="M101" s="12">
        <f>HYPERLINK("https://map.kakao.com/link/map/P57-4,35.970731,127.810712","📍 카카오")</f>
        <v/>
      </c>
    </row>
    <row r="102">
      <c r="A102" s="10" t="inlineStr">
        <is>
          <t>#57</t>
        </is>
      </c>
      <c r="B102" s="11" t="n">
        <v>5</v>
      </c>
      <c r="C102" s="11" t="n">
        <v>35.943712</v>
      </c>
      <c r="D102" s="11" t="n">
        <v>127.799519</v>
      </c>
      <c r="E102" s="10" t="n">
        <v>87.3</v>
      </c>
      <c r="F102" s="11" t="inlineStr">
        <is>
          <t>10.7</t>
        </is>
      </c>
      <c r="G102" s="11" t="inlineStr">
        <is>
          <t>15.0</t>
        </is>
      </c>
      <c r="H102" s="11" t="inlineStr">
        <is>
          <t>14.1</t>
        </is>
      </c>
      <c r="I102" s="11" t="inlineStr">
        <is>
          <t>10.0</t>
        </is>
      </c>
      <c r="J102" s="11" t="inlineStr">
        <is>
          <t>2.5</t>
        </is>
      </c>
      <c r="K102" s="11" t="inlineStr">
        <is>
          <t>21</t>
        </is>
      </c>
      <c r="L102" s="12">
        <f>HYPERLINK("https://map.naver.com/v5/search/35.943712,127.799519","📍 네이버")</f>
        <v/>
      </c>
      <c r="M102" s="12">
        <f>HYPERLINK("https://map.kakao.com/link/map/P57-5,35.943712,127.799519","📍 카카오")</f>
        <v/>
      </c>
    </row>
    <row r="103">
      <c r="A103" s="7" t="inlineStr">
        <is>
          <t>#59</t>
        </is>
      </c>
      <c r="B103" s="8" t="n">
        <v>1</v>
      </c>
      <c r="C103" s="8" t="n">
        <v>36.592635</v>
      </c>
      <c r="D103" s="8" t="n">
        <v>127.869085</v>
      </c>
      <c r="E103" s="7" t="n">
        <v>90.2</v>
      </c>
      <c r="F103" s="8" t="inlineStr">
        <is>
          <t>13.1</t>
        </is>
      </c>
      <c r="G103" s="8" t="inlineStr">
        <is>
          <t>15.0</t>
        </is>
      </c>
      <c r="H103" s="8" t="inlineStr">
        <is>
          <t>13.4</t>
        </is>
      </c>
      <c r="I103" s="8" t="inlineStr">
        <is>
          <t>8.0</t>
        </is>
      </c>
      <c r="J103" s="8" t="inlineStr">
        <is>
          <t>4.6</t>
        </is>
      </c>
      <c r="K103" s="8" t="inlineStr">
        <is>
          <t>154</t>
        </is>
      </c>
      <c r="L103" s="9">
        <f>HYPERLINK("https://map.naver.com/v5/search/36.592635,127.869085","📍 네이버")</f>
        <v/>
      </c>
      <c r="M103" s="9">
        <f>HYPERLINK("https://map.kakao.com/link/map/P59-1,36.592635,127.869085","📍 카카오")</f>
        <v/>
      </c>
    </row>
    <row r="104">
      <c r="A104" s="10" t="inlineStr">
        <is>
          <t>#59</t>
        </is>
      </c>
      <c r="B104" s="11" t="n">
        <v>2</v>
      </c>
      <c r="C104" s="11" t="n">
        <v>36.583719</v>
      </c>
      <c r="D104" s="11" t="n">
        <v>127.835508</v>
      </c>
      <c r="E104" s="10" t="n">
        <v>90.09999999999999</v>
      </c>
      <c r="F104" s="11" t="inlineStr">
        <is>
          <t>12.2</t>
        </is>
      </c>
      <c r="G104" s="11" t="inlineStr">
        <is>
          <t>15.0</t>
        </is>
      </c>
      <c r="H104" s="11" t="inlineStr">
        <is>
          <t>14.2</t>
        </is>
      </c>
      <c r="I104" s="11" t="inlineStr">
        <is>
          <t>8.0</t>
        </is>
      </c>
      <c r="J104" s="11" t="inlineStr">
        <is>
          <t>4.6</t>
        </is>
      </c>
      <c r="K104" s="11" t="inlineStr">
        <is>
          <t>1025</t>
        </is>
      </c>
      <c r="L104" s="12">
        <f>HYPERLINK("https://map.naver.com/v5/search/36.583719,127.835508","📍 네이버")</f>
        <v/>
      </c>
      <c r="M104" s="12">
        <f>HYPERLINK("https://map.kakao.com/link/map/P59-2,36.583719,127.835508","📍 카카오")</f>
        <v/>
      </c>
    </row>
    <row r="105">
      <c r="A105" s="10" t="inlineStr">
        <is>
          <t>#59</t>
        </is>
      </c>
      <c r="B105" s="11" t="n">
        <v>3</v>
      </c>
      <c r="C105" s="11" t="n">
        <v>36.556764</v>
      </c>
      <c r="D105" s="11" t="n">
        <v>127.801868</v>
      </c>
      <c r="E105" s="10" t="n">
        <v>89.8</v>
      </c>
      <c r="F105" s="11" t="inlineStr">
        <is>
          <t>13.6</t>
        </is>
      </c>
      <c r="G105" s="11" t="inlineStr">
        <is>
          <t>15.0</t>
        </is>
      </c>
      <c r="H105" s="11" t="inlineStr">
        <is>
          <t>13.3</t>
        </is>
      </c>
      <c r="I105" s="11" t="inlineStr">
        <is>
          <t>8.0</t>
        </is>
      </c>
      <c r="J105" s="11" t="inlineStr">
        <is>
          <t>4.0</t>
        </is>
      </c>
      <c r="K105" s="11" t="inlineStr">
        <is>
          <t>316</t>
        </is>
      </c>
      <c r="L105" s="12">
        <f>HYPERLINK("https://map.naver.com/v5/search/36.556764,127.801868","📍 네이버")</f>
        <v/>
      </c>
      <c r="M105" s="12">
        <f>HYPERLINK("https://map.kakao.com/link/map/P59-3,36.556764,127.801868","📍 카카오")</f>
        <v/>
      </c>
    </row>
    <row r="106">
      <c r="A106" s="10" t="inlineStr">
        <is>
          <t>#59</t>
        </is>
      </c>
      <c r="B106" s="11" t="n">
        <v>4</v>
      </c>
      <c r="C106" s="11" t="n">
        <v>36.610881</v>
      </c>
      <c r="D106" s="11" t="n">
        <v>127.790897</v>
      </c>
      <c r="E106" s="10" t="n">
        <v>89.09999999999999</v>
      </c>
      <c r="F106" s="11" t="inlineStr">
        <is>
          <t>11.8</t>
        </is>
      </c>
      <c r="G106" s="11" t="inlineStr">
        <is>
          <t>15.0</t>
        </is>
      </c>
      <c r="H106" s="11" t="inlineStr">
        <is>
          <t>13.8</t>
        </is>
      </c>
      <c r="I106" s="11" t="inlineStr">
        <is>
          <t>8.0</t>
        </is>
      </c>
      <c r="J106" s="11" t="inlineStr">
        <is>
          <t>4.9</t>
        </is>
      </c>
      <c r="K106" s="11" t="inlineStr">
        <is>
          <t>1096</t>
        </is>
      </c>
      <c r="L106" s="12">
        <f>HYPERLINK("https://map.naver.com/v5/search/36.610881,127.790897","📍 네이버")</f>
        <v/>
      </c>
      <c r="M106" s="12">
        <f>HYPERLINK("https://map.kakao.com/link/map/P59-4,36.610881,127.790897","📍 카카오")</f>
        <v/>
      </c>
    </row>
    <row r="107">
      <c r="A107" s="10" t="inlineStr">
        <is>
          <t>#59</t>
        </is>
      </c>
      <c r="B107" s="11" t="n">
        <v>5</v>
      </c>
      <c r="C107" s="11" t="n">
        <v>36.565657</v>
      </c>
      <c r="D107" s="11" t="n">
        <v>127.846606</v>
      </c>
      <c r="E107" s="10" t="n">
        <v>88.90000000000001</v>
      </c>
      <c r="F107" s="11" t="inlineStr">
        <is>
          <t>11.2</t>
        </is>
      </c>
      <c r="G107" s="11" t="inlineStr">
        <is>
          <t>15.0</t>
        </is>
      </c>
      <c r="H107" s="11" t="inlineStr">
        <is>
          <t>14.7</t>
        </is>
      </c>
      <c r="I107" s="11" t="inlineStr">
        <is>
          <t>8.0</t>
        </is>
      </c>
      <c r="J107" s="11" t="inlineStr">
        <is>
          <t>4.4</t>
        </is>
      </c>
      <c r="K107" s="11" t="inlineStr">
        <is>
          <t>1952</t>
        </is>
      </c>
      <c r="L107" s="12">
        <f>HYPERLINK("https://map.naver.com/v5/search/36.565657,127.846606","📍 네이버")</f>
        <v/>
      </c>
      <c r="M107" s="12">
        <f>HYPERLINK("https://map.kakao.com/link/map/P59-5,36.565657,127.846606","📍 카카오")</f>
        <v/>
      </c>
    </row>
    <row r="108">
      <c r="A108" s="7" t="inlineStr">
        <is>
          <t>#65</t>
        </is>
      </c>
      <c r="B108" s="8" t="n">
        <v>1</v>
      </c>
      <c r="C108" s="8" t="n">
        <v>34.834141</v>
      </c>
      <c r="D108" s="8" t="n">
        <v>127.959493</v>
      </c>
      <c r="E108" s="7" t="n">
        <v>95.2</v>
      </c>
      <c r="F108" s="8" t="inlineStr">
        <is>
          <t>15.0</t>
        </is>
      </c>
      <c r="G108" s="8" t="inlineStr">
        <is>
          <t>14.8</t>
        </is>
      </c>
      <c r="H108" s="8" t="inlineStr">
        <is>
          <t>14.9</t>
        </is>
      </c>
      <c r="I108" s="8" t="inlineStr">
        <is>
          <t>10.0</t>
        </is>
      </c>
      <c r="J108" s="8" t="inlineStr">
        <is>
          <t>2.5</t>
        </is>
      </c>
      <c r="K108" s="8" t="inlineStr">
        <is>
          <t>1532</t>
        </is>
      </c>
      <c r="L108" s="9">
        <f>HYPERLINK("https://map.naver.com/v5/search/34.834141,127.959493","📍 네이버")</f>
        <v/>
      </c>
      <c r="M108" s="9">
        <f>HYPERLINK("https://map.kakao.com/link/map/P65-1,34.834141,127.959493","📍 카카오")</f>
        <v/>
      </c>
    </row>
    <row r="109">
      <c r="A109" s="10" t="inlineStr">
        <is>
          <t>#65</t>
        </is>
      </c>
      <c r="B109" s="11" t="n">
        <v>2</v>
      </c>
      <c r="C109" s="11" t="n">
        <v>34.843158</v>
      </c>
      <c r="D109" s="11" t="n">
        <v>127.959543</v>
      </c>
      <c r="E109" s="10" t="n">
        <v>94.59999999999999</v>
      </c>
      <c r="F109" s="11" t="inlineStr">
        <is>
          <t>15.0</t>
        </is>
      </c>
      <c r="G109" s="11" t="inlineStr">
        <is>
          <t>14.7</t>
        </is>
      </c>
      <c r="H109" s="11" t="inlineStr">
        <is>
          <t>14.5</t>
        </is>
      </c>
      <c r="I109" s="11" t="inlineStr">
        <is>
          <t>10.0</t>
        </is>
      </c>
      <c r="J109" s="11" t="inlineStr">
        <is>
          <t>2.5</t>
        </is>
      </c>
      <c r="K109" s="11" t="inlineStr">
        <is>
          <t>1160</t>
        </is>
      </c>
      <c r="L109" s="12">
        <f>HYPERLINK("https://map.naver.com/v5/search/34.843158,127.959543","📍 네이버")</f>
        <v/>
      </c>
      <c r="M109" s="12">
        <f>HYPERLINK("https://map.kakao.com/link/map/P65-2,34.843158,127.959543","📍 카카오")</f>
        <v/>
      </c>
    </row>
    <row r="110">
      <c r="A110" s="10" t="inlineStr">
        <is>
          <t>#65</t>
        </is>
      </c>
      <c r="B110" s="11" t="n">
        <v>3</v>
      </c>
      <c r="C110" s="11" t="n">
        <v>34.870368</v>
      </c>
      <c r="D110" s="11" t="n">
        <v>127.915929</v>
      </c>
      <c r="E110" s="10" t="n">
        <v>92.40000000000001</v>
      </c>
      <c r="F110" s="11" t="inlineStr">
        <is>
          <t>15.0</t>
        </is>
      </c>
      <c r="G110" s="11" t="inlineStr">
        <is>
          <t>13.9</t>
        </is>
      </c>
      <c r="H110" s="11" t="inlineStr">
        <is>
          <t>14.0</t>
        </is>
      </c>
      <c r="I110" s="11" t="inlineStr">
        <is>
          <t>10.0</t>
        </is>
      </c>
      <c r="J110" s="11" t="inlineStr">
        <is>
          <t>2.5</t>
        </is>
      </c>
      <c r="K110" s="11" t="inlineStr">
        <is>
          <t>1417</t>
        </is>
      </c>
      <c r="L110" s="12">
        <f>HYPERLINK("https://map.naver.com/v5/search/34.870368,127.915929","📍 네이버")</f>
        <v/>
      </c>
      <c r="M110" s="12">
        <f>HYPERLINK("https://map.kakao.com/link/map/P65-3,34.870368,127.915929","📍 카카오")</f>
        <v/>
      </c>
    </row>
    <row r="111">
      <c r="A111" s="10" t="inlineStr">
        <is>
          <t>#65</t>
        </is>
      </c>
      <c r="B111" s="11" t="n">
        <v>4</v>
      </c>
      <c r="C111" s="11" t="n">
        <v>34.879269</v>
      </c>
      <c r="D111" s="11" t="n">
        <v>127.948801</v>
      </c>
      <c r="E111" s="10" t="n">
        <v>92</v>
      </c>
      <c r="F111" s="11" t="inlineStr">
        <is>
          <t>15.0</t>
        </is>
      </c>
      <c r="G111" s="11" t="inlineStr">
        <is>
          <t>14.7</t>
        </is>
      </c>
      <c r="H111" s="11" t="inlineStr">
        <is>
          <t>15.0</t>
        </is>
      </c>
      <c r="I111" s="11" t="inlineStr">
        <is>
          <t>8.0</t>
        </is>
      </c>
      <c r="J111" s="11" t="inlineStr">
        <is>
          <t>2.5</t>
        </is>
      </c>
      <c r="K111" s="11" t="inlineStr">
        <is>
          <t>1624</t>
        </is>
      </c>
      <c r="L111" s="12">
        <f>HYPERLINK("https://map.naver.com/v5/search/34.879269,127.948801","📍 네이버")</f>
        <v/>
      </c>
      <c r="M111" s="12">
        <f>HYPERLINK("https://map.kakao.com/link/map/P65-4,34.879269,127.948801","📍 카카오")</f>
        <v/>
      </c>
    </row>
    <row r="112">
      <c r="A112" s="10" t="inlineStr">
        <is>
          <t>#65</t>
        </is>
      </c>
      <c r="B112" s="11" t="n">
        <v>5</v>
      </c>
      <c r="C112" s="11" t="n">
        <v>34.888245</v>
      </c>
      <c r="D112" s="11" t="n">
        <v>127.959794</v>
      </c>
      <c r="E112" s="10" t="n">
        <v>91.7</v>
      </c>
      <c r="F112" s="11" t="inlineStr">
        <is>
          <t>15.0</t>
        </is>
      </c>
      <c r="G112" s="11" t="inlineStr">
        <is>
          <t>14.9</t>
        </is>
      </c>
      <c r="H112" s="11" t="inlineStr">
        <is>
          <t>14.6</t>
        </is>
      </c>
      <c r="I112" s="11" t="inlineStr">
        <is>
          <t>8.0</t>
        </is>
      </c>
      <c r="J112" s="11" t="inlineStr">
        <is>
          <t>2.5</t>
        </is>
      </c>
      <c r="K112" s="11" t="inlineStr">
        <is>
          <t>1709</t>
        </is>
      </c>
      <c r="L112" s="12">
        <f>HYPERLINK("https://map.naver.com/v5/search/34.888245,127.959794","📍 네이버")</f>
        <v/>
      </c>
      <c r="M112" s="12">
        <f>HYPERLINK("https://map.kakao.com/link/map/P65-5,34.888245,127.959794","📍 카카오")</f>
        <v/>
      </c>
    </row>
    <row r="113">
      <c r="A113" s="7" t="inlineStr">
        <is>
          <t>#67</t>
        </is>
      </c>
      <c r="B113" s="8" t="n">
        <v>1</v>
      </c>
      <c r="C113" s="8" t="n">
        <v>35.94318</v>
      </c>
      <c r="D113" s="8" t="n">
        <v>127.965822</v>
      </c>
      <c r="E113" s="7" t="n">
        <v>90.7</v>
      </c>
      <c r="F113" s="8" t="inlineStr">
        <is>
          <t>13.8</t>
        </is>
      </c>
      <c r="G113" s="8" t="inlineStr">
        <is>
          <t>14.5</t>
        </is>
      </c>
      <c r="H113" s="8" t="inlineStr">
        <is>
          <t>13.7</t>
        </is>
      </c>
      <c r="I113" s="8" t="inlineStr">
        <is>
          <t>10.0</t>
        </is>
      </c>
      <c r="J113" s="8" t="inlineStr">
        <is>
          <t>2.5</t>
        </is>
      </c>
      <c r="K113" s="8" t="inlineStr">
        <is>
          <t>475</t>
        </is>
      </c>
      <c r="L113" s="9">
        <f>HYPERLINK("https://map.naver.com/v5/search/35.94318,127.965822","📍 네이버")</f>
        <v/>
      </c>
      <c r="M113" s="9">
        <f>HYPERLINK("https://map.kakao.com/link/map/P67-1,35.94318,127.965822","📍 카카오")</f>
        <v/>
      </c>
    </row>
    <row r="114">
      <c r="A114" s="10" t="inlineStr">
        <is>
          <t>#67</t>
        </is>
      </c>
      <c r="B114" s="11" t="n">
        <v>2</v>
      </c>
      <c r="C114" s="11" t="n">
        <v>35.952359</v>
      </c>
      <c r="D114" s="11" t="n">
        <v>127.921522</v>
      </c>
      <c r="E114" s="10" t="n">
        <v>90.5</v>
      </c>
      <c r="F114" s="11" t="inlineStr">
        <is>
          <t>13.0</t>
        </is>
      </c>
      <c r="G114" s="11" t="inlineStr">
        <is>
          <t>14.7</t>
        </is>
      </c>
      <c r="H114" s="11" t="inlineStr">
        <is>
          <t>14.1</t>
        </is>
      </c>
      <c r="I114" s="11" t="inlineStr">
        <is>
          <t>10.0</t>
        </is>
      </c>
      <c r="J114" s="11" t="inlineStr">
        <is>
          <t>2.5</t>
        </is>
      </c>
      <c r="K114" s="11" t="inlineStr">
        <is>
          <t>1764</t>
        </is>
      </c>
      <c r="L114" s="12">
        <f>HYPERLINK("https://map.naver.com/v5/search/35.952359,127.921522","📍 네이버")</f>
        <v/>
      </c>
      <c r="M114" s="12">
        <f>HYPERLINK("https://map.kakao.com/link/map/P67-2,35.952359,127.921522","📍 카카오")</f>
        <v/>
      </c>
    </row>
    <row r="115">
      <c r="A115" s="10" t="inlineStr">
        <is>
          <t>#67</t>
        </is>
      </c>
      <c r="B115" s="11" t="n">
        <v>3</v>
      </c>
      <c r="C115" s="11" t="n">
        <v>35.988422</v>
      </c>
      <c r="D115" s="11" t="n">
        <v>127.921713</v>
      </c>
      <c r="E115" s="10" t="n">
        <v>89.90000000000001</v>
      </c>
      <c r="F115" s="11" t="inlineStr">
        <is>
          <t>13.4</t>
        </is>
      </c>
      <c r="G115" s="11" t="inlineStr">
        <is>
          <t>14.4</t>
        </is>
      </c>
      <c r="H115" s="11" t="inlineStr">
        <is>
          <t>13.7</t>
        </is>
      </c>
      <c r="I115" s="11" t="inlineStr">
        <is>
          <t>10.0</t>
        </is>
      </c>
      <c r="J115" s="11" t="inlineStr">
        <is>
          <t>2.5</t>
        </is>
      </c>
      <c r="K115" s="11" t="inlineStr">
        <is>
          <t>599</t>
        </is>
      </c>
      <c r="L115" s="12">
        <f>HYPERLINK("https://map.naver.com/v5/search/35.988422,127.921713","📍 네이버")</f>
        <v/>
      </c>
      <c r="M115" s="12">
        <f>HYPERLINK("https://map.kakao.com/link/map/P67-3,35.988422,127.921713","📍 카카오")</f>
        <v/>
      </c>
    </row>
    <row r="116">
      <c r="A116" s="10" t="inlineStr">
        <is>
          <t>#67</t>
        </is>
      </c>
      <c r="B116" s="11" t="n">
        <v>4</v>
      </c>
      <c r="C116" s="11" t="n">
        <v>35.979407</v>
      </c>
      <c r="D116" s="11" t="n">
        <v>127.921665</v>
      </c>
      <c r="E116" s="10" t="n">
        <v>88</v>
      </c>
      <c r="F116" s="11" t="inlineStr">
        <is>
          <t>12.4</t>
        </is>
      </c>
      <c r="G116" s="11" t="inlineStr">
        <is>
          <t>14.5</t>
        </is>
      </c>
      <c r="H116" s="11" t="inlineStr">
        <is>
          <t>13.4</t>
        </is>
      </c>
      <c r="I116" s="11" t="inlineStr">
        <is>
          <t>10.0</t>
        </is>
      </c>
      <c r="J116" s="11" t="inlineStr">
        <is>
          <t>2.5</t>
        </is>
      </c>
      <c r="K116" s="11" t="inlineStr">
        <is>
          <t>286</t>
        </is>
      </c>
      <c r="L116" s="12">
        <f>HYPERLINK("https://map.naver.com/v5/search/35.979407,127.921665","📍 네이버")</f>
        <v/>
      </c>
      <c r="M116" s="12">
        <f>HYPERLINK("https://map.kakao.com/link/map/P67-4,35.979407,127.921665","📍 카카오")</f>
        <v/>
      </c>
    </row>
    <row r="117">
      <c r="A117" s="10" t="inlineStr">
        <is>
          <t>#67</t>
        </is>
      </c>
      <c r="B117" s="11" t="n">
        <v>5</v>
      </c>
      <c r="C117" s="11" t="n">
        <v>35.943222</v>
      </c>
      <c r="D117" s="11" t="n">
        <v>127.954735</v>
      </c>
      <c r="E117" s="10" t="n">
        <v>87.7</v>
      </c>
      <c r="F117" s="11" t="inlineStr">
        <is>
          <t>11.7</t>
        </is>
      </c>
      <c r="G117" s="11" t="inlineStr">
        <is>
          <t>14.6</t>
        </is>
      </c>
      <c r="H117" s="11" t="inlineStr">
        <is>
          <t>13.8</t>
        </is>
      </c>
      <c r="I117" s="11" t="inlineStr">
        <is>
          <t>10.0</t>
        </is>
      </c>
      <c r="J117" s="11" t="inlineStr">
        <is>
          <t>2.5</t>
        </is>
      </c>
      <c r="K117" s="11" t="inlineStr">
        <is>
          <t>693</t>
        </is>
      </c>
      <c r="L117" s="12">
        <f>HYPERLINK("https://map.naver.com/v5/search/35.943222,127.954735","📍 네이버")</f>
        <v/>
      </c>
      <c r="M117" s="12">
        <f>HYPERLINK("https://map.kakao.com/link/map/P67-5,35.943222,127.954735","📍 카카오")</f>
        <v/>
      </c>
    </row>
    <row r="118">
      <c r="A118" s="7" t="inlineStr">
        <is>
          <t>#69</t>
        </is>
      </c>
      <c r="B118" s="8" t="n">
        <v>1</v>
      </c>
      <c r="C118" s="8" t="n">
        <v>36.330844</v>
      </c>
      <c r="D118" s="8" t="n">
        <v>127.968115</v>
      </c>
      <c r="E118" s="7" t="n">
        <v>91.59999999999999</v>
      </c>
      <c r="F118" s="8" t="inlineStr">
        <is>
          <t>14.6</t>
        </is>
      </c>
      <c r="G118" s="8" t="inlineStr">
        <is>
          <t>15.0</t>
        </is>
      </c>
      <c r="H118" s="8" t="inlineStr">
        <is>
          <t>13.0</t>
        </is>
      </c>
      <c r="I118" s="8" t="inlineStr">
        <is>
          <t>8.0</t>
        </is>
      </c>
      <c r="J118" s="8" t="inlineStr">
        <is>
          <t>4.3</t>
        </is>
      </c>
      <c r="K118" s="8" t="inlineStr">
        <is>
          <t>247</t>
        </is>
      </c>
      <c r="L118" s="9">
        <f>HYPERLINK("https://map.naver.com/v5/search/36.330844,127.968115","📍 네이버")</f>
        <v/>
      </c>
      <c r="M118" s="9">
        <f>HYPERLINK("https://map.kakao.com/link/map/P69-1,36.330844,127.968115","📍 카카오")</f>
        <v/>
      </c>
    </row>
    <row r="119">
      <c r="A119" s="10" t="inlineStr">
        <is>
          <t>#69</t>
        </is>
      </c>
      <c r="B119" s="11" t="n">
        <v>2</v>
      </c>
      <c r="C119" s="11" t="n">
        <v>36.321829</v>
      </c>
      <c r="D119" s="11" t="n">
        <v>127.968061</v>
      </c>
      <c r="E119" s="10" t="n">
        <v>91</v>
      </c>
      <c r="F119" s="11" t="inlineStr">
        <is>
          <t>14.7</t>
        </is>
      </c>
      <c r="G119" s="11" t="inlineStr">
        <is>
          <t>14.9</t>
        </is>
      </c>
      <c r="H119" s="11" t="inlineStr">
        <is>
          <t>13.0</t>
        </is>
      </c>
      <c r="I119" s="11" t="inlineStr">
        <is>
          <t>8.0</t>
        </is>
      </c>
      <c r="J119" s="11" t="inlineStr">
        <is>
          <t>4.0</t>
        </is>
      </c>
      <c r="K119" s="11" t="inlineStr">
        <is>
          <t>211</t>
        </is>
      </c>
      <c r="L119" s="12">
        <f>HYPERLINK("https://map.naver.com/v5/search/36.321829,127.968061","📍 네이버")</f>
        <v/>
      </c>
      <c r="M119" s="12">
        <f>HYPERLINK("https://map.kakao.com/link/map/P69-2,36.321829,127.968061","📍 카카오")</f>
        <v/>
      </c>
    </row>
    <row r="120">
      <c r="A120" s="10" t="inlineStr">
        <is>
          <t>#69</t>
        </is>
      </c>
      <c r="B120" s="11" t="n">
        <v>3</v>
      </c>
      <c r="C120" s="11" t="n">
        <v>36.321995</v>
      </c>
      <c r="D120" s="11" t="n">
        <v>127.9235</v>
      </c>
      <c r="E120" s="10" t="n">
        <v>90.59999999999999</v>
      </c>
      <c r="F120" s="11" t="inlineStr">
        <is>
          <t>10.1</t>
        </is>
      </c>
      <c r="G120" s="11" t="inlineStr">
        <is>
          <t>14.8</t>
        </is>
      </c>
      <c r="H120" s="11" t="inlineStr">
        <is>
          <t>14.7</t>
        </is>
      </c>
      <c r="I120" s="11" t="inlineStr">
        <is>
          <t>10.0</t>
        </is>
      </c>
      <c r="J120" s="11" t="inlineStr">
        <is>
          <t>4.8</t>
        </is>
      </c>
      <c r="K120" s="11" t="inlineStr">
        <is>
          <t>1822</t>
        </is>
      </c>
      <c r="L120" s="12">
        <f>HYPERLINK("https://map.naver.com/v5/search/36.321995,127.9235","📍 네이버")</f>
        <v/>
      </c>
      <c r="M120" s="12">
        <f>HYPERLINK("https://map.kakao.com/link/map/P69-3,36.321995,127.9235","📍 카카오")</f>
        <v/>
      </c>
    </row>
    <row r="121">
      <c r="A121" s="10" t="inlineStr">
        <is>
          <t>#69</t>
        </is>
      </c>
      <c r="B121" s="11" t="n">
        <v>4</v>
      </c>
      <c r="C121" s="11" t="n">
        <v>36.340139</v>
      </c>
      <c r="D121" s="11" t="n">
        <v>127.890168</v>
      </c>
      <c r="E121" s="10" t="n">
        <v>90</v>
      </c>
      <c r="F121" s="11" t="inlineStr">
        <is>
          <t>13.0</t>
        </is>
      </c>
      <c r="G121" s="11" t="inlineStr">
        <is>
          <t>15.0</t>
        </is>
      </c>
      <c r="H121" s="11" t="inlineStr">
        <is>
          <t>12.1</t>
        </is>
      </c>
      <c r="I121" s="11" t="inlineStr">
        <is>
          <t>10.0</t>
        </is>
      </c>
      <c r="J121" s="11" t="inlineStr">
        <is>
          <t>3.9</t>
        </is>
      </c>
      <c r="K121" s="11" t="inlineStr">
        <is>
          <t>1134</t>
        </is>
      </c>
      <c r="L121" s="12">
        <f>HYPERLINK("https://map.naver.com/v5/search/36.340139,127.890168","📍 네이버")</f>
        <v/>
      </c>
      <c r="M121" s="12">
        <f>HYPERLINK("https://map.kakao.com/link/map/P69-4,36.340139,127.890168","📍 카카오")</f>
        <v/>
      </c>
    </row>
    <row r="122">
      <c r="A122" s="10" t="inlineStr">
        <is>
          <t>#69</t>
        </is>
      </c>
      <c r="B122" s="11" t="n">
        <v>5</v>
      </c>
      <c r="C122" s="11" t="n">
        <v>36.312857</v>
      </c>
      <c r="D122" s="11" t="n">
        <v>127.956868</v>
      </c>
      <c r="E122" s="10" t="n">
        <v>89.09999999999999</v>
      </c>
      <c r="F122" s="11" t="inlineStr">
        <is>
          <t>14.5</t>
        </is>
      </c>
      <c r="G122" s="11" t="inlineStr">
        <is>
          <t>14.7</t>
        </is>
      </c>
      <c r="H122" s="11" t="inlineStr">
        <is>
          <t>12.0</t>
        </is>
      </c>
      <c r="I122" s="11" t="inlineStr">
        <is>
          <t>8.0</t>
        </is>
      </c>
      <c r="J122" s="11" t="inlineStr">
        <is>
          <t>4.3</t>
        </is>
      </c>
      <c r="K122" s="11" t="inlineStr">
        <is>
          <t>101</t>
        </is>
      </c>
      <c r="L122" s="12">
        <f>HYPERLINK("https://map.naver.com/v5/search/36.312857,127.956868","📍 네이버")</f>
        <v/>
      </c>
      <c r="M122" s="12">
        <f>HYPERLINK("https://map.kakao.com/link/map/P69-5,36.312857,127.956868","📍 카카오")</f>
        <v/>
      </c>
    </row>
    <row r="123">
      <c r="A123" s="7" t="inlineStr">
        <is>
          <t>#70</t>
        </is>
      </c>
      <c r="B123" s="8" t="n">
        <v>1</v>
      </c>
      <c r="C123" s="8" t="n">
        <v>36.529172</v>
      </c>
      <c r="D123" s="8" t="n">
        <v>127.969313</v>
      </c>
      <c r="E123" s="7" t="n">
        <v>91</v>
      </c>
      <c r="F123" s="8" t="inlineStr">
        <is>
          <t>12.6</t>
        </is>
      </c>
      <c r="G123" s="8" t="inlineStr">
        <is>
          <t>15.0</t>
        </is>
      </c>
      <c r="H123" s="8" t="inlineStr">
        <is>
          <t>14.4</t>
        </is>
      </c>
      <c r="I123" s="8" t="inlineStr">
        <is>
          <t>8.0</t>
        </is>
      </c>
      <c r="J123" s="8" t="inlineStr">
        <is>
          <t>4.6</t>
        </is>
      </c>
      <c r="K123" s="8" t="inlineStr">
        <is>
          <t>144</t>
        </is>
      </c>
      <c r="L123" s="9">
        <f>HYPERLINK("https://map.naver.com/v5/search/36.529172,127.969313","📍 네이버")</f>
        <v/>
      </c>
      <c r="M123" s="9">
        <f>HYPERLINK("https://map.kakao.com/link/map/P70-1,36.529172,127.969313","📍 카카오")</f>
        <v/>
      </c>
    </row>
    <row r="124">
      <c r="A124" s="10" t="inlineStr">
        <is>
          <t>#70</t>
        </is>
      </c>
      <c r="B124" s="11" t="n">
        <v>2</v>
      </c>
      <c r="C124" s="11" t="n">
        <v>36.51131</v>
      </c>
      <c r="D124" s="11" t="n">
        <v>127.924533</v>
      </c>
      <c r="E124" s="10" t="n">
        <v>90.3</v>
      </c>
      <c r="F124" s="11" t="inlineStr">
        <is>
          <t>12.3</t>
        </is>
      </c>
      <c r="G124" s="11" t="inlineStr">
        <is>
          <t>15.0</t>
        </is>
      </c>
      <c r="H124" s="11" t="inlineStr">
        <is>
          <t>14.3</t>
        </is>
      </c>
      <c r="I124" s="11" t="inlineStr">
        <is>
          <t>8.0</t>
        </is>
      </c>
      <c r="J124" s="11" t="inlineStr">
        <is>
          <t>4.6</t>
        </is>
      </c>
      <c r="K124" s="11" t="inlineStr">
        <is>
          <t>246</t>
        </is>
      </c>
      <c r="L124" s="12">
        <f>HYPERLINK("https://map.naver.com/v5/search/36.51131,127.924533","📍 네이버")</f>
        <v/>
      </c>
      <c r="M124" s="12">
        <f>HYPERLINK("https://map.kakao.com/link/map/P70-2,36.51131,127.924533","📍 카카오")</f>
        <v/>
      </c>
    </row>
    <row r="125">
      <c r="A125" s="10" t="inlineStr">
        <is>
          <t>#70</t>
        </is>
      </c>
      <c r="B125" s="11" t="n">
        <v>3</v>
      </c>
      <c r="C125" s="11" t="n">
        <v>36.493069</v>
      </c>
      <c r="D125" s="11" t="n">
        <v>127.98026</v>
      </c>
      <c r="E125" s="10" t="n">
        <v>90</v>
      </c>
      <c r="F125" s="11" t="inlineStr">
        <is>
          <t>14.1</t>
        </is>
      </c>
      <c r="G125" s="11" t="inlineStr">
        <is>
          <t>15.0</t>
        </is>
      </c>
      <c r="H125" s="11" t="inlineStr">
        <is>
          <t>12.6</t>
        </is>
      </c>
      <c r="I125" s="11" t="inlineStr">
        <is>
          <t>8.0</t>
        </is>
      </c>
      <c r="J125" s="11" t="inlineStr">
        <is>
          <t>4.3</t>
        </is>
      </c>
      <c r="K125" s="11" t="inlineStr">
        <is>
          <t>1517</t>
        </is>
      </c>
      <c r="L125" s="12">
        <f>HYPERLINK("https://map.naver.com/v5/search/36.493069,127.98026","📍 네이버")</f>
        <v/>
      </c>
      <c r="M125" s="12">
        <f>HYPERLINK("https://map.kakao.com/link/map/P70-3,36.493069,127.98026","📍 카카오")</f>
        <v/>
      </c>
    </row>
    <row r="126">
      <c r="A126" s="10" t="inlineStr">
        <is>
          <t>#70</t>
        </is>
      </c>
      <c r="B126" s="11" t="n">
        <v>4</v>
      </c>
      <c r="C126" s="11" t="n">
        <v>36.529216</v>
      </c>
      <c r="D126" s="11" t="n">
        <v>127.958142</v>
      </c>
      <c r="E126" s="10" t="n">
        <v>90</v>
      </c>
      <c r="F126" s="11" t="inlineStr">
        <is>
          <t>11.4</t>
        </is>
      </c>
      <c r="G126" s="11" t="inlineStr">
        <is>
          <t>15.0</t>
        </is>
      </c>
      <c r="H126" s="11" t="inlineStr">
        <is>
          <t>15.0</t>
        </is>
      </c>
      <c r="I126" s="11" t="inlineStr">
        <is>
          <t>8.0</t>
        </is>
      </c>
      <c r="J126" s="11" t="inlineStr">
        <is>
          <t>4.6</t>
        </is>
      </c>
      <c r="K126" s="11" t="inlineStr">
        <is>
          <t>286</t>
        </is>
      </c>
      <c r="L126" s="12">
        <f>HYPERLINK("https://map.naver.com/v5/search/36.529216,127.958142","📍 네이버")</f>
        <v/>
      </c>
      <c r="M126" s="12">
        <f>HYPERLINK("https://map.kakao.com/link/map/P70-4,36.529216,127.958142","📍 카카오")</f>
        <v/>
      </c>
    </row>
    <row r="127">
      <c r="A127" s="10" t="inlineStr">
        <is>
          <t>#70</t>
        </is>
      </c>
      <c r="B127" s="11" t="n">
        <v>5</v>
      </c>
      <c r="C127" s="11" t="n">
        <v>36.50241</v>
      </c>
      <c r="D127" s="11" t="n">
        <v>127.890985</v>
      </c>
      <c r="E127" s="10" t="n">
        <v>89.7</v>
      </c>
      <c r="F127" s="11" t="inlineStr">
        <is>
          <t>13.9</t>
        </is>
      </c>
      <c r="G127" s="11" t="inlineStr">
        <is>
          <t>15.0</t>
        </is>
      </c>
      <c r="H127" s="11" t="inlineStr">
        <is>
          <t>12.8</t>
        </is>
      </c>
      <c r="I127" s="11" t="inlineStr">
        <is>
          <t>8.0</t>
        </is>
      </c>
      <c r="J127" s="11" t="inlineStr">
        <is>
          <t>4.1</t>
        </is>
      </c>
      <c r="K127" s="11" t="inlineStr">
        <is>
          <t>848</t>
        </is>
      </c>
      <c r="L127" s="12">
        <f>HYPERLINK("https://map.naver.com/v5/search/36.50241,127.890985","📍 네이버")</f>
        <v/>
      </c>
      <c r="M127" s="12">
        <f>HYPERLINK("https://map.kakao.com/link/map/P70-5,36.50241,127.890985","📍 카카오")</f>
        <v/>
      </c>
    </row>
    <row r="128">
      <c r="A128" s="7" t="inlineStr">
        <is>
          <t>#71</t>
        </is>
      </c>
      <c r="B128" s="8" t="n">
        <v>1</v>
      </c>
      <c r="C128" s="8" t="n">
        <v>36.673732</v>
      </c>
      <c r="D128" s="8" t="n">
        <v>127.880655</v>
      </c>
      <c r="E128" s="7" t="n">
        <v>92.3</v>
      </c>
      <c r="F128" s="8" t="inlineStr">
        <is>
          <t>13.1</t>
        </is>
      </c>
      <c r="G128" s="8" t="inlineStr">
        <is>
          <t>14.9</t>
        </is>
      </c>
      <c r="H128" s="8" t="inlineStr">
        <is>
          <t>14.5</t>
        </is>
      </c>
      <c r="I128" s="8" t="inlineStr">
        <is>
          <t>8.0</t>
        </is>
      </c>
      <c r="J128" s="8" t="inlineStr">
        <is>
          <t>4.9</t>
        </is>
      </c>
      <c r="K128" s="8" t="inlineStr">
        <is>
          <t>221</t>
        </is>
      </c>
      <c r="L128" s="9">
        <f>HYPERLINK("https://map.naver.com/v5/search/36.673732,127.880655","📍 네이버")</f>
        <v/>
      </c>
      <c r="M128" s="9">
        <f>HYPERLINK("https://map.kakao.com/link/map/P71-1,36.673732,127.880655","📍 카카오")</f>
        <v/>
      </c>
    </row>
    <row r="129">
      <c r="A129" s="10" t="inlineStr">
        <is>
          <t>#71</t>
        </is>
      </c>
      <c r="B129" s="11" t="n">
        <v>2</v>
      </c>
      <c r="C129" s="11" t="n">
        <v>36.673696</v>
      </c>
      <c r="D129" s="11" t="n">
        <v>127.891846</v>
      </c>
      <c r="E129" s="10" t="n">
        <v>92.2</v>
      </c>
      <c r="F129" s="11" t="inlineStr">
        <is>
          <t>13.4</t>
        </is>
      </c>
      <c r="G129" s="11" t="inlineStr">
        <is>
          <t>14.9</t>
        </is>
      </c>
      <c r="H129" s="11" t="inlineStr">
        <is>
          <t>14.3</t>
        </is>
      </c>
      <c r="I129" s="11" t="inlineStr">
        <is>
          <t>8.0</t>
        </is>
      </c>
      <c r="J129" s="11" t="inlineStr">
        <is>
          <t>4.8</t>
        </is>
      </c>
      <c r="K129" s="11" t="inlineStr">
        <is>
          <t>725</t>
        </is>
      </c>
      <c r="L129" s="12">
        <f>HYPERLINK("https://map.naver.com/v5/search/36.673696,127.891846","📍 네이버")</f>
        <v/>
      </c>
      <c r="M129" s="12">
        <f>HYPERLINK("https://map.kakao.com/link/map/P71-2,36.673696,127.891846","📍 카카오")</f>
        <v/>
      </c>
    </row>
    <row r="130">
      <c r="A130" s="10" t="inlineStr">
        <is>
          <t>#71</t>
        </is>
      </c>
      <c r="B130" s="11" t="n">
        <v>3</v>
      </c>
      <c r="C130" s="11" t="n">
        <v>36.709639</v>
      </c>
      <c r="D130" s="11" t="n">
        <v>127.925618</v>
      </c>
      <c r="E130" s="10" t="n">
        <v>90.90000000000001</v>
      </c>
      <c r="F130" s="11" t="inlineStr">
        <is>
          <t>13.2</t>
        </is>
      </c>
      <c r="G130" s="11" t="inlineStr">
        <is>
          <t>14.5</t>
        </is>
      </c>
      <c r="H130" s="11" t="inlineStr">
        <is>
          <t>13.9</t>
        </is>
      </c>
      <c r="I130" s="11" t="inlineStr">
        <is>
          <t>8.0</t>
        </is>
      </c>
      <c r="J130" s="11" t="inlineStr">
        <is>
          <t>4.9</t>
        </is>
      </c>
      <c r="K130" s="11" t="inlineStr">
        <is>
          <t>965</t>
        </is>
      </c>
      <c r="L130" s="12">
        <f>HYPERLINK("https://map.naver.com/v5/search/36.709639,127.925618","📍 네이버")</f>
        <v/>
      </c>
      <c r="M130" s="12">
        <f>HYPERLINK("https://map.kakao.com/link/map/P71-3,36.709639,127.925618","📍 카카오")</f>
        <v/>
      </c>
    </row>
    <row r="131">
      <c r="A131" s="10" t="inlineStr">
        <is>
          <t>#71</t>
        </is>
      </c>
      <c r="B131" s="11" t="n">
        <v>4</v>
      </c>
      <c r="C131" s="11" t="n">
        <v>36.664484</v>
      </c>
      <c r="D131" s="11" t="n">
        <v>127.947749</v>
      </c>
      <c r="E131" s="10" t="n">
        <v>89.8</v>
      </c>
      <c r="F131" s="11" t="inlineStr">
        <is>
          <t>12.7</t>
        </is>
      </c>
      <c r="G131" s="11" t="inlineStr">
        <is>
          <t>14.6</t>
        </is>
      </c>
      <c r="H131" s="11" t="inlineStr">
        <is>
          <t>13.9</t>
        </is>
      </c>
      <c r="I131" s="11" t="inlineStr">
        <is>
          <t>8.0</t>
        </is>
      </c>
      <c r="J131" s="11" t="inlineStr">
        <is>
          <t>4.6</t>
        </is>
      </c>
      <c r="K131" s="11" t="inlineStr">
        <is>
          <t>1278</t>
        </is>
      </c>
      <c r="L131" s="12">
        <f>HYPERLINK("https://map.naver.com/v5/search/36.664484,127.947749","📍 네이버")</f>
        <v/>
      </c>
      <c r="M131" s="12">
        <f>HYPERLINK("https://map.kakao.com/link/map/P71-4,36.664484,127.947749","📍 카카오")</f>
        <v/>
      </c>
    </row>
    <row r="132">
      <c r="A132" s="10" t="inlineStr">
        <is>
          <t>#71</t>
        </is>
      </c>
      <c r="B132" s="11" t="n">
        <v>5</v>
      </c>
      <c r="C132" s="11" t="n">
        <v>36.673412</v>
      </c>
      <c r="D132" s="11" t="n">
        <v>127.970183</v>
      </c>
      <c r="E132" s="10" t="n">
        <v>89.7</v>
      </c>
      <c r="F132" s="11" t="inlineStr">
        <is>
          <t>12.6</t>
        </is>
      </c>
      <c r="G132" s="11" t="inlineStr">
        <is>
          <t>14.4</t>
        </is>
      </c>
      <c r="H132" s="11" t="inlineStr">
        <is>
          <t>14.4</t>
        </is>
      </c>
      <c r="I132" s="11" t="inlineStr">
        <is>
          <t>8.0</t>
        </is>
      </c>
      <c r="J132" s="11" t="inlineStr">
        <is>
          <t>4.4</t>
        </is>
      </c>
      <c r="K132" s="11" t="inlineStr">
        <is>
          <t>92</t>
        </is>
      </c>
      <c r="L132" s="12">
        <f>HYPERLINK("https://map.naver.com/v5/search/36.673412,127.970183","📍 네이버")</f>
        <v/>
      </c>
      <c r="M132" s="12">
        <f>HYPERLINK("https://map.kakao.com/link/map/P71-5,36.673412,127.970183","📍 카카오")</f>
        <v/>
      </c>
    </row>
    <row r="133">
      <c r="A133" s="7" t="inlineStr">
        <is>
          <t>#77</t>
        </is>
      </c>
      <c r="B133" s="8" t="n">
        <v>1</v>
      </c>
      <c r="C133" s="8" t="n">
        <v>34.725472</v>
      </c>
      <c r="D133" s="8" t="n">
        <v>128.068108</v>
      </c>
      <c r="E133" s="7" t="n">
        <v>94.3</v>
      </c>
      <c r="F133" s="8" t="inlineStr">
        <is>
          <t>15.0</t>
        </is>
      </c>
      <c r="G133" s="8" t="inlineStr">
        <is>
          <t>15.0</t>
        </is>
      </c>
      <c r="H133" s="8" t="inlineStr">
        <is>
          <t>14.1</t>
        </is>
      </c>
      <c r="I133" s="8" t="inlineStr">
        <is>
          <t>10.0</t>
        </is>
      </c>
      <c r="J133" s="8" t="inlineStr">
        <is>
          <t>2.5</t>
        </is>
      </c>
      <c r="K133" s="8" t="inlineStr">
        <is>
          <t>1923</t>
        </is>
      </c>
      <c r="L133" s="9">
        <f>HYPERLINK("https://map.naver.com/v5/search/34.725472,128.068108","📍 네이버")</f>
        <v/>
      </c>
      <c r="M133" s="9">
        <f>HYPERLINK("https://map.kakao.com/link/map/P77-1,34.725472,128.068108","📍 카카오")</f>
        <v/>
      </c>
    </row>
    <row r="134">
      <c r="A134" s="10" t="inlineStr">
        <is>
          <t>#77</t>
        </is>
      </c>
      <c r="B134" s="11" t="n">
        <v>2</v>
      </c>
      <c r="C134" s="11" t="n">
        <v>34.707437</v>
      </c>
      <c r="D134" s="11" t="n">
        <v>128.067985</v>
      </c>
      <c r="E134" s="10" t="n">
        <v>94.09999999999999</v>
      </c>
      <c r="F134" s="11" t="inlineStr">
        <is>
          <t>15.0</t>
        </is>
      </c>
      <c r="G134" s="11" t="inlineStr">
        <is>
          <t>15.0</t>
        </is>
      </c>
      <c r="H134" s="11" t="inlineStr">
        <is>
          <t>13.9</t>
        </is>
      </c>
      <c r="I134" s="11" t="inlineStr">
        <is>
          <t>10.0</t>
        </is>
      </c>
      <c r="J134" s="11" t="inlineStr">
        <is>
          <t>2.5</t>
        </is>
      </c>
      <c r="K134" s="11" t="inlineStr">
        <is>
          <t>1351</t>
        </is>
      </c>
      <c r="L134" s="12">
        <f>HYPERLINK("https://map.naver.com/v5/search/34.707437,128.067985","📍 네이버")</f>
        <v/>
      </c>
      <c r="M134" s="12">
        <f>HYPERLINK("https://map.kakao.com/link/map/P77-2,34.707437,128.067985","📍 카카오")</f>
        <v/>
      </c>
    </row>
    <row r="135">
      <c r="A135" s="10" t="inlineStr">
        <is>
          <t>#77</t>
        </is>
      </c>
      <c r="B135" s="11" t="n">
        <v>3</v>
      </c>
      <c r="C135" s="11" t="n">
        <v>34.716454</v>
      </c>
      <c r="D135" s="11" t="n">
        <v>128.068046</v>
      </c>
      <c r="E135" s="10" t="n">
        <v>94</v>
      </c>
      <c r="F135" s="11" t="inlineStr">
        <is>
          <t>15.0</t>
        </is>
      </c>
      <c r="G135" s="11" t="inlineStr">
        <is>
          <t>15.0</t>
        </is>
      </c>
      <c r="H135" s="11" t="inlineStr">
        <is>
          <t>13.9</t>
        </is>
      </c>
      <c r="I135" s="11" t="inlineStr">
        <is>
          <t>10.0</t>
        </is>
      </c>
      <c r="J135" s="11" t="inlineStr">
        <is>
          <t>2.5</t>
        </is>
      </c>
      <c r="K135" s="11" t="inlineStr">
        <is>
          <t>1421</t>
        </is>
      </c>
      <c r="L135" s="12">
        <f>HYPERLINK("https://map.naver.com/v5/search/34.716454,128.068046","📍 네이버")</f>
        <v/>
      </c>
      <c r="M135" s="12">
        <f>HYPERLINK("https://map.kakao.com/link/map/P77-3,34.716454,128.068046","📍 카카오")</f>
        <v/>
      </c>
    </row>
    <row r="136">
      <c r="A136" s="10" t="inlineStr">
        <is>
          <t>#77</t>
        </is>
      </c>
      <c r="B136" s="11" t="n">
        <v>4</v>
      </c>
      <c r="C136" s="11" t="n">
        <v>34.698751</v>
      </c>
      <c r="D136" s="11" t="n">
        <v>127.991494</v>
      </c>
      <c r="E136" s="10" t="n">
        <v>93.59999999999999</v>
      </c>
      <c r="F136" s="11" t="inlineStr">
        <is>
          <t>15.0</t>
        </is>
      </c>
      <c r="G136" s="11" t="inlineStr">
        <is>
          <t>15.0</t>
        </is>
      </c>
      <c r="H136" s="11" t="inlineStr">
        <is>
          <t>13.6</t>
        </is>
      </c>
      <c r="I136" s="11" t="inlineStr">
        <is>
          <t>10.0</t>
        </is>
      </c>
      <c r="J136" s="11" t="inlineStr">
        <is>
          <t>2.5</t>
        </is>
      </c>
      <c r="K136" s="11" t="inlineStr">
        <is>
          <t>1629</t>
        </is>
      </c>
      <c r="L136" s="12">
        <f>HYPERLINK("https://map.naver.com/v5/search/34.698751,127.991494","📍 네이버")</f>
        <v/>
      </c>
      <c r="M136" s="12">
        <f>HYPERLINK("https://map.kakao.com/link/map/P77-4,34.698751,127.991494","📍 카카오")</f>
        <v/>
      </c>
    </row>
    <row r="137">
      <c r="A137" s="10" t="inlineStr">
        <is>
          <t>#77</t>
        </is>
      </c>
      <c r="B137" s="11" t="n">
        <v>5</v>
      </c>
      <c r="C137" s="11" t="n">
        <v>34.707724</v>
      </c>
      <c r="D137" s="11" t="n">
        <v>128.002467</v>
      </c>
      <c r="E137" s="10" t="n">
        <v>93.2</v>
      </c>
      <c r="F137" s="11" t="inlineStr">
        <is>
          <t>15.0</t>
        </is>
      </c>
      <c r="G137" s="11" t="inlineStr">
        <is>
          <t>15.0</t>
        </is>
      </c>
      <c r="H137" s="11" t="inlineStr">
        <is>
          <t>13.4</t>
        </is>
      </c>
      <c r="I137" s="11" t="inlineStr">
        <is>
          <t>10.0</t>
        </is>
      </c>
      <c r="J137" s="11" t="inlineStr">
        <is>
          <t>2.5</t>
        </is>
      </c>
      <c r="K137" s="11" t="inlineStr">
        <is>
          <t>1025</t>
        </is>
      </c>
      <c r="L137" s="12">
        <f>HYPERLINK("https://map.naver.com/v5/search/34.707724,128.002467","📍 네이버")</f>
        <v/>
      </c>
      <c r="M137" s="12">
        <f>HYPERLINK("https://map.kakao.com/link/map/P77-5,34.707724,128.002467","📍 카카오")</f>
        <v/>
      </c>
    </row>
    <row r="138">
      <c r="A138" s="7" t="inlineStr">
        <is>
          <t>#78</t>
        </is>
      </c>
      <c r="B138" s="8" t="n">
        <v>1</v>
      </c>
      <c r="C138" s="8" t="n">
        <v>35.789592</v>
      </c>
      <c r="D138" s="8" t="n">
        <v>128.042382</v>
      </c>
      <c r="E138" s="7" t="n">
        <v>92</v>
      </c>
      <c r="F138" s="8" t="inlineStr">
        <is>
          <t>13.5</t>
        </is>
      </c>
      <c r="G138" s="8" t="inlineStr">
        <is>
          <t>14.4</t>
        </is>
      </c>
      <c r="H138" s="8" t="inlineStr">
        <is>
          <t>14.8</t>
        </is>
      </c>
      <c r="I138" s="8" t="inlineStr">
        <is>
          <t>10.0</t>
        </is>
      </c>
      <c r="J138" s="8" t="inlineStr">
        <is>
          <t>2.5</t>
        </is>
      </c>
      <c r="K138" s="8" t="inlineStr">
        <is>
          <t>75</t>
        </is>
      </c>
      <c r="L138" s="9">
        <f>HYPERLINK("https://map.naver.com/v5/search/35.789592,128.042382","📍 네이버")</f>
        <v/>
      </c>
      <c r="M138" s="9">
        <f>HYPERLINK("https://map.kakao.com/link/map/P78-1,35.789592,128.042382","📍 카카오")</f>
        <v/>
      </c>
    </row>
    <row r="139">
      <c r="A139" s="10" t="inlineStr">
        <is>
          <t>#78</t>
        </is>
      </c>
      <c r="B139" s="11" t="n">
        <v>2</v>
      </c>
      <c r="C139" s="11" t="n">
        <v>35.780525</v>
      </c>
      <c r="D139" s="11" t="n">
        <v>128.053386</v>
      </c>
      <c r="E139" s="10" t="n">
        <v>91</v>
      </c>
      <c r="F139" s="11" t="inlineStr">
        <is>
          <t>12.7</t>
        </is>
      </c>
      <c r="G139" s="11" t="inlineStr">
        <is>
          <t>14.6</t>
        </is>
      </c>
      <c r="H139" s="11" t="inlineStr">
        <is>
          <t>14.7</t>
        </is>
      </c>
      <c r="I139" s="11" t="inlineStr">
        <is>
          <t>10.0</t>
        </is>
      </c>
      <c r="J139" s="11" t="inlineStr">
        <is>
          <t>2.5</t>
        </is>
      </c>
      <c r="K139" s="11" t="inlineStr">
        <is>
          <t>529</t>
        </is>
      </c>
      <c r="L139" s="12">
        <f>HYPERLINK("https://map.naver.com/v5/search/35.780525,128.053386","📍 네이버")</f>
        <v/>
      </c>
      <c r="M139" s="12">
        <f>HYPERLINK("https://map.kakao.com/link/map/P78-2,35.780525,128.053386","📍 카카오")</f>
        <v/>
      </c>
    </row>
    <row r="140">
      <c r="A140" s="10" t="inlineStr">
        <is>
          <t>#78</t>
        </is>
      </c>
      <c r="B140" s="11" t="n">
        <v>3</v>
      </c>
      <c r="C140" s="11" t="n">
        <v>35.77151</v>
      </c>
      <c r="D140" s="11" t="n">
        <v>128.053323</v>
      </c>
      <c r="E140" s="10" t="n">
        <v>89.7</v>
      </c>
      <c r="F140" s="11" t="inlineStr">
        <is>
          <t>12.6</t>
        </is>
      </c>
      <c r="G140" s="11" t="inlineStr">
        <is>
          <t>14.5</t>
        </is>
      </c>
      <c r="H140" s="11" t="inlineStr">
        <is>
          <t>14.2</t>
        </is>
      </c>
      <c r="I140" s="11" t="inlineStr">
        <is>
          <t>10.0</t>
        </is>
      </c>
      <c r="J140" s="11" t="inlineStr">
        <is>
          <t>2.5</t>
        </is>
      </c>
      <c r="K140" s="11" t="inlineStr">
        <is>
          <t>1476</t>
        </is>
      </c>
      <c r="L140" s="12">
        <f>HYPERLINK("https://map.naver.com/v5/search/35.77151,128.053323","📍 네이버")</f>
        <v/>
      </c>
      <c r="M140" s="12">
        <f>HYPERLINK("https://map.kakao.com/link/map/P78-3,35.77151,128.053323","📍 카카오")</f>
        <v/>
      </c>
    </row>
    <row r="141">
      <c r="A141" s="10" t="inlineStr">
        <is>
          <t>#78</t>
        </is>
      </c>
      <c r="B141" s="11" t="n">
        <v>4</v>
      </c>
      <c r="C141" s="11" t="n">
        <v>35.780576</v>
      </c>
      <c r="D141" s="11" t="n">
        <v>128.042321</v>
      </c>
      <c r="E141" s="10" t="n">
        <v>89.7</v>
      </c>
      <c r="F141" s="11" t="inlineStr">
        <is>
          <t>12.0</t>
        </is>
      </c>
      <c r="G141" s="11" t="inlineStr">
        <is>
          <t>14.4</t>
        </is>
      </c>
      <c r="H141" s="11" t="inlineStr">
        <is>
          <t>15.0</t>
        </is>
      </c>
      <c r="I141" s="11" t="inlineStr">
        <is>
          <t>10.0</t>
        </is>
      </c>
      <c r="J141" s="11" t="inlineStr">
        <is>
          <t>2.5</t>
        </is>
      </c>
      <c r="K141" s="11" t="inlineStr">
        <is>
          <t>709</t>
        </is>
      </c>
      <c r="L141" s="12">
        <f>HYPERLINK("https://map.naver.com/v5/search/35.780576,128.042321","📍 네이버")</f>
        <v/>
      </c>
      <c r="M141" s="12">
        <f>HYPERLINK("https://map.kakao.com/link/map/P78-4,35.780576,128.042321","📍 카카오")</f>
        <v/>
      </c>
    </row>
    <row r="142">
      <c r="A142" s="10" t="inlineStr">
        <is>
          <t>#78</t>
        </is>
      </c>
      <c r="B142" s="11" t="n">
        <v>5</v>
      </c>
      <c r="C142" s="11" t="n">
        <v>35.780625</v>
      </c>
      <c r="D142" s="11" t="n">
        <v>128.031257</v>
      </c>
      <c r="E142" s="10" t="n">
        <v>89.59999999999999</v>
      </c>
      <c r="F142" s="11" t="inlineStr">
        <is>
          <t>12.7</t>
        </is>
      </c>
      <c r="G142" s="11" t="inlineStr">
        <is>
          <t>14.1</t>
        </is>
      </c>
      <c r="H142" s="11" t="inlineStr">
        <is>
          <t>14.5</t>
        </is>
      </c>
      <c r="I142" s="11" t="inlineStr">
        <is>
          <t>10.0</t>
        </is>
      </c>
      <c r="J142" s="11" t="inlineStr">
        <is>
          <t>2.5</t>
        </is>
      </c>
      <c r="K142" s="11" t="inlineStr">
        <is>
          <t>617</t>
        </is>
      </c>
      <c r="L142" s="12">
        <f>HYPERLINK("https://map.naver.com/v5/search/35.780625,128.031257","📍 네이버")</f>
        <v/>
      </c>
      <c r="M142" s="12">
        <f>HYPERLINK("https://map.kakao.com/link/map/P78-5,35.780625,128.031257","📍 카카오")</f>
        <v/>
      </c>
    </row>
    <row r="143">
      <c r="A143" s="7" t="inlineStr">
        <is>
          <t>#84</t>
        </is>
      </c>
      <c r="B143" s="8" t="n">
        <v>1</v>
      </c>
      <c r="C143" s="8" t="n">
        <v>37.76351</v>
      </c>
      <c r="D143" s="8" t="n">
        <v>128.101889</v>
      </c>
      <c r="E143" s="7" t="n">
        <v>92.59999999999999</v>
      </c>
      <c r="F143" s="8" t="inlineStr">
        <is>
          <t>13.6</t>
        </is>
      </c>
      <c r="G143" s="8" t="inlineStr">
        <is>
          <t>14.7</t>
        </is>
      </c>
      <c r="H143" s="8" t="inlineStr">
        <is>
          <t>14.6</t>
        </is>
      </c>
      <c r="I143" s="8" t="inlineStr">
        <is>
          <t>8.0</t>
        </is>
      </c>
      <c r="J143" s="8" t="inlineStr">
        <is>
          <t>4.7</t>
        </is>
      </c>
      <c r="K143" s="8" t="inlineStr">
        <is>
          <t>372</t>
        </is>
      </c>
      <c r="L143" s="9">
        <f>HYPERLINK("https://map.naver.com/v5/search/37.76351,128.101889","📍 네이버")</f>
        <v/>
      </c>
      <c r="M143" s="9">
        <f>HYPERLINK("https://map.kakao.com/link/map/P84-1,37.76351,128.101889","📍 카카오")</f>
        <v/>
      </c>
    </row>
    <row r="144">
      <c r="A144" s="10" t="inlineStr">
        <is>
          <t>#84</t>
        </is>
      </c>
      <c r="B144" s="11" t="n">
        <v>2</v>
      </c>
      <c r="C144" s="11" t="n">
        <v>37.754554</v>
      </c>
      <c r="D144" s="11" t="n">
        <v>128.090465</v>
      </c>
      <c r="E144" s="10" t="n">
        <v>91.7</v>
      </c>
      <c r="F144" s="11" t="inlineStr">
        <is>
          <t>14.2</t>
        </is>
      </c>
      <c r="G144" s="11" t="inlineStr">
        <is>
          <t>14.7</t>
        </is>
      </c>
      <c r="H144" s="11" t="inlineStr">
        <is>
          <t>13.4</t>
        </is>
      </c>
      <c r="I144" s="11" t="inlineStr">
        <is>
          <t>8.0</t>
        </is>
      </c>
      <c r="J144" s="11" t="inlineStr">
        <is>
          <t>4.7</t>
        </is>
      </c>
      <c r="K144" s="11" t="inlineStr">
        <is>
          <t>951</t>
        </is>
      </c>
      <c r="L144" s="12">
        <f>HYPERLINK("https://map.naver.com/v5/search/37.754554,128.090465","📍 네이버")</f>
        <v/>
      </c>
      <c r="M144" s="12">
        <f>HYPERLINK("https://map.kakao.com/link/map/P84-2,37.754554,128.090465","📍 카카오")</f>
        <v/>
      </c>
    </row>
    <row r="145">
      <c r="A145" s="10" t="inlineStr">
        <is>
          <t>#84</t>
        </is>
      </c>
      <c r="B145" s="11" t="n">
        <v>3</v>
      </c>
      <c r="C145" s="11" t="n">
        <v>37.772746</v>
      </c>
      <c r="D145" s="11" t="n">
        <v>128.056545</v>
      </c>
      <c r="E145" s="10" t="n">
        <v>91.2</v>
      </c>
      <c r="F145" s="11" t="inlineStr">
        <is>
          <t>13.5</t>
        </is>
      </c>
      <c r="G145" s="11" t="inlineStr">
        <is>
          <t>14.1</t>
        </is>
      </c>
      <c r="H145" s="11" t="inlineStr">
        <is>
          <t>14.5</t>
        </is>
      </c>
      <c r="I145" s="11" t="inlineStr">
        <is>
          <t>8.0</t>
        </is>
      </c>
      <c r="J145" s="11" t="inlineStr">
        <is>
          <t>4.7</t>
        </is>
      </c>
      <c r="K145" s="11" t="inlineStr">
        <is>
          <t>312</t>
        </is>
      </c>
      <c r="L145" s="12">
        <f>HYPERLINK("https://map.naver.com/v5/search/37.772746,128.056545","📍 네이버")</f>
        <v/>
      </c>
      <c r="M145" s="12">
        <f>HYPERLINK("https://map.kakao.com/link/map/P84-3,37.772746,128.056545","📍 카카오")</f>
        <v/>
      </c>
    </row>
    <row r="146">
      <c r="A146" s="10" t="inlineStr">
        <is>
          <t>#84</t>
        </is>
      </c>
      <c r="B146" s="11" t="n">
        <v>4</v>
      </c>
      <c r="C146" s="11" t="n">
        <v>37.754611</v>
      </c>
      <c r="D146" s="11" t="n">
        <v>128.079113</v>
      </c>
      <c r="E146" s="10" t="n">
        <v>90.40000000000001</v>
      </c>
      <c r="F146" s="11" t="inlineStr">
        <is>
          <t>13.6</t>
        </is>
      </c>
      <c r="G146" s="11" t="inlineStr">
        <is>
          <t>14.6</t>
        </is>
      </c>
      <c r="H146" s="11" t="inlineStr">
        <is>
          <t>13.4</t>
        </is>
      </c>
      <c r="I146" s="11" t="inlineStr">
        <is>
          <t>8.0</t>
        </is>
      </c>
      <c r="J146" s="11" t="inlineStr">
        <is>
          <t>4.6</t>
        </is>
      </c>
      <c r="K146" s="11" t="inlineStr">
        <is>
          <t>899</t>
        </is>
      </c>
      <c r="L146" s="12">
        <f>HYPERLINK("https://map.naver.com/v5/search/37.754611,128.079113","📍 네이버")</f>
        <v/>
      </c>
      <c r="M146" s="12">
        <f>HYPERLINK("https://map.kakao.com/link/map/P84-4,37.754611,128.079113","📍 카카오")</f>
        <v/>
      </c>
    </row>
    <row r="147">
      <c r="A147" s="10" t="inlineStr">
        <is>
          <t>#84</t>
        </is>
      </c>
      <c r="B147" s="11" t="n">
        <v>5</v>
      </c>
      <c r="C147" s="11" t="n">
        <v>37.7369</v>
      </c>
      <c r="D147" s="11" t="n">
        <v>128.010879</v>
      </c>
      <c r="E147" s="10" t="n">
        <v>90.3</v>
      </c>
      <c r="F147" s="11" t="inlineStr">
        <is>
          <t>13.3</t>
        </is>
      </c>
      <c r="G147" s="11" t="inlineStr">
        <is>
          <t>13.9</t>
        </is>
      </c>
      <c r="H147" s="11" t="inlineStr">
        <is>
          <t>14.6</t>
        </is>
      </c>
      <c r="I147" s="11" t="inlineStr">
        <is>
          <t>8.0</t>
        </is>
      </c>
      <c r="J147" s="11" t="inlineStr">
        <is>
          <t>4.5</t>
        </is>
      </c>
      <c r="K147" s="11" t="inlineStr">
        <is>
          <t>153</t>
        </is>
      </c>
      <c r="L147" s="12">
        <f>HYPERLINK("https://map.naver.com/v5/search/37.7369,128.010879","📍 네이버")</f>
        <v/>
      </c>
      <c r="M147" s="12">
        <f>HYPERLINK("https://map.kakao.com/link/map/P84-5,37.7369,128.010879","📍 카카오")</f>
        <v/>
      </c>
    </row>
    <row r="148">
      <c r="A148" s="7" t="inlineStr">
        <is>
          <t>#87</t>
        </is>
      </c>
      <c r="B148" s="8" t="n">
        <v>1</v>
      </c>
      <c r="C148" s="8" t="n">
        <v>35.807249</v>
      </c>
      <c r="D148" s="8" t="n">
        <v>128.119982</v>
      </c>
      <c r="E148" s="7" t="n">
        <v>90.09999999999999</v>
      </c>
      <c r="F148" s="8" t="inlineStr">
        <is>
          <t>11.8</t>
        </is>
      </c>
      <c r="G148" s="8" t="inlineStr">
        <is>
          <t>14.8</t>
        </is>
      </c>
      <c r="H148" s="8" t="inlineStr">
        <is>
          <t>15.0</t>
        </is>
      </c>
      <c r="I148" s="8" t="inlineStr">
        <is>
          <t>10.0</t>
        </is>
      </c>
      <c r="J148" s="8" t="inlineStr">
        <is>
          <t>2.5</t>
        </is>
      </c>
      <c r="K148" s="8" t="inlineStr">
        <is>
          <t>1588</t>
        </is>
      </c>
      <c r="L148" s="9">
        <f>HYPERLINK("https://map.naver.com/v5/search/35.807249,128.119982","📍 네이버")</f>
        <v/>
      </c>
      <c r="M148" s="9">
        <f>HYPERLINK("https://map.kakao.com/link/map/P87-1,35.807249,128.119982","📍 카카오")</f>
        <v/>
      </c>
    </row>
    <row r="149">
      <c r="A149" s="10" t="inlineStr">
        <is>
          <t>#87</t>
        </is>
      </c>
      <c r="B149" s="11" t="n">
        <v>2</v>
      </c>
      <c r="C149" s="11" t="n">
        <v>35.789101</v>
      </c>
      <c r="D149" s="11" t="n">
        <v>128.141972</v>
      </c>
      <c r="E149" s="10" t="n">
        <v>88.90000000000001</v>
      </c>
      <c r="F149" s="11" t="inlineStr">
        <is>
          <t>12.0</t>
        </is>
      </c>
      <c r="G149" s="11" t="inlineStr">
        <is>
          <t>14.7</t>
        </is>
      </c>
      <c r="H149" s="11" t="inlineStr">
        <is>
          <t>14.2</t>
        </is>
      </c>
      <c r="I149" s="11" t="inlineStr">
        <is>
          <t>10.0</t>
        </is>
      </c>
      <c r="J149" s="11" t="inlineStr">
        <is>
          <t>2.5</t>
        </is>
      </c>
      <c r="K149" s="11" t="inlineStr">
        <is>
          <t>30</t>
        </is>
      </c>
      <c r="L149" s="12">
        <f>HYPERLINK("https://map.naver.com/v5/search/35.789101,128.141972","📍 네이버")</f>
        <v/>
      </c>
      <c r="M149" s="12">
        <f>HYPERLINK("https://map.kakao.com/link/map/P87-2,35.789101,128.141972","📍 카카오")</f>
        <v/>
      </c>
    </row>
    <row r="150">
      <c r="A150" s="10" t="inlineStr">
        <is>
          <t>#87</t>
        </is>
      </c>
      <c r="B150" s="11" t="n">
        <v>3</v>
      </c>
      <c r="C150" s="11" t="n">
        <v>35.788981</v>
      </c>
      <c r="D150" s="11" t="n">
        <v>128.164103</v>
      </c>
      <c r="E150" s="10" t="n">
        <v>88.40000000000001</v>
      </c>
      <c r="F150" s="11" t="inlineStr">
        <is>
          <t>11.1</t>
        </is>
      </c>
      <c r="G150" s="11" t="inlineStr">
        <is>
          <t>14.9</t>
        </is>
      </c>
      <c r="H150" s="11" t="inlineStr">
        <is>
          <t>14.6</t>
        </is>
      </c>
      <c r="I150" s="11" t="inlineStr">
        <is>
          <t>10.0</t>
        </is>
      </c>
      <c r="J150" s="11" t="inlineStr">
        <is>
          <t>2.5</t>
        </is>
      </c>
      <c r="K150" s="11" t="inlineStr">
        <is>
          <t>480</t>
        </is>
      </c>
      <c r="L150" s="12">
        <f>HYPERLINK("https://map.naver.com/v5/search/35.788981,128.164103","📍 네이버")</f>
        <v/>
      </c>
      <c r="M150" s="12">
        <f>HYPERLINK("https://map.kakao.com/link/map/P87-3,35.788981,128.164103","📍 카카오")</f>
        <v/>
      </c>
    </row>
    <row r="151">
      <c r="A151" s="10" t="inlineStr">
        <is>
          <t>#87</t>
        </is>
      </c>
      <c r="B151" s="11" t="n">
        <v>4</v>
      </c>
      <c r="C151" s="11" t="n">
        <v>35.771298</v>
      </c>
      <c r="D151" s="11" t="n">
        <v>128.097576</v>
      </c>
      <c r="E151" s="10" t="n">
        <v>88.3</v>
      </c>
      <c r="F151" s="11" t="inlineStr">
        <is>
          <t>11.6</t>
        </is>
      </c>
      <c r="G151" s="11" t="inlineStr">
        <is>
          <t>14.0</t>
        </is>
      </c>
      <c r="H151" s="11" t="inlineStr">
        <is>
          <t>14.8</t>
        </is>
      </c>
      <c r="I151" s="11" t="inlineStr">
        <is>
          <t>10.0</t>
        </is>
      </c>
      <c r="J151" s="11" t="inlineStr">
        <is>
          <t>2.5</t>
        </is>
      </c>
      <c r="K151" s="11" t="inlineStr">
        <is>
          <t>1068</t>
        </is>
      </c>
      <c r="L151" s="12">
        <f>HYPERLINK("https://map.naver.com/v5/search/35.771298,128.097576","📍 네이버")</f>
        <v/>
      </c>
      <c r="M151" s="12">
        <f>HYPERLINK("https://map.kakao.com/link/map/P87-4,35.771298,128.097576","📍 카카오")</f>
        <v/>
      </c>
    </row>
    <row r="152">
      <c r="A152" s="10" t="inlineStr">
        <is>
          <t>#87</t>
        </is>
      </c>
      <c r="B152" s="11" t="n">
        <v>5</v>
      </c>
      <c r="C152" s="11" t="n">
        <v>35.743963</v>
      </c>
      <c r="D152" s="11" t="n">
        <v>128.152669</v>
      </c>
      <c r="E152" s="10" t="n">
        <v>88</v>
      </c>
      <c r="F152" s="11" t="inlineStr">
        <is>
          <t>12.5</t>
        </is>
      </c>
      <c r="G152" s="11" t="inlineStr">
        <is>
          <t>14.6</t>
        </is>
      </c>
      <c r="H152" s="11" t="inlineStr">
        <is>
          <t>13.2</t>
        </is>
      </c>
      <c r="I152" s="11" t="inlineStr">
        <is>
          <t>10.0</t>
        </is>
      </c>
      <c r="J152" s="11" t="inlineStr">
        <is>
          <t>2.5</t>
        </is>
      </c>
      <c r="K152" s="11" t="inlineStr">
        <is>
          <t>243</t>
        </is>
      </c>
      <c r="L152" s="12">
        <f>HYPERLINK("https://map.naver.com/v5/search/35.743963,128.152669","📍 네이버")</f>
        <v/>
      </c>
      <c r="M152" s="12">
        <f>HYPERLINK("https://map.kakao.com/link/map/P87-5,35.743963,128.152669","📍 카카오")</f>
        <v/>
      </c>
    </row>
    <row r="153">
      <c r="A153" s="7" t="inlineStr">
        <is>
          <t>#88</t>
        </is>
      </c>
      <c r="B153" s="8" t="n">
        <v>1</v>
      </c>
      <c r="C153" s="8" t="n">
        <v>35.843305</v>
      </c>
      <c r="D153" s="8" t="n">
        <v>128.120264</v>
      </c>
      <c r="E153" s="7" t="n">
        <v>92.7</v>
      </c>
      <c r="F153" s="8" t="inlineStr">
        <is>
          <t>12.2</t>
        </is>
      </c>
      <c r="G153" s="8" t="inlineStr">
        <is>
          <t>14.8</t>
        </is>
      </c>
      <c r="H153" s="8" t="inlineStr">
        <is>
          <t>13.8</t>
        </is>
      </c>
      <c r="I153" s="8" t="inlineStr">
        <is>
          <t>10.0</t>
        </is>
      </c>
      <c r="J153" s="8" t="inlineStr">
        <is>
          <t>4.9</t>
        </is>
      </c>
      <c r="K153" s="8" t="inlineStr">
        <is>
          <t>913</t>
        </is>
      </c>
      <c r="L153" s="9">
        <f>HYPERLINK("https://map.naver.com/v5/search/35.843305,128.120264","📍 네이버")</f>
        <v/>
      </c>
      <c r="M153" s="9">
        <f>HYPERLINK("https://map.kakao.com/link/map/P88-1,35.843305,128.120264","📍 카카오")</f>
        <v/>
      </c>
    </row>
    <row r="154">
      <c r="A154" s="10" t="inlineStr">
        <is>
          <t>#88</t>
        </is>
      </c>
      <c r="B154" s="11" t="n">
        <v>2</v>
      </c>
      <c r="C154" s="11" t="n">
        <v>35.834113</v>
      </c>
      <c r="D154" s="11" t="n">
        <v>128.153408</v>
      </c>
      <c r="E154" s="10" t="n">
        <v>90.90000000000001</v>
      </c>
      <c r="F154" s="11" t="inlineStr">
        <is>
          <t>11.5</t>
        </is>
      </c>
      <c r="G154" s="11" t="inlineStr">
        <is>
          <t>14.5</t>
        </is>
      </c>
      <c r="H154" s="11" t="inlineStr">
        <is>
          <t>13.9</t>
        </is>
      </c>
      <c r="I154" s="11" t="inlineStr">
        <is>
          <t>10.0</t>
        </is>
      </c>
      <c r="J154" s="11" t="inlineStr">
        <is>
          <t>4.7</t>
        </is>
      </c>
      <c r="K154" s="11" t="inlineStr">
        <is>
          <t>37</t>
        </is>
      </c>
      <c r="L154" s="12">
        <f>HYPERLINK("https://map.naver.com/v5/search/35.834113,128.153408","📍 네이버")</f>
        <v/>
      </c>
      <c r="M154" s="12">
        <f>HYPERLINK("https://map.kakao.com/link/map/P88-2,35.834113,128.153408","📍 카카오")</f>
        <v/>
      </c>
    </row>
    <row r="155">
      <c r="A155" s="10" t="inlineStr">
        <is>
          <t>#88</t>
        </is>
      </c>
      <c r="B155" s="11" t="n">
        <v>3</v>
      </c>
      <c r="C155" s="11" t="n">
        <v>35.870294</v>
      </c>
      <c r="D155" s="11" t="n">
        <v>128.131551</v>
      </c>
      <c r="E155" s="10" t="n">
        <v>90.59999999999999</v>
      </c>
      <c r="F155" s="11" t="inlineStr">
        <is>
          <t>13.1</t>
        </is>
      </c>
      <c r="G155" s="11" t="inlineStr">
        <is>
          <t>14.2</t>
        </is>
      </c>
      <c r="H155" s="11" t="inlineStr">
        <is>
          <t>12.2</t>
        </is>
      </c>
      <c r="I155" s="11" t="inlineStr">
        <is>
          <t>10.0</t>
        </is>
      </c>
      <c r="J155" s="11" t="inlineStr">
        <is>
          <t>4.8</t>
        </is>
      </c>
      <c r="K155" s="11" t="inlineStr">
        <is>
          <t>145</t>
        </is>
      </c>
      <c r="L155" s="12">
        <f>HYPERLINK("https://map.naver.com/v5/search/35.870294,128.131551","📍 네이버")</f>
        <v/>
      </c>
      <c r="M155" s="12">
        <f>HYPERLINK("https://map.kakao.com/link/map/P88-3,35.870294,128.131551","📍 카카오")</f>
        <v/>
      </c>
    </row>
    <row r="156">
      <c r="A156" s="10" t="inlineStr">
        <is>
          <t>#88</t>
        </is>
      </c>
      <c r="B156" s="11" t="n">
        <v>4</v>
      </c>
      <c r="C156" s="11" t="n">
        <v>35.852321</v>
      </c>
      <c r="D156" s="11" t="n">
        <v>128.120334</v>
      </c>
      <c r="E156" s="10" t="n">
        <v>90.40000000000001</v>
      </c>
      <c r="F156" s="11" t="inlineStr">
        <is>
          <t>11.1</t>
        </is>
      </c>
      <c r="G156" s="11" t="inlineStr">
        <is>
          <t>14.7</t>
        </is>
      </c>
      <c r="H156" s="11" t="inlineStr">
        <is>
          <t>13.6</t>
        </is>
      </c>
      <c r="I156" s="11" t="inlineStr">
        <is>
          <t>10.0</t>
        </is>
      </c>
      <c r="J156" s="11" t="inlineStr">
        <is>
          <t>4.9</t>
        </is>
      </c>
      <c r="K156" s="11" t="inlineStr">
        <is>
          <t>61</t>
        </is>
      </c>
      <c r="L156" s="12">
        <f>HYPERLINK("https://map.naver.com/v5/search/35.852321,128.120334","📍 네이버")</f>
        <v/>
      </c>
      <c r="M156" s="12">
        <f>HYPERLINK("https://map.kakao.com/link/map/P88-4,35.852321,128.120334","📍 카카오")</f>
        <v/>
      </c>
    </row>
    <row r="157">
      <c r="A157" s="10" t="inlineStr">
        <is>
          <t>#88</t>
        </is>
      </c>
      <c r="B157" s="11" t="n">
        <v>5</v>
      </c>
      <c r="C157" s="11" t="n">
        <v>35.834173</v>
      </c>
      <c r="D157" s="11" t="n">
        <v>128.142337</v>
      </c>
      <c r="E157" s="10" t="n">
        <v>90.40000000000001</v>
      </c>
      <c r="F157" s="11" t="inlineStr">
        <is>
          <t>10.7</t>
        </is>
      </c>
      <c r="G157" s="11" t="inlineStr">
        <is>
          <t>14.7</t>
        </is>
      </c>
      <c r="H157" s="11" t="inlineStr">
        <is>
          <t>14.1</t>
        </is>
      </c>
      <c r="I157" s="11" t="inlineStr">
        <is>
          <t>10.0</t>
        </is>
      </c>
      <c r="J157" s="11" t="inlineStr">
        <is>
          <t>4.8</t>
        </is>
      </c>
      <c r="K157" s="11" t="inlineStr">
        <is>
          <t>974</t>
        </is>
      </c>
      <c r="L157" s="12">
        <f>HYPERLINK("https://map.naver.com/v5/search/35.834173,128.142337","📍 네이버")</f>
        <v/>
      </c>
      <c r="M157" s="12">
        <f>HYPERLINK("https://map.kakao.com/link/map/P88-5,35.834173,128.142337","📍 카카오")</f>
        <v/>
      </c>
    </row>
    <row r="158">
      <c r="A158" s="7" t="inlineStr">
        <is>
          <t>#89</t>
        </is>
      </c>
      <c r="B158" s="8" t="n">
        <v>1</v>
      </c>
      <c r="C158" s="8" t="n">
        <v>36.843776</v>
      </c>
      <c r="D158" s="8" t="n">
        <v>128.161902</v>
      </c>
      <c r="E158" s="7" t="n">
        <v>90.2</v>
      </c>
      <c r="F158" s="8" t="inlineStr">
        <is>
          <t>11.9</t>
        </is>
      </c>
      <c r="G158" s="8" t="inlineStr">
        <is>
          <t>15.0</t>
        </is>
      </c>
      <c r="H158" s="8" t="inlineStr">
        <is>
          <t>14.6</t>
        </is>
      </c>
      <c r="I158" s="8" t="inlineStr">
        <is>
          <t>8.0</t>
        </is>
      </c>
      <c r="J158" s="8" t="inlineStr">
        <is>
          <t>4.6</t>
        </is>
      </c>
      <c r="K158" s="8" t="inlineStr">
        <is>
          <t>1404</t>
        </is>
      </c>
      <c r="L158" s="9">
        <f>HYPERLINK("https://map.naver.com/v5/search/36.843776,128.161902","📍 네이버")</f>
        <v/>
      </c>
      <c r="M158" s="9">
        <f>HYPERLINK("https://map.kakao.com/link/map/P89-1,36.843776,128.161902","📍 카카오")</f>
        <v/>
      </c>
    </row>
    <row r="159">
      <c r="A159" s="10" t="inlineStr">
        <is>
          <t>#89</t>
        </is>
      </c>
      <c r="B159" s="11" t="n">
        <v>2</v>
      </c>
      <c r="C159" s="11" t="n">
        <v>36.852598</v>
      </c>
      <c r="D159" s="11" t="n">
        <v>128.19563</v>
      </c>
      <c r="E159" s="10" t="n">
        <v>89.3</v>
      </c>
      <c r="F159" s="11" t="inlineStr">
        <is>
          <t>11.8</t>
        </is>
      </c>
      <c r="G159" s="11" t="inlineStr">
        <is>
          <t>15.0</t>
        </is>
      </c>
      <c r="H159" s="11" t="inlineStr">
        <is>
          <t>14.2</t>
        </is>
      </c>
      <c r="I159" s="11" t="inlineStr">
        <is>
          <t>8.0</t>
        </is>
      </c>
      <c r="J159" s="11" t="inlineStr">
        <is>
          <t>4.6</t>
        </is>
      </c>
      <c r="K159" s="11" t="inlineStr">
        <is>
          <t>1527</t>
        </is>
      </c>
      <c r="L159" s="12">
        <f>HYPERLINK("https://map.naver.com/v5/search/36.852598,128.19563","📍 네이버")</f>
        <v/>
      </c>
      <c r="M159" s="12">
        <f>HYPERLINK("https://map.kakao.com/link/map/P89-2,36.852598,128.19563","📍 카카오")</f>
        <v/>
      </c>
    </row>
    <row r="160">
      <c r="A160" s="10" t="inlineStr">
        <is>
          <t>#89</t>
        </is>
      </c>
      <c r="B160" s="11" t="n">
        <v>3</v>
      </c>
      <c r="C160" s="11" t="n">
        <v>36.85279</v>
      </c>
      <c r="D160" s="11" t="n">
        <v>128.16198</v>
      </c>
      <c r="E160" s="10" t="n">
        <v>88.7</v>
      </c>
      <c r="F160" s="11" t="inlineStr">
        <is>
          <t>11.3</t>
        </is>
      </c>
      <c r="G160" s="11" t="inlineStr">
        <is>
          <t>15.0</t>
        </is>
      </c>
      <c r="H160" s="11" t="inlineStr">
        <is>
          <t>14.2</t>
        </is>
      </c>
      <c r="I160" s="11" t="inlineStr">
        <is>
          <t>8.0</t>
        </is>
      </c>
      <c r="J160" s="11" t="inlineStr">
        <is>
          <t>4.7</t>
        </is>
      </c>
      <c r="K160" s="11" t="inlineStr">
        <is>
          <t>464</t>
        </is>
      </c>
      <c r="L160" s="12">
        <f>HYPERLINK("https://map.naver.com/v5/search/36.85279,128.16198","📍 네이버")</f>
        <v/>
      </c>
      <c r="M160" s="12">
        <f>HYPERLINK("https://map.kakao.com/link/map/P89-3,36.85279,128.16198","📍 카카오")</f>
        <v/>
      </c>
    </row>
    <row r="161">
      <c r="A161" s="10" t="inlineStr">
        <is>
          <t>#89</t>
        </is>
      </c>
      <c r="B161" s="11" t="n">
        <v>4</v>
      </c>
      <c r="C161" s="11" t="n">
        <v>36.853089</v>
      </c>
      <c r="D161" s="11" t="n">
        <v>128.105896</v>
      </c>
      <c r="E161" s="10" t="n">
        <v>88.3</v>
      </c>
      <c r="F161" s="11" t="inlineStr">
        <is>
          <t>10.6</t>
        </is>
      </c>
      <c r="G161" s="11" t="inlineStr">
        <is>
          <t>15.0</t>
        </is>
      </c>
      <c r="H161" s="11" t="inlineStr">
        <is>
          <t>14.5</t>
        </is>
      </c>
      <c r="I161" s="11" t="inlineStr">
        <is>
          <t>8.0</t>
        </is>
      </c>
      <c r="J161" s="11" t="inlineStr">
        <is>
          <t>4.9</t>
        </is>
      </c>
      <c r="K161" s="11" t="inlineStr">
        <is>
          <t>1166</t>
        </is>
      </c>
      <c r="L161" s="12">
        <f>HYPERLINK("https://map.naver.com/v5/search/36.853089,128.105896","📍 네이버")</f>
        <v/>
      </c>
      <c r="M161" s="12">
        <f>HYPERLINK("https://map.kakao.com/link/map/P89-4,36.853089,128.105896","📍 카카오")</f>
        <v/>
      </c>
    </row>
    <row r="162">
      <c r="A162" s="10" t="inlineStr">
        <is>
          <t>#89</t>
        </is>
      </c>
      <c r="B162" s="11" t="n">
        <v>5</v>
      </c>
      <c r="C162" s="11" t="n">
        <v>36.852913</v>
      </c>
      <c r="D162" s="11" t="n">
        <v>128.139547</v>
      </c>
      <c r="E162" s="10" t="n">
        <v>88.2</v>
      </c>
      <c r="F162" s="11" t="inlineStr">
        <is>
          <t>11.0</t>
        </is>
      </c>
      <c r="G162" s="11" t="inlineStr">
        <is>
          <t>15.0</t>
        </is>
      </c>
      <c r="H162" s="11" t="inlineStr">
        <is>
          <t>14.1</t>
        </is>
      </c>
      <c r="I162" s="11" t="inlineStr">
        <is>
          <t>8.0</t>
        </is>
      </c>
      <c r="J162" s="11" t="inlineStr">
        <is>
          <t>4.8</t>
        </is>
      </c>
      <c r="K162" s="11" t="inlineStr">
        <is>
          <t>1976</t>
        </is>
      </c>
      <c r="L162" s="12">
        <f>HYPERLINK("https://map.naver.com/v5/search/36.852913,128.139547","📍 네이버")</f>
        <v/>
      </c>
      <c r="M162" s="12">
        <f>HYPERLINK("https://map.kakao.com/link/map/P89-5,36.852913,128.139547","📍 카카오")</f>
        <v/>
      </c>
    </row>
    <row r="163">
      <c r="A163" s="7" t="inlineStr">
        <is>
          <t>#94</t>
        </is>
      </c>
      <c r="B163" s="8" t="n">
        <v>1</v>
      </c>
      <c r="C163" s="8" t="n">
        <v>37.681895</v>
      </c>
      <c r="D163" s="8" t="n">
        <v>128.191952</v>
      </c>
      <c r="E163" s="7" t="n">
        <v>91</v>
      </c>
      <c r="F163" s="8" t="inlineStr">
        <is>
          <t>13.2</t>
        </is>
      </c>
      <c r="G163" s="8" t="inlineStr">
        <is>
          <t>14.9</t>
        </is>
      </c>
      <c r="H163" s="8" t="inlineStr">
        <is>
          <t>13.9</t>
        </is>
      </c>
      <c r="I163" s="8" t="inlineStr">
        <is>
          <t>8.0</t>
        </is>
      </c>
      <c r="J163" s="8" t="inlineStr">
        <is>
          <t>4.7</t>
        </is>
      </c>
      <c r="K163" s="8" t="inlineStr">
        <is>
          <t>507</t>
        </is>
      </c>
      <c r="L163" s="9">
        <f>HYPERLINK("https://map.naver.com/v5/search/37.681895,128.191952","📍 네이버")</f>
        <v/>
      </c>
      <c r="M163" s="9">
        <f>HYPERLINK("https://map.kakao.com/link/map/P94-1,37.681895,128.191952","📍 카카오")</f>
        <v/>
      </c>
    </row>
    <row r="164">
      <c r="A164" s="10" t="inlineStr">
        <is>
          <t>#94</t>
        </is>
      </c>
      <c r="B164" s="11" t="n">
        <v>2</v>
      </c>
      <c r="C164" s="11" t="n">
        <v>37.691038</v>
      </c>
      <c r="D164" s="11" t="n">
        <v>128.169353</v>
      </c>
      <c r="E164" s="10" t="n">
        <v>91</v>
      </c>
      <c r="F164" s="11" t="inlineStr">
        <is>
          <t>12.9</t>
        </is>
      </c>
      <c r="G164" s="11" t="inlineStr">
        <is>
          <t>14.9</t>
        </is>
      </c>
      <c r="H164" s="11" t="inlineStr">
        <is>
          <t>14.3</t>
        </is>
      </c>
      <c r="I164" s="11" t="inlineStr">
        <is>
          <t>8.0</t>
        </is>
      </c>
      <c r="J164" s="11" t="inlineStr">
        <is>
          <t>4.4</t>
        </is>
      </c>
      <c r="K164" s="11" t="inlineStr">
        <is>
          <t>640</t>
        </is>
      </c>
      <c r="L164" s="12">
        <f>HYPERLINK("https://map.naver.com/v5/search/37.691038,128.169353","📍 네이버")</f>
        <v/>
      </c>
      <c r="M164" s="12">
        <f>HYPERLINK("https://map.kakao.com/link/map/P94-2,37.691038,128.169353","📍 카카오")</f>
        <v/>
      </c>
    </row>
    <row r="165">
      <c r="A165" s="10" t="inlineStr">
        <is>
          <t>#94</t>
        </is>
      </c>
      <c r="B165" s="11" t="n">
        <v>3</v>
      </c>
      <c r="C165" s="11" t="n">
        <v>37.673013</v>
      </c>
      <c r="D165" s="11" t="n">
        <v>128.169191</v>
      </c>
      <c r="E165" s="10" t="n">
        <v>90.8</v>
      </c>
      <c r="F165" s="11" t="inlineStr">
        <is>
          <t>12.8</t>
        </is>
      </c>
      <c r="G165" s="11" t="inlineStr">
        <is>
          <t>14.7</t>
        </is>
      </c>
      <c r="H165" s="11" t="inlineStr">
        <is>
          <t>14.4</t>
        </is>
      </c>
      <c r="I165" s="11" t="inlineStr">
        <is>
          <t>8.0</t>
        </is>
      </c>
      <c r="J165" s="11" t="inlineStr">
        <is>
          <t>4.5</t>
        </is>
      </c>
      <c r="K165" s="11" t="inlineStr">
        <is>
          <t>219</t>
        </is>
      </c>
      <c r="L165" s="12">
        <f>HYPERLINK("https://map.naver.com/v5/search/37.673013,128.169191","📍 네이버")</f>
        <v/>
      </c>
      <c r="M165" s="12">
        <f>HYPERLINK("https://map.kakao.com/link/map/P94-3,37.673013,128.169191","📍 카카오")</f>
        <v/>
      </c>
    </row>
    <row r="166">
      <c r="A166" s="10" t="inlineStr">
        <is>
          <t>#94</t>
        </is>
      </c>
      <c r="B166" s="11" t="n">
        <v>4</v>
      </c>
      <c r="C166" s="11" t="n">
        <v>37.681961</v>
      </c>
      <c r="D166" s="11" t="n">
        <v>128.180612</v>
      </c>
      <c r="E166" s="10" t="n">
        <v>90.7</v>
      </c>
      <c r="F166" s="11" t="inlineStr">
        <is>
          <t>12.7</t>
        </is>
      </c>
      <c r="G166" s="11" t="inlineStr">
        <is>
          <t>14.9</t>
        </is>
      </c>
      <c r="H166" s="11" t="inlineStr">
        <is>
          <t>14.2</t>
        </is>
      </c>
      <c r="I166" s="11" t="inlineStr">
        <is>
          <t>8.0</t>
        </is>
      </c>
      <c r="J166" s="11" t="inlineStr">
        <is>
          <t>4.6</t>
        </is>
      </c>
      <c r="K166" s="11" t="inlineStr">
        <is>
          <t>33</t>
        </is>
      </c>
      <c r="L166" s="12">
        <f>HYPERLINK("https://map.naver.com/v5/search/37.681961,128.180612","📍 네이버")</f>
        <v/>
      </c>
      <c r="M166" s="12">
        <f>HYPERLINK("https://map.kakao.com/link/map/P94-4,37.681961,128.180612","📍 카카오")</f>
        <v/>
      </c>
    </row>
    <row r="167">
      <c r="A167" s="10" t="inlineStr">
        <is>
          <t>#94</t>
        </is>
      </c>
      <c r="B167" s="11" t="n">
        <v>5</v>
      </c>
      <c r="C167" s="11" t="n">
        <v>37.682026</v>
      </c>
      <c r="D167" s="11" t="n">
        <v>128.169272</v>
      </c>
      <c r="E167" s="10" t="n">
        <v>90.40000000000001</v>
      </c>
      <c r="F167" s="11" t="inlineStr">
        <is>
          <t>12.3</t>
        </is>
      </c>
      <c r="G167" s="11" t="inlineStr">
        <is>
          <t>14.8</t>
        </is>
      </c>
      <c r="H167" s="11" t="inlineStr">
        <is>
          <t>14.7</t>
        </is>
      </c>
      <c r="I167" s="11" t="inlineStr">
        <is>
          <t>8.0</t>
        </is>
      </c>
      <c r="J167" s="11" t="inlineStr">
        <is>
          <t>4.4</t>
        </is>
      </c>
      <c r="K167" s="11" t="inlineStr">
        <is>
          <t>218</t>
        </is>
      </c>
      <c r="L167" s="12">
        <f>HYPERLINK("https://map.naver.com/v5/search/37.682026,128.169272","📍 네이버")</f>
        <v/>
      </c>
      <c r="M167" s="12">
        <f>HYPERLINK("https://map.kakao.com/link/map/P94-5,37.682026,128.169272","📍 카카오")</f>
        <v/>
      </c>
    </row>
    <row r="168">
      <c r="A168" s="7" t="inlineStr">
        <is>
          <t>#98</t>
        </is>
      </c>
      <c r="B168" s="8" t="n">
        <v>1</v>
      </c>
      <c r="C168" s="8" t="n">
        <v>35.689285</v>
      </c>
      <c r="D168" s="8" t="n">
        <v>128.251695</v>
      </c>
      <c r="E168" s="7" t="n">
        <v>91.09999999999999</v>
      </c>
      <c r="F168" s="8" t="inlineStr">
        <is>
          <t>14.0</t>
        </is>
      </c>
      <c r="G168" s="8" t="inlineStr">
        <is>
          <t>15.0</t>
        </is>
      </c>
      <c r="H168" s="8" t="inlineStr">
        <is>
          <t>13.2</t>
        </is>
      </c>
      <c r="I168" s="8" t="inlineStr">
        <is>
          <t>10.0</t>
        </is>
      </c>
      <c r="J168" s="8" t="inlineStr">
        <is>
          <t>2.5</t>
        </is>
      </c>
      <c r="K168" s="8" t="inlineStr">
        <is>
          <t>269</t>
        </is>
      </c>
      <c r="L168" s="9">
        <f>HYPERLINK("https://map.naver.com/v5/search/35.689285,128.251695","📍 네이버")</f>
        <v/>
      </c>
      <c r="M168" s="9">
        <f>HYPERLINK("https://map.kakao.com/link/map/P98-1,35.689285,128.251695","📍 카카오")</f>
        <v/>
      </c>
    </row>
    <row r="169">
      <c r="A169" s="10" t="inlineStr">
        <is>
          <t>#98</t>
        </is>
      </c>
      <c r="B169" s="11" t="n">
        <v>2</v>
      </c>
      <c r="C169" s="11" t="n">
        <v>35.680269</v>
      </c>
      <c r="D169" s="11" t="n">
        <v>128.25161</v>
      </c>
      <c r="E169" s="10" t="n">
        <v>91</v>
      </c>
      <c r="F169" s="11" t="inlineStr">
        <is>
          <t>13.7</t>
        </is>
      </c>
      <c r="G169" s="11" t="inlineStr">
        <is>
          <t>14.1</t>
        </is>
      </c>
      <c r="H169" s="11" t="inlineStr">
        <is>
          <t>14.3</t>
        </is>
      </c>
      <c r="I169" s="11" t="inlineStr">
        <is>
          <t>10.0</t>
        </is>
      </c>
      <c r="J169" s="11" t="inlineStr">
        <is>
          <t>2.5</t>
        </is>
      </c>
      <c r="K169" s="11" t="inlineStr">
        <is>
          <t>68</t>
        </is>
      </c>
      <c r="L169" s="12">
        <f>HYPERLINK("https://map.naver.com/v5/search/35.680269,128.25161","📍 네이버")</f>
        <v/>
      </c>
      <c r="M169" s="12">
        <f>HYPERLINK("https://map.kakao.com/link/map/P98-2,35.680269,128.25161","📍 카카오")</f>
        <v/>
      </c>
    </row>
    <row r="170">
      <c r="A170" s="10" t="inlineStr">
        <is>
          <t>#98</t>
        </is>
      </c>
      <c r="B170" s="11" t="n">
        <v>3</v>
      </c>
      <c r="C170" s="11" t="n">
        <v>35.6802</v>
      </c>
      <c r="D170" s="11" t="n">
        <v>128.26266</v>
      </c>
      <c r="E170" s="10" t="n">
        <v>88.8</v>
      </c>
      <c r="F170" s="11" t="inlineStr">
        <is>
          <t>11.7</t>
        </is>
      </c>
      <c r="G170" s="11" t="inlineStr">
        <is>
          <t>14.1</t>
        </is>
      </c>
      <c r="H170" s="11" t="inlineStr">
        <is>
          <t>15.0</t>
        </is>
      </c>
      <c r="I170" s="11" t="inlineStr">
        <is>
          <t>10.0</t>
        </is>
      </c>
      <c r="J170" s="11" t="inlineStr">
        <is>
          <t>2.5</t>
        </is>
      </c>
      <c r="K170" s="11" t="inlineStr">
        <is>
          <t>367</t>
        </is>
      </c>
      <c r="L170" s="12">
        <f>HYPERLINK("https://map.naver.com/v5/search/35.6802,128.26266","📍 네이버")</f>
        <v/>
      </c>
      <c r="M170" s="12">
        <f>HYPERLINK("https://map.kakao.com/link/map/P98-3,35.6802,128.26266","📍 카카오")</f>
        <v/>
      </c>
    </row>
    <row r="171">
      <c r="A171" s="10" t="inlineStr">
        <is>
          <t>#98</t>
        </is>
      </c>
      <c r="B171" s="11" t="n">
        <v>4</v>
      </c>
      <c r="C171" s="11" t="n">
        <v>35.671322</v>
      </c>
      <c r="D171" s="11" t="n">
        <v>128.240477</v>
      </c>
      <c r="E171" s="10" t="n">
        <v>86.09999999999999</v>
      </c>
      <c r="F171" s="11" t="inlineStr">
        <is>
          <t>11.9</t>
        </is>
      </c>
      <c r="G171" s="11" t="inlineStr">
        <is>
          <t>12.7</t>
        </is>
      </c>
      <c r="H171" s="11" t="inlineStr">
        <is>
          <t>14.5</t>
        </is>
      </c>
      <c r="I171" s="11" t="inlineStr">
        <is>
          <t>10.0</t>
        </is>
      </c>
      <c r="J171" s="11" t="inlineStr">
        <is>
          <t>2.5</t>
        </is>
      </c>
      <c r="K171" s="11" t="inlineStr">
        <is>
          <t>85</t>
        </is>
      </c>
      <c r="L171" s="12">
        <f>HYPERLINK("https://map.naver.com/v5/search/35.671322,128.240477","📍 네이버")</f>
        <v/>
      </c>
      <c r="M171" s="12">
        <f>HYPERLINK("https://map.kakao.com/link/map/P98-4,35.671322,128.240477","📍 카카오")</f>
        <v/>
      </c>
    </row>
    <row r="172">
      <c r="A172" s="10" t="inlineStr">
        <is>
          <t>#98</t>
        </is>
      </c>
      <c r="B172" s="11" t="n">
        <v>5</v>
      </c>
      <c r="C172" s="11" t="n">
        <v>35.680129</v>
      </c>
      <c r="D172" s="11" t="n">
        <v>128.27371</v>
      </c>
      <c r="E172" s="10" t="n">
        <v>75.40000000000001</v>
      </c>
      <c r="F172" s="11" t="inlineStr">
        <is>
          <t>12.6</t>
        </is>
      </c>
      <c r="G172" s="11" t="inlineStr">
        <is>
          <t>7.5</t>
        </is>
      </c>
      <c r="H172" s="11" t="inlineStr">
        <is>
          <t>12.6</t>
        </is>
      </c>
      <c r="I172" s="11" t="inlineStr">
        <is>
          <t>10.0</t>
        </is>
      </c>
      <c r="J172" s="11" t="inlineStr">
        <is>
          <t>2.5</t>
        </is>
      </c>
      <c r="K172" s="11" t="inlineStr">
        <is>
          <t>401</t>
        </is>
      </c>
      <c r="L172" s="12">
        <f>HYPERLINK("https://map.naver.com/v5/search/35.680129,128.27371","📍 네이버")</f>
        <v/>
      </c>
      <c r="M172" s="12">
        <f>HYPERLINK("https://map.kakao.com/link/map/P98-5,35.680129,128.27371","📍 카카오")</f>
        <v/>
      </c>
    </row>
    <row r="173">
      <c r="A173" s="7" t="inlineStr">
        <is>
          <t>#102</t>
        </is>
      </c>
      <c r="B173" s="8" t="n">
        <v>1</v>
      </c>
      <c r="C173" s="8" t="n">
        <v>37.798492</v>
      </c>
      <c r="D173" s="8" t="n">
        <v>128.283916</v>
      </c>
      <c r="E173" s="7" t="n">
        <v>93.09999999999999</v>
      </c>
      <c r="F173" s="8" t="inlineStr">
        <is>
          <t>13.8</t>
        </is>
      </c>
      <c r="G173" s="8" t="inlineStr">
        <is>
          <t>15.0</t>
        </is>
      </c>
      <c r="H173" s="8" t="inlineStr">
        <is>
          <t>14.5</t>
        </is>
      </c>
      <c r="I173" s="8" t="inlineStr">
        <is>
          <t>8.0</t>
        </is>
      </c>
      <c r="J173" s="8" t="inlineStr">
        <is>
          <t>4.5</t>
        </is>
      </c>
      <c r="K173" s="8" t="inlineStr">
        <is>
          <t>1180</t>
        </is>
      </c>
      <c r="L173" s="9">
        <f>HYPERLINK("https://map.naver.com/v5/search/37.798492,128.283916","📍 네이버")</f>
        <v/>
      </c>
      <c r="M173" s="9">
        <f>HYPERLINK("https://map.kakao.com/link/map/P102-1,37.798492,128.283916","📍 카카오")</f>
        <v/>
      </c>
    </row>
    <row r="174">
      <c r="A174" s="10" t="inlineStr">
        <is>
          <t>#102</t>
        </is>
      </c>
      <c r="B174" s="11" t="n">
        <v>2</v>
      </c>
      <c r="C174" s="11" t="n">
        <v>37.753277</v>
      </c>
      <c r="D174" s="11" t="n">
        <v>128.306142</v>
      </c>
      <c r="E174" s="10" t="n">
        <v>93.09999999999999</v>
      </c>
      <c r="F174" s="11" t="inlineStr">
        <is>
          <t>14.2</t>
        </is>
      </c>
      <c r="G174" s="11" t="inlineStr">
        <is>
          <t>15.0</t>
        </is>
      </c>
      <c r="H174" s="11" t="inlineStr">
        <is>
          <t>14.6</t>
        </is>
      </c>
      <c r="I174" s="11" t="inlineStr">
        <is>
          <t>8.0</t>
        </is>
      </c>
      <c r="J174" s="11" t="inlineStr">
        <is>
          <t>4.1</t>
        </is>
      </c>
      <c r="K174" s="11" t="inlineStr">
        <is>
          <t>327</t>
        </is>
      </c>
      <c r="L174" s="12">
        <f>HYPERLINK("https://map.naver.com/v5/search/37.753277,128.306142","📍 네이버")</f>
        <v/>
      </c>
      <c r="M174" s="12">
        <f>HYPERLINK("https://map.kakao.com/link/map/P102-2,37.753277,128.306142","📍 카카오")</f>
        <v/>
      </c>
    </row>
    <row r="175">
      <c r="A175" s="10" t="inlineStr">
        <is>
          <t>#102</t>
        </is>
      </c>
      <c r="B175" s="11" t="n">
        <v>3</v>
      </c>
      <c r="C175" s="11" t="n">
        <v>37.726162</v>
      </c>
      <c r="D175" s="11" t="n">
        <v>128.317195</v>
      </c>
      <c r="E175" s="10" t="n">
        <v>91.40000000000001</v>
      </c>
      <c r="F175" s="11" t="inlineStr">
        <is>
          <t>12.5</t>
        </is>
      </c>
      <c r="G175" s="11" t="inlineStr">
        <is>
          <t>15.0</t>
        </is>
      </c>
      <c r="H175" s="11" t="inlineStr">
        <is>
          <t>14.8</t>
        </is>
      </c>
      <c r="I175" s="11" t="inlineStr">
        <is>
          <t>8.0</t>
        </is>
      </c>
      <c r="J175" s="11" t="inlineStr">
        <is>
          <t>4.5</t>
        </is>
      </c>
      <c r="K175" s="11" t="inlineStr">
        <is>
          <t>1866</t>
        </is>
      </c>
      <c r="L175" s="12">
        <f>HYPERLINK("https://map.naver.com/v5/search/37.726162,128.317195","📍 네이버")</f>
        <v/>
      </c>
      <c r="M175" s="12">
        <f>HYPERLINK("https://map.kakao.com/link/map/P102-3,37.726162,128.317195","📍 카카오")</f>
        <v/>
      </c>
    </row>
    <row r="176">
      <c r="A176" s="10" t="inlineStr">
        <is>
          <t>#102</t>
        </is>
      </c>
      <c r="B176" s="11" t="n">
        <v>4</v>
      </c>
      <c r="C176" s="11" t="n">
        <v>37.726082</v>
      </c>
      <c r="D176" s="11" t="n">
        <v>128.328542</v>
      </c>
      <c r="E176" s="10" t="n">
        <v>91.40000000000001</v>
      </c>
      <c r="F176" s="11" t="inlineStr">
        <is>
          <t>12.4</t>
        </is>
      </c>
      <c r="G176" s="11" t="inlineStr">
        <is>
          <t>15.0</t>
        </is>
      </c>
      <c r="H176" s="11" t="inlineStr">
        <is>
          <t>15.0</t>
        </is>
      </c>
      <c r="I176" s="11" t="inlineStr">
        <is>
          <t>8.0</t>
        </is>
      </c>
      <c r="J176" s="11" t="inlineStr">
        <is>
          <t>4.4</t>
        </is>
      </c>
      <c r="K176" s="11" t="inlineStr">
        <is>
          <t>1705</t>
        </is>
      </c>
      <c r="L176" s="12">
        <f>HYPERLINK("https://map.naver.com/v5/search/37.726082,128.328542","📍 네이버")</f>
        <v/>
      </c>
      <c r="M176" s="12">
        <f>HYPERLINK("https://map.kakao.com/link/map/P102-4,37.726082,128.328542","📍 카카오")</f>
        <v/>
      </c>
    </row>
    <row r="177">
      <c r="A177" s="10" t="inlineStr">
        <is>
          <t>#102</t>
        </is>
      </c>
      <c r="B177" s="11" t="n">
        <v>5</v>
      </c>
      <c r="C177" s="11" t="n">
        <v>37.735095</v>
      </c>
      <c r="D177" s="11" t="n">
        <v>128.328642</v>
      </c>
      <c r="E177" s="10" t="n">
        <v>91</v>
      </c>
      <c r="F177" s="11" t="inlineStr">
        <is>
          <t>12.3</t>
        </is>
      </c>
      <c r="G177" s="11" t="inlineStr">
        <is>
          <t>15.0</t>
        </is>
      </c>
      <c r="H177" s="11" t="inlineStr">
        <is>
          <t>14.8</t>
        </is>
      </c>
      <c r="I177" s="11" t="inlineStr">
        <is>
          <t>8.0</t>
        </is>
      </c>
      <c r="J177" s="11" t="inlineStr">
        <is>
          <t>4.5</t>
        </is>
      </c>
      <c r="K177" s="11" t="inlineStr">
        <is>
          <t>714</t>
        </is>
      </c>
      <c r="L177" s="12">
        <f>HYPERLINK("https://map.naver.com/v5/search/37.735095,128.328642","📍 네이버")</f>
        <v/>
      </c>
      <c r="M177" s="12">
        <f>HYPERLINK("https://map.kakao.com/link/map/P102-5,37.735095,128.328642","📍 카카오")</f>
        <v/>
      </c>
    </row>
    <row r="178">
      <c r="A178" s="7" t="inlineStr">
        <is>
          <t>#108</t>
        </is>
      </c>
      <c r="B178" s="8" t="n">
        <v>1</v>
      </c>
      <c r="C178" s="8" t="n">
        <v>34.841263</v>
      </c>
      <c r="D178" s="8" t="n">
        <v>128.320461</v>
      </c>
      <c r="E178" s="7" t="n">
        <v>94.3</v>
      </c>
      <c r="F178" s="8" t="inlineStr">
        <is>
          <t>15.0</t>
        </is>
      </c>
      <c r="G178" s="8" t="inlineStr">
        <is>
          <t>15.0</t>
        </is>
      </c>
      <c r="H178" s="8" t="inlineStr">
        <is>
          <t>14.9</t>
        </is>
      </c>
      <c r="I178" s="8" t="inlineStr">
        <is>
          <t>7.0</t>
        </is>
      </c>
      <c r="J178" s="8" t="inlineStr">
        <is>
          <t>4.7</t>
        </is>
      </c>
      <c r="K178" s="8" t="inlineStr">
        <is>
          <t>1930</t>
        </is>
      </c>
      <c r="L178" s="9">
        <f>HYPERLINK("https://map.naver.com/v5/search/34.841263,128.320461","📍 네이버")</f>
        <v/>
      </c>
      <c r="M178" s="9">
        <f>HYPERLINK("https://map.kakao.com/link/map/P108-1,34.841263,128.320461","📍 카카오")</f>
        <v/>
      </c>
    </row>
    <row r="179">
      <c r="A179" s="10" t="inlineStr">
        <is>
          <t>#108</t>
        </is>
      </c>
      <c r="B179" s="11" t="n">
        <v>2</v>
      </c>
      <c r="C179" s="11" t="n">
        <v>34.868387</v>
      </c>
      <c r="D179" s="11" t="n">
        <v>128.30979</v>
      </c>
      <c r="E179" s="10" t="n">
        <v>94.2</v>
      </c>
      <c r="F179" s="11" t="inlineStr">
        <is>
          <t>15.0</t>
        </is>
      </c>
      <c r="G179" s="11" t="inlineStr">
        <is>
          <t>15.0</t>
        </is>
      </c>
      <c r="H179" s="11" t="inlineStr">
        <is>
          <t>14.6</t>
        </is>
      </c>
      <c r="I179" s="11" t="inlineStr">
        <is>
          <t>7.0</t>
        </is>
      </c>
      <c r="J179" s="11" t="inlineStr">
        <is>
          <t>4.9</t>
        </is>
      </c>
      <c r="K179" s="11" t="inlineStr">
        <is>
          <t>1557</t>
        </is>
      </c>
      <c r="L179" s="12">
        <f>HYPERLINK("https://map.naver.com/v5/search/34.868387,128.30979","📍 네이버")</f>
        <v/>
      </c>
      <c r="M179" s="12">
        <f>HYPERLINK("https://map.kakao.com/link/map/P108-2,34.868387,128.30979","📍 카카오")</f>
        <v/>
      </c>
    </row>
    <row r="180">
      <c r="A180" s="10" t="inlineStr">
        <is>
          <t>#108</t>
        </is>
      </c>
      <c r="B180" s="11" t="n">
        <v>3</v>
      </c>
      <c r="C180" s="11" t="n">
        <v>34.850206</v>
      </c>
      <c r="D180" s="11" t="n">
        <v>128.331489</v>
      </c>
      <c r="E180" s="10" t="n">
        <v>94</v>
      </c>
      <c r="F180" s="11" t="inlineStr">
        <is>
          <t>15.0</t>
        </is>
      </c>
      <c r="G180" s="11" t="inlineStr">
        <is>
          <t>14.8</t>
        </is>
      </c>
      <c r="H180" s="11" t="inlineStr">
        <is>
          <t>14.8</t>
        </is>
      </c>
      <c r="I180" s="11" t="inlineStr">
        <is>
          <t>7.0</t>
        </is>
      </c>
      <c r="J180" s="11" t="inlineStr">
        <is>
          <t>4.7</t>
        </is>
      </c>
      <c r="K180" s="11" t="inlineStr">
        <is>
          <t>1402</t>
        </is>
      </c>
      <c r="L180" s="12">
        <f>HYPERLINK("https://map.naver.com/v5/search/34.850206,128.331489","📍 네이버")</f>
        <v/>
      </c>
      <c r="M180" s="12">
        <f>HYPERLINK("https://map.kakao.com/link/map/P108-3,34.850206,128.331489","📍 카카오")</f>
        <v/>
      </c>
    </row>
    <row r="181">
      <c r="A181" s="10" t="inlineStr">
        <is>
          <t>#108</t>
        </is>
      </c>
      <c r="B181" s="11" t="n">
        <v>4</v>
      </c>
      <c r="C181" s="11" t="n">
        <v>34.859071</v>
      </c>
      <c r="D181" s="11" t="n">
        <v>128.353457</v>
      </c>
      <c r="E181" s="10" t="n">
        <v>93.7</v>
      </c>
      <c r="F181" s="11" t="inlineStr">
        <is>
          <t>15.0</t>
        </is>
      </c>
      <c r="G181" s="11" t="inlineStr">
        <is>
          <t>14.5</t>
        </is>
      </c>
      <c r="H181" s="11" t="inlineStr">
        <is>
          <t>15.0</t>
        </is>
      </c>
      <c r="I181" s="11" t="inlineStr">
        <is>
          <t>7.0</t>
        </is>
      </c>
      <c r="J181" s="11" t="inlineStr">
        <is>
          <t>4.8</t>
        </is>
      </c>
      <c r="K181" s="11" t="inlineStr">
        <is>
          <t>1360</t>
        </is>
      </c>
      <c r="L181" s="12">
        <f>HYPERLINK("https://map.naver.com/v5/search/34.859071,128.353457","📍 네이버")</f>
        <v/>
      </c>
      <c r="M181" s="12">
        <f>HYPERLINK("https://map.kakao.com/link/map/P108-4,34.859071,128.353457","📍 카카오")</f>
        <v/>
      </c>
    </row>
    <row r="182">
      <c r="A182" s="10" t="inlineStr">
        <is>
          <t>#108</t>
        </is>
      </c>
      <c r="B182" s="11" t="n">
        <v>5</v>
      </c>
      <c r="C182" s="11" t="n">
        <v>34.859147</v>
      </c>
      <c r="D182" s="11" t="n">
        <v>128.342518</v>
      </c>
      <c r="E182" s="10" t="n">
        <v>93.5</v>
      </c>
      <c r="F182" s="11" t="inlineStr">
        <is>
          <t>15.0</t>
        </is>
      </c>
      <c r="G182" s="11" t="inlineStr">
        <is>
          <t>14.7</t>
        </is>
      </c>
      <c r="H182" s="11" t="inlineStr">
        <is>
          <t>14.7</t>
        </is>
      </c>
      <c r="I182" s="11" t="inlineStr">
        <is>
          <t>7.0</t>
        </is>
      </c>
      <c r="J182" s="11" t="inlineStr">
        <is>
          <t>4.7</t>
        </is>
      </c>
      <c r="K182" s="11" t="inlineStr">
        <is>
          <t>1879</t>
        </is>
      </c>
      <c r="L182" s="12">
        <f>HYPERLINK("https://map.naver.com/v5/search/34.859147,128.342518","📍 네이버")</f>
        <v/>
      </c>
      <c r="M182" s="12">
        <f>HYPERLINK("https://map.kakao.com/link/map/P108-5,34.859147,128.342518","📍 카카오")</f>
        <v/>
      </c>
    </row>
    <row r="183">
      <c r="A183" s="7" t="inlineStr">
        <is>
          <t>#119</t>
        </is>
      </c>
      <c r="B183" s="8" t="n">
        <v>1</v>
      </c>
      <c r="C183" s="8" t="n">
        <v>36.48116</v>
      </c>
      <c r="D183" s="8" t="n">
        <v>128.460209</v>
      </c>
      <c r="E183" s="7" t="n">
        <v>92.40000000000001</v>
      </c>
      <c r="F183" s="8" t="inlineStr">
        <is>
          <t>12.7</t>
        </is>
      </c>
      <c r="G183" s="8" t="inlineStr">
        <is>
          <t>15.0</t>
        </is>
      </c>
      <c r="H183" s="8" t="inlineStr">
        <is>
          <t>14.9</t>
        </is>
      </c>
      <c r="I183" s="8" t="inlineStr">
        <is>
          <t>8.0</t>
        </is>
      </c>
      <c r="J183" s="8" t="inlineStr">
        <is>
          <t>4.7</t>
        </is>
      </c>
      <c r="K183" s="8" t="inlineStr">
        <is>
          <t>242</t>
        </is>
      </c>
      <c r="L183" s="9">
        <f>HYPERLINK("https://map.naver.com/v5/search/36.48116,128.460209","📍 네이버")</f>
        <v/>
      </c>
      <c r="M183" s="9">
        <f>HYPERLINK("https://map.kakao.com/link/map/P119-1,36.48116,128.460209","📍 카카오")</f>
        <v/>
      </c>
    </row>
    <row r="184">
      <c r="A184" s="10" t="inlineStr">
        <is>
          <t>#119</t>
        </is>
      </c>
      <c r="B184" s="11" t="n">
        <v>2</v>
      </c>
      <c r="C184" s="11" t="n">
        <v>36.489422</v>
      </c>
      <c r="D184" s="11" t="n">
        <v>128.549625</v>
      </c>
      <c r="E184" s="10" t="n">
        <v>91.2</v>
      </c>
      <c r="F184" s="11" t="inlineStr">
        <is>
          <t>13.0</t>
        </is>
      </c>
      <c r="G184" s="11" t="inlineStr">
        <is>
          <t>15.0</t>
        </is>
      </c>
      <c r="H184" s="11" t="inlineStr">
        <is>
          <t>13.9</t>
        </is>
      </c>
      <c r="I184" s="11" t="inlineStr">
        <is>
          <t>8.0</t>
        </is>
      </c>
      <c r="J184" s="11" t="inlineStr">
        <is>
          <t>4.9</t>
        </is>
      </c>
      <c r="K184" s="11" t="inlineStr">
        <is>
          <t>495</t>
        </is>
      </c>
      <c r="L184" s="12">
        <f>HYPERLINK("https://map.naver.com/v5/search/36.489422,128.549625","📍 네이버")</f>
        <v/>
      </c>
      <c r="M184" s="12">
        <f>HYPERLINK("https://map.kakao.com/link/map/P119-2,36.489422,128.549625","📍 카카오")</f>
        <v/>
      </c>
    </row>
    <row r="185">
      <c r="A185" s="10" t="inlineStr">
        <is>
          <t>#119</t>
        </is>
      </c>
      <c r="B185" s="11" t="n">
        <v>3</v>
      </c>
      <c r="C185" s="11" t="n">
        <v>36.489806</v>
      </c>
      <c r="D185" s="11" t="n">
        <v>128.504973</v>
      </c>
      <c r="E185" s="10" t="n">
        <v>91.2</v>
      </c>
      <c r="F185" s="11" t="inlineStr">
        <is>
          <t>12.5</t>
        </is>
      </c>
      <c r="G185" s="11" t="inlineStr">
        <is>
          <t>15.0</t>
        </is>
      </c>
      <c r="H185" s="11" t="inlineStr">
        <is>
          <t>14.5</t>
        </is>
      </c>
      <c r="I185" s="11" t="inlineStr">
        <is>
          <t>8.0</t>
        </is>
      </c>
      <c r="J185" s="11" t="inlineStr">
        <is>
          <t>4.7</t>
        </is>
      </c>
      <c r="K185" s="11" t="inlineStr">
        <is>
          <t>759</t>
        </is>
      </c>
      <c r="L185" s="12">
        <f>HYPERLINK("https://map.naver.com/v5/search/36.489806,128.504973","📍 네이버")</f>
        <v/>
      </c>
      <c r="M185" s="12">
        <f>HYPERLINK("https://map.kakao.com/link/map/P119-3,36.489806,128.504973","📍 카카오")</f>
        <v/>
      </c>
    </row>
    <row r="186">
      <c r="A186" s="10" t="inlineStr">
        <is>
          <t>#119</t>
        </is>
      </c>
      <c r="B186" s="11" t="n">
        <v>4</v>
      </c>
      <c r="C186" s="11" t="n">
        <v>36.480979</v>
      </c>
      <c r="D186" s="11" t="n">
        <v>128.482533</v>
      </c>
      <c r="E186" s="10" t="n">
        <v>90.8</v>
      </c>
      <c r="F186" s="11" t="inlineStr">
        <is>
          <t>12.9</t>
        </is>
      </c>
      <c r="G186" s="11" t="inlineStr">
        <is>
          <t>15.0</t>
        </is>
      </c>
      <c r="H186" s="11" t="inlineStr">
        <is>
          <t>13.8</t>
        </is>
      </c>
      <c r="I186" s="11" t="inlineStr">
        <is>
          <t>8.0</t>
        </is>
      </c>
      <c r="J186" s="11" t="inlineStr">
        <is>
          <t>4.8</t>
        </is>
      </c>
      <c r="K186" s="11" t="inlineStr">
        <is>
          <t>325</t>
        </is>
      </c>
      <c r="L186" s="12">
        <f>HYPERLINK("https://map.naver.com/v5/search/36.480979,128.482533","📍 네이버")</f>
        <v/>
      </c>
      <c r="M186" s="12">
        <f>HYPERLINK("https://map.kakao.com/link/map/P119-4,36.480979,128.482533","📍 카카오")</f>
        <v/>
      </c>
    </row>
    <row r="187">
      <c r="A187" s="10" t="inlineStr">
        <is>
          <t>#119</t>
        </is>
      </c>
      <c r="B187" s="11" t="n">
        <v>5</v>
      </c>
      <c r="C187" s="11" t="n">
        <v>36.490352</v>
      </c>
      <c r="D187" s="11" t="n">
        <v>128.437994</v>
      </c>
      <c r="E187" s="10" t="n">
        <v>90.7</v>
      </c>
      <c r="F187" s="11" t="inlineStr">
        <is>
          <t>12.6</t>
        </is>
      </c>
      <c r="G187" s="11" t="inlineStr">
        <is>
          <t>15.0</t>
        </is>
      </c>
      <c r="H187" s="11" t="inlineStr">
        <is>
          <t>14.2</t>
        </is>
      </c>
      <c r="I187" s="11" t="inlineStr">
        <is>
          <t>8.0</t>
        </is>
      </c>
      <c r="J187" s="11" t="inlineStr">
        <is>
          <t>4.6</t>
        </is>
      </c>
      <c r="K187" s="11" t="inlineStr">
        <is>
          <t>226</t>
        </is>
      </c>
      <c r="L187" s="12">
        <f>HYPERLINK("https://map.naver.com/v5/search/36.490352,128.437994","📍 네이버")</f>
        <v/>
      </c>
      <c r="M187" s="12">
        <f>HYPERLINK("https://map.kakao.com/link/map/P119-5,36.490352,128.437994","📍 카카오")</f>
        <v/>
      </c>
    </row>
    <row r="188">
      <c r="A188" s="7" t="inlineStr">
        <is>
          <t>#125</t>
        </is>
      </c>
      <c r="B188" s="8" t="n">
        <v>1</v>
      </c>
      <c r="C188" s="8" t="n">
        <v>37.752173</v>
      </c>
      <c r="D188" s="8" t="n">
        <v>128.45369</v>
      </c>
      <c r="E188" s="7" t="n">
        <v>85.59999999999999</v>
      </c>
      <c r="F188" s="8" t="inlineStr">
        <is>
          <t>11.6</t>
        </is>
      </c>
      <c r="G188" s="8" t="inlineStr">
        <is>
          <t>14.9</t>
        </is>
      </c>
      <c r="H188" s="8" t="inlineStr">
        <is>
          <t>14.4</t>
        </is>
      </c>
      <c r="I188" s="8" t="inlineStr">
        <is>
          <t>8.0</t>
        </is>
      </c>
      <c r="J188" s="8" t="inlineStr">
        <is>
          <t>2.5</t>
        </is>
      </c>
      <c r="K188" s="8" t="inlineStr">
        <is>
          <t>1544</t>
        </is>
      </c>
      <c r="L188" s="9">
        <f>HYPERLINK("https://map.naver.com/v5/search/37.752173,128.45369","📍 네이버")</f>
        <v/>
      </c>
      <c r="M188" s="9">
        <f>HYPERLINK("https://map.kakao.com/link/map/P125-1,37.752173,128.45369","📍 카카오")</f>
        <v/>
      </c>
    </row>
    <row r="189">
      <c r="A189" s="10" t="inlineStr">
        <is>
          <t>#125</t>
        </is>
      </c>
      <c r="B189" s="11" t="n">
        <v>2</v>
      </c>
      <c r="C189" s="11" t="n">
        <v>37.779023</v>
      </c>
      <c r="D189" s="11" t="n">
        <v>128.476745</v>
      </c>
      <c r="E189" s="10" t="n">
        <v>83.40000000000001</v>
      </c>
      <c r="F189" s="11" t="inlineStr">
        <is>
          <t>9.8</t>
        </is>
      </c>
      <c r="G189" s="11" t="inlineStr">
        <is>
          <t>15.0</t>
        </is>
      </c>
      <c r="H189" s="11" t="inlineStr">
        <is>
          <t>14.8</t>
        </is>
      </c>
      <c r="I189" s="11" t="inlineStr">
        <is>
          <t>8.0</t>
        </is>
      </c>
      <c r="J189" s="11" t="inlineStr">
        <is>
          <t>2.5</t>
        </is>
      </c>
      <c r="K189" s="11" t="inlineStr">
        <is>
          <t>1740</t>
        </is>
      </c>
      <c r="L189" s="12">
        <f>HYPERLINK("https://map.naver.com/v5/search/37.779023,128.476745","📍 네이버")</f>
        <v/>
      </c>
      <c r="M189" s="12">
        <f>HYPERLINK("https://map.kakao.com/link/map/P125-2,37.779023,128.476745","📍 카카오")</f>
        <v/>
      </c>
    </row>
    <row r="190">
      <c r="A190" s="10" t="inlineStr">
        <is>
          <t>#125</t>
        </is>
      </c>
      <c r="B190" s="11" t="n">
        <v>3</v>
      </c>
      <c r="C190" s="11" t="n">
        <v>37.761093</v>
      </c>
      <c r="D190" s="11" t="n">
        <v>128.465157</v>
      </c>
      <c r="E190" s="10" t="n">
        <v>82.7</v>
      </c>
      <c r="F190" s="11" t="inlineStr">
        <is>
          <t>9.6</t>
        </is>
      </c>
      <c r="G190" s="11" t="inlineStr">
        <is>
          <t>14.9</t>
        </is>
      </c>
      <c r="H190" s="11" t="inlineStr">
        <is>
          <t>14.6</t>
        </is>
      </c>
      <c r="I190" s="11" t="inlineStr">
        <is>
          <t>8.0</t>
        </is>
      </c>
      <c r="J190" s="11" t="inlineStr">
        <is>
          <t>2.5</t>
        </is>
      </c>
      <c r="K190" s="11" t="inlineStr">
        <is>
          <t>1414</t>
        </is>
      </c>
      <c r="L190" s="12">
        <f>HYPERLINK("https://map.naver.com/v5/search/37.761093,128.465157","📍 네이버")</f>
        <v/>
      </c>
      <c r="M190" s="12">
        <f>HYPERLINK("https://map.kakao.com/link/map/P125-3,37.761093,128.465157","📍 카카오")</f>
        <v/>
      </c>
    </row>
    <row r="191">
      <c r="A191" s="10" t="inlineStr">
        <is>
          <t>#125</t>
        </is>
      </c>
      <c r="B191" s="11" t="n">
        <v>4</v>
      </c>
      <c r="C191" s="11" t="n">
        <v>37.796759</v>
      </c>
      <c r="D191" s="11" t="n">
        <v>128.511053</v>
      </c>
      <c r="E191" s="10" t="n">
        <v>82.59999999999999</v>
      </c>
      <c r="F191" s="11" t="inlineStr">
        <is>
          <t>10.2</t>
        </is>
      </c>
      <c r="G191" s="11" t="inlineStr">
        <is>
          <t>15.0</t>
        </is>
      </c>
      <c r="H191" s="11" t="inlineStr">
        <is>
          <t>13.9</t>
        </is>
      </c>
      <c r="I191" s="11" t="inlineStr">
        <is>
          <t>8.0</t>
        </is>
      </c>
      <c r="J191" s="11" t="inlineStr">
        <is>
          <t>2.5</t>
        </is>
      </c>
      <c r="K191" s="11" t="inlineStr">
        <is>
          <t>1854</t>
        </is>
      </c>
      <c r="L191" s="12">
        <f>HYPERLINK("https://map.naver.com/v5/search/37.796759,128.511053","📍 네이버")</f>
        <v/>
      </c>
      <c r="M191" s="12">
        <f>HYPERLINK("https://map.kakao.com/link/map/P125-4,37.796759,128.511053","📍 카카오")</f>
        <v/>
      </c>
    </row>
    <row r="192">
      <c r="A192" s="10" t="inlineStr">
        <is>
          <t>#125</t>
        </is>
      </c>
      <c r="B192" s="11" t="n">
        <v>5</v>
      </c>
      <c r="C192" s="11" t="n">
        <v>37.779116</v>
      </c>
      <c r="D192" s="11" t="n">
        <v>128.465391</v>
      </c>
      <c r="E192" s="10" t="n">
        <v>81.59999999999999</v>
      </c>
      <c r="F192" s="11" t="inlineStr">
        <is>
          <t>8.5</t>
        </is>
      </c>
      <c r="G192" s="11" t="inlineStr">
        <is>
          <t>15.0</t>
        </is>
      </c>
      <c r="H192" s="11" t="inlineStr">
        <is>
          <t>15.0</t>
        </is>
      </c>
      <c r="I192" s="11" t="inlineStr">
        <is>
          <t>8.0</t>
        </is>
      </c>
      <c r="J192" s="11" t="inlineStr">
        <is>
          <t>2.5</t>
        </is>
      </c>
      <c r="K192" s="11" t="inlineStr">
        <is>
          <t>1765</t>
        </is>
      </c>
      <c r="L192" s="12">
        <f>HYPERLINK("https://map.naver.com/v5/search/37.779116,128.465391","📍 네이버")</f>
        <v/>
      </c>
      <c r="M192" s="12">
        <f>HYPERLINK("https://map.kakao.com/link/map/P125-5,37.779116,128.465391","📍 카카오")</f>
        <v/>
      </c>
    </row>
    <row r="193">
      <c r="A193" s="7" t="inlineStr">
        <is>
          <t>#126</t>
        </is>
      </c>
      <c r="B193" s="8" t="n">
        <v>1</v>
      </c>
      <c r="C193" s="8" t="n">
        <v>37.91429</v>
      </c>
      <c r="D193" s="8" t="n">
        <v>128.467163</v>
      </c>
      <c r="E193" s="7" t="n">
        <v>88.3</v>
      </c>
      <c r="F193" s="8" t="inlineStr">
        <is>
          <t>11.9</t>
        </is>
      </c>
      <c r="G193" s="8" t="inlineStr">
        <is>
          <t>14.6</t>
        </is>
      </c>
      <c r="H193" s="8" t="inlineStr">
        <is>
          <t>14.3</t>
        </is>
      </c>
      <c r="I193" s="8" t="inlineStr">
        <is>
          <t>8.0</t>
        </is>
      </c>
      <c r="J193" s="8" t="inlineStr">
        <is>
          <t>4.1</t>
        </is>
      </c>
      <c r="K193" s="8" t="inlineStr">
        <is>
          <t>1816</t>
        </is>
      </c>
      <c r="L193" s="9">
        <f>HYPERLINK("https://map.naver.com/v5/search/37.91429,128.467163","📍 네이버")</f>
        <v/>
      </c>
      <c r="M193" s="9">
        <f>HYPERLINK("https://map.kakao.com/link/map/P126-1,37.91429,128.467163","📍 카카오")</f>
        <v/>
      </c>
    </row>
    <row r="194">
      <c r="A194" s="10" t="inlineStr">
        <is>
          <t>#126</t>
        </is>
      </c>
      <c r="B194" s="11" t="n">
        <v>2</v>
      </c>
      <c r="C194" s="11" t="n">
        <v>37.905278</v>
      </c>
      <c r="D194" s="11" t="n">
        <v>128.467045</v>
      </c>
      <c r="E194" s="10" t="n">
        <v>87.3</v>
      </c>
      <c r="F194" s="11" t="inlineStr">
        <is>
          <t>11.0</t>
        </is>
      </c>
      <c r="G194" s="11" t="inlineStr">
        <is>
          <t>14.8</t>
        </is>
      </c>
      <c r="H194" s="11" t="inlineStr">
        <is>
          <t>14.3</t>
        </is>
      </c>
      <c r="I194" s="11" t="inlineStr">
        <is>
          <t>8.0</t>
        </is>
      </c>
      <c r="J194" s="11" t="inlineStr">
        <is>
          <t>4.3</t>
        </is>
      </c>
      <c r="K194" s="11" t="inlineStr">
        <is>
          <t>1970</t>
        </is>
      </c>
      <c r="L194" s="12">
        <f>HYPERLINK("https://map.naver.com/v5/search/37.905278,128.467045","📍 네이버")</f>
        <v/>
      </c>
      <c r="M194" s="12">
        <f>HYPERLINK("https://map.kakao.com/link/map/P126-2,37.905278,128.467045","📍 카카오")</f>
        <v/>
      </c>
    </row>
    <row r="195">
      <c r="A195" s="10" t="inlineStr">
        <is>
          <t>#126</t>
        </is>
      </c>
      <c r="B195" s="11" t="n">
        <v>3</v>
      </c>
      <c r="C195" s="11" t="n">
        <v>37.904895</v>
      </c>
      <c r="D195" s="11" t="n">
        <v>128.512539</v>
      </c>
      <c r="E195" s="10" t="n">
        <v>87.09999999999999</v>
      </c>
      <c r="F195" s="11" t="inlineStr">
        <is>
          <t>13.0</t>
        </is>
      </c>
      <c r="G195" s="11" t="inlineStr">
        <is>
          <t>14.8</t>
        </is>
      </c>
      <c r="H195" s="11" t="inlineStr">
        <is>
          <t>12.0</t>
        </is>
      </c>
      <c r="I195" s="11" t="inlineStr">
        <is>
          <t>8.0</t>
        </is>
      </c>
      <c r="J195" s="11" t="inlineStr">
        <is>
          <t>4.5</t>
        </is>
      </c>
      <c r="K195" s="11" t="inlineStr">
        <is>
          <t>60</t>
        </is>
      </c>
      <c r="L195" s="12">
        <f>HYPERLINK("https://map.naver.com/v5/search/37.904895,128.512539","📍 네이버")</f>
        <v/>
      </c>
      <c r="M195" s="12">
        <f>HYPERLINK("https://map.kakao.com/link/map/P126-3,37.904895,128.512539","📍 카카오")</f>
        <v/>
      </c>
    </row>
    <row r="196">
      <c r="A196" s="10" t="inlineStr">
        <is>
          <t>#126</t>
        </is>
      </c>
      <c r="B196" s="11" t="n">
        <v>4</v>
      </c>
      <c r="C196" s="11" t="n">
        <v>37.959254</v>
      </c>
      <c r="D196" s="11" t="n">
        <v>128.479136</v>
      </c>
      <c r="E196" s="10" t="n">
        <v>86.2</v>
      </c>
      <c r="F196" s="11" t="inlineStr">
        <is>
          <t>11.9</t>
        </is>
      </c>
      <c r="G196" s="11" t="inlineStr">
        <is>
          <t>12.8</t>
        </is>
      </c>
      <c r="H196" s="11" t="inlineStr">
        <is>
          <t>14.7</t>
        </is>
      </c>
      <c r="I196" s="11" t="inlineStr">
        <is>
          <t>8.0</t>
        </is>
      </c>
      <c r="J196" s="11" t="inlineStr">
        <is>
          <t>4.5</t>
        </is>
      </c>
      <c r="K196" s="11" t="inlineStr">
        <is>
          <t>1868</t>
        </is>
      </c>
      <c r="L196" s="12">
        <f>HYPERLINK("https://map.naver.com/v5/search/37.959254,128.479136","📍 네이버")</f>
        <v/>
      </c>
      <c r="M196" s="12">
        <f>HYPERLINK("https://map.kakao.com/link/map/P126-4,37.959254,128.479136","📍 카카오")</f>
        <v/>
      </c>
    </row>
    <row r="197">
      <c r="A197" s="10" t="inlineStr">
        <is>
          <t>#126</t>
        </is>
      </c>
      <c r="B197" s="11" t="n">
        <v>5</v>
      </c>
      <c r="C197" s="11" t="n">
        <v>37.886872</v>
      </c>
      <c r="D197" s="11" t="n">
        <v>128.512292</v>
      </c>
      <c r="E197" s="10" t="n">
        <v>85.2</v>
      </c>
      <c r="F197" s="11" t="inlineStr">
        <is>
          <t>9.3</t>
        </is>
      </c>
      <c r="G197" s="11" t="inlineStr">
        <is>
          <t>15.0</t>
        </is>
      </c>
      <c r="H197" s="11" t="inlineStr">
        <is>
          <t>14.0</t>
        </is>
      </c>
      <c r="I197" s="11" t="inlineStr">
        <is>
          <t>8.0</t>
        </is>
      </c>
      <c r="J197" s="11" t="inlineStr">
        <is>
          <t>4.8</t>
        </is>
      </c>
      <c r="K197" s="11" t="inlineStr">
        <is>
          <t>474</t>
        </is>
      </c>
      <c r="L197" s="12">
        <f>HYPERLINK("https://map.naver.com/v5/search/37.886872,128.512292","📍 네이버")</f>
        <v/>
      </c>
      <c r="M197" s="12">
        <f>HYPERLINK("https://map.kakao.com/link/map/P126-5,37.886872,128.512292","📍 카카오")</f>
        <v/>
      </c>
    </row>
    <row r="198">
      <c r="A198" s="7" t="inlineStr">
        <is>
          <t>#128</t>
        </is>
      </c>
      <c r="B198" s="8" t="n">
        <v>1</v>
      </c>
      <c r="C198" s="8" t="n">
        <v>38.373389</v>
      </c>
      <c r="D198" s="8" t="n">
        <v>128.53048</v>
      </c>
      <c r="E198" s="7" t="n">
        <v>89.09999999999999</v>
      </c>
      <c r="F198" s="8" t="inlineStr">
        <is>
          <t>15.0</t>
        </is>
      </c>
      <c r="G198" s="8" t="inlineStr">
        <is>
          <t>15.0</t>
        </is>
      </c>
      <c r="H198" s="8" t="inlineStr">
        <is>
          <t>15.0</t>
        </is>
      </c>
      <c r="I198" s="8" t="inlineStr">
        <is>
          <t>6.0</t>
        </is>
      </c>
      <c r="J198" s="8" t="inlineStr">
        <is>
          <t>2.5</t>
        </is>
      </c>
      <c r="K198" s="8" t="inlineStr">
        <is>
          <t>1650</t>
        </is>
      </c>
      <c r="L198" s="9">
        <f>HYPERLINK("https://map.naver.com/v5/search/38.373389,128.53048","📍 네이버")</f>
        <v/>
      </c>
      <c r="M198" s="9">
        <f>HYPERLINK("https://map.kakao.com/link/map/P128-1,38.373389,128.53048","📍 카카오")</f>
        <v/>
      </c>
    </row>
    <row r="199">
      <c r="A199" s="10" t="inlineStr">
        <is>
          <t>#128</t>
        </is>
      </c>
      <c r="B199" s="11" t="n">
        <v>2</v>
      </c>
      <c r="C199" s="11" t="n">
        <v>38.400621</v>
      </c>
      <c r="D199" s="11" t="n">
        <v>128.507962</v>
      </c>
      <c r="E199" s="10" t="n">
        <v>88.59999999999999</v>
      </c>
      <c r="F199" s="11" t="inlineStr">
        <is>
          <t>15.0</t>
        </is>
      </c>
      <c r="G199" s="11" t="inlineStr">
        <is>
          <t>15.0</t>
        </is>
      </c>
      <c r="H199" s="11" t="inlineStr">
        <is>
          <t>14.7</t>
        </is>
      </c>
      <c r="I199" s="11" t="inlineStr">
        <is>
          <t>6.0</t>
        </is>
      </c>
      <c r="J199" s="11" t="inlineStr">
        <is>
          <t>2.5</t>
        </is>
      </c>
      <c r="K199" s="11" t="inlineStr">
        <is>
          <t>1989</t>
        </is>
      </c>
      <c r="L199" s="12">
        <f>HYPERLINK("https://map.naver.com/v5/search/38.400621,128.507962","📍 네이버")</f>
        <v/>
      </c>
      <c r="M199" s="12">
        <f>HYPERLINK("https://map.kakao.com/link/map/P128-2,38.400621,128.507962","📍 카카오")</f>
        <v/>
      </c>
    </row>
    <row r="200">
      <c r="A200" s="10" t="inlineStr">
        <is>
          <t>#128</t>
        </is>
      </c>
      <c r="B200" s="11" t="n">
        <v>3</v>
      </c>
      <c r="C200" s="11" t="n">
        <v>38.40973</v>
      </c>
      <c r="D200" s="11" t="n">
        <v>128.496635</v>
      </c>
      <c r="E200" s="10" t="n">
        <v>88.40000000000001</v>
      </c>
      <c r="F200" s="11" t="inlineStr">
        <is>
          <t>15.0</t>
        </is>
      </c>
      <c r="G200" s="11" t="inlineStr">
        <is>
          <t>14.9</t>
        </is>
      </c>
      <c r="H200" s="11" t="inlineStr">
        <is>
          <t>14.6</t>
        </is>
      </c>
      <c r="I200" s="11" t="inlineStr">
        <is>
          <t>6.0</t>
        </is>
      </c>
      <c r="J200" s="11" t="inlineStr">
        <is>
          <t>2.5</t>
        </is>
      </c>
      <c r="K200" s="11" t="inlineStr">
        <is>
          <t>1800</t>
        </is>
      </c>
      <c r="L200" s="12">
        <f>HYPERLINK("https://map.naver.com/v5/search/38.40973,128.496635","📍 네이버")</f>
        <v/>
      </c>
      <c r="M200" s="12">
        <f>HYPERLINK("https://map.kakao.com/link/map/P128-3,38.40973,128.496635","📍 카카오")</f>
        <v/>
      </c>
    </row>
    <row r="201">
      <c r="A201" s="10" t="inlineStr">
        <is>
          <t>#128</t>
        </is>
      </c>
      <c r="B201" s="11" t="n">
        <v>4</v>
      </c>
      <c r="C201" s="11" t="n">
        <v>38.364378</v>
      </c>
      <c r="D201" s="11" t="n">
        <v>128.530352</v>
      </c>
      <c r="E201" s="10" t="n">
        <v>88.3</v>
      </c>
      <c r="F201" s="11" t="inlineStr">
        <is>
          <t>15.0</t>
        </is>
      </c>
      <c r="G201" s="11" t="inlineStr">
        <is>
          <t>14.9</t>
        </is>
      </c>
      <c r="H201" s="11" t="inlineStr">
        <is>
          <t>14.6</t>
        </is>
      </c>
      <c r="I201" s="11" t="inlineStr">
        <is>
          <t>6.0</t>
        </is>
      </c>
      <c r="J201" s="11" t="inlineStr">
        <is>
          <t>2.5</t>
        </is>
      </c>
      <c r="K201" s="11" t="inlineStr">
        <is>
          <t>1575</t>
        </is>
      </c>
      <c r="L201" s="12">
        <f>HYPERLINK("https://map.naver.com/v5/search/38.364378,128.530352","📍 네이버")</f>
        <v/>
      </c>
      <c r="M201" s="12">
        <f>HYPERLINK("https://map.kakao.com/link/map/P128-4,38.364378,128.530352","📍 카카오")</f>
        <v/>
      </c>
    </row>
    <row r="202">
      <c r="A202" s="10" t="inlineStr">
        <is>
          <t>#128</t>
        </is>
      </c>
      <c r="B202" s="11" t="n">
        <v>5</v>
      </c>
      <c r="C202" s="11" t="n">
        <v>38.3825</v>
      </c>
      <c r="D202" s="11" t="n">
        <v>128.51916</v>
      </c>
      <c r="E202" s="10" t="n">
        <v>87.8</v>
      </c>
      <c r="F202" s="11" t="inlineStr">
        <is>
          <t>15.0</t>
        </is>
      </c>
      <c r="G202" s="11" t="inlineStr">
        <is>
          <t>14.9</t>
        </is>
      </c>
      <c r="H202" s="11" t="inlineStr">
        <is>
          <t>14.3</t>
        </is>
      </c>
      <c r="I202" s="11" t="inlineStr">
        <is>
          <t>6.0</t>
        </is>
      </c>
      <c r="J202" s="11" t="inlineStr">
        <is>
          <t>2.5</t>
        </is>
      </c>
      <c r="K202" s="11" t="inlineStr">
        <is>
          <t>1258</t>
        </is>
      </c>
      <c r="L202" s="12">
        <f>HYPERLINK("https://map.naver.com/v5/search/38.3825,128.51916","📍 네이버")</f>
        <v/>
      </c>
      <c r="M202" s="12">
        <f>HYPERLINK("https://map.kakao.com/link/map/P128-5,38.3825,128.51916","📍 카카오")</f>
        <v/>
      </c>
    </row>
    <row r="203">
      <c r="A203" s="7" t="inlineStr">
        <is>
          <t>#129</t>
        </is>
      </c>
      <c r="B203" s="8" t="n">
        <v>1</v>
      </c>
      <c r="C203" s="8" t="n">
        <v>34.992385</v>
      </c>
      <c r="D203" s="8" t="n">
        <v>128.595901</v>
      </c>
      <c r="E203" s="7" t="n">
        <v>99.90000000000001</v>
      </c>
      <c r="F203" s="8" t="inlineStr">
        <is>
          <t>15.0</t>
        </is>
      </c>
      <c r="G203" s="8" t="inlineStr">
        <is>
          <t>15.0</t>
        </is>
      </c>
      <c r="H203" s="8" t="inlineStr">
        <is>
          <t>15.0</t>
        </is>
      </c>
      <c r="I203" s="8" t="inlineStr">
        <is>
          <t>10.0</t>
        </is>
      </c>
      <c r="J203" s="8" t="inlineStr">
        <is>
          <t>5.0</t>
        </is>
      </c>
      <c r="K203" s="8" t="inlineStr">
        <is>
          <t>1999</t>
        </is>
      </c>
      <c r="L203" s="9">
        <f>HYPERLINK("https://map.naver.com/v5/search/34.992385,128.595901","📍 네이버")</f>
        <v/>
      </c>
      <c r="M203" s="9">
        <f>HYPERLINK("https://map.kakao.com/link/map/P129-1,34.992385,128.595901","📍 카카오")</f>
        <v/>
      </c>
    </row>
    <row r="204">
      <c r="A204" s="10" t="inlineStr">
        <is>
          <t>#129</t>
        </is>
      </c>
      <c r="B204" s="11" t="n">
        <v>2</v>
      </c>
      <c r="C204" s="11" t="n">
        <v>34.974353</v>
      </c>
      <c r="D204" s="11" t="n">
        <v>128.595661</v>
      </c>
      <c r="E204" s="10" t="n">
        <v>98.90000000000001</v>
      </c>
      <c r="F204" s="11" t="inlineStr">
        <is>
          <t>15.0</t>
        </is>
      </c>
      <c r="G204" s="11" t="inlineStr">
        <is>
          <t>14.8</t>
        </is>
      </c>
      <c r="H204" s="11" t="inlineStr">
        <is>
          <t>14.7</t>
        </is>
      </c>
      <c r="I204" s="11" t="inlineStr">
        <is>
          <t>10.0</t>
        </is>
      </c>
      <c r="J204" s="11" t="inlineStr">
        <is>
          <t>4.9</t>
        </is>
      </c>
      <c r="K204" s="11" t="inlineStr">
        <is>
          <t>1482</t>
        </is>
      </c>
      <c r="L204" s="12">
        <f>HYPERLINK("https://map.naver.com/v5/search/34.974353,128.595661","📍 네이버")</f>
        <v/>
      </c>
      <c r="M204" s="12">
        <f>HYPERLINK("https://map.kakao.com/link/map/P129-2,34.974353,128.595661","📍 카카오")</f>
        <v/>
      </c>
    </row>
    <row r="205">
      <c r="A205" s="10" t="inlineStr">
        <is>
          <t>#129</t>
        </is>
      </c>
      <c r="B205" s="11" t="n">
        <v>3</v>
      </c>
      <c r="C205" s="11" t="n">
        <v>34.956709</v>
      </c>
      <c r="D205" s="11" t="n">
        <v>128.551617</v>
      </c>
      <c r="E205" s="10" t="n">
        <v>98.59999999999999</v>
      </c>
      <c r="F205" s="11" t="inlineStr">
        <is>
          <t>15.0</t>
        </is>
      </c>
      <c r="G205" s="11" t="inlineStr">
        <is>
          <t>14.7</t>
        </is>
      </c>
      <c r="H205" s="11" t="inlineStr">
        <is>
          <t>14.9</t>
        </is>
      </c>
      <c r="I205" s="11" t="inlineStr">
        <is>
          <t>10.0</t>
        </is>
      </c>
      <c r="J205" s="11" t="inlineStr">
        <is>
          <t>4.5</t>
        </is>
      </c>
      <c r="K205" s="11" t="inlineStr">
        <is>
          <t>1505</t>
        </is>
      </c>
      <c r="L205" s="12">
        <f>HYPERLINK("https://map.naver.com/v5/search/34.956709,128.551617","📍 네이버")</f>
        <v/>
      </c>
      <c r="M205" s="12">
        <f>HYPERLINK("https://map.kakao.com/link/map/P129-3,34.956709,128.551617","📍 카카오")</f>
        <v/>
      </c>
    </row>
    <row r="206">
      <c r="A206" s="10" t="inlineStr">
        <is>
          <t>#129</t>
        </is>
      </c>
      <c r="B206" s="11" t="n">
        <v>4</v>
      </c>
      <c r="C206" s="11" t="n">
        <v>34.992286</v>
      </c>
      <c r="D206" s="11" t="n">
        <v>128.606857</v>
      </c>
      <c r="E206" s="10" t="n">
        <v>98.5</v>
      </c>
      <c r="F206" s="11" t="inlineStr">
        <is>
          <t>15.0</t>
        </is>
      </c>
      <c r="G206" s="11" t="inlineStr">
        <is>
          <t>15.0</t>
        </is>
      </c>
      <c r="H206" s="11" t="inlineStr">
        <is>
          <t>14.1</t>
        </is>
      </c>
      <c r="I206" s="11" t="inlineStr">
        <is>
          <t>10.0</t>
        </is>
      </c>
      <c r="J206" s="11" t="inlineStr">
        <is>
          <t>5.0</t>
        </is>
      </c>
      <c r="K206" s="11" t="inlineStr">
        <is>
          <t>1033</t>
        </is>
      </c>
      <c r="L206" s="12">
        <f>HYPERLINK("https://map.naver.com/v5/search/34.992286,128.606857","📍 네이버")</f>
        <v/>
      </c>
      <c r="M206" s="12">
        <f>HYPERLINK("https://map.kakao.com/link/map/P129-4,34.992286,128.606857","📍 카카오")</f>
        <v/>
      </c>
    </row>
    <row r="207">
      <c r="A207" s="10" t="inlineStr">
        <is>
          <t>#129</t>
        </is>
      </c>
      <c r="B207" s="11" t="n">
        <v>5</v>
      </c>
      <c r="C207" s="11" t="n">
        <v>34.974741</v>
      </c>
      <c r="D207" s="11" t="n">
        <v>128.551847</v>
      </c>
      <c r="E207" s="10" t="n">
        <v>98.09999999999999</v>
      </c>
      <c r="F207" s="11" t="inlineStr">
        <is>
          <t>15.0</t>
        </is>
      </c>
      <c r="G207" s="11" t="inlineStr">
        <is>
          <t>14.9</t>
        </is>
      </c>
      <c r="H207" s="11" t="inlineStr">
        <is>
          <t>14.3</t>
        </is>
      </c>
      <c r="I207" s="11" t="inlineStr">
        <is>
          <t>10.0</t>
        </is>
      </c>
      <c r="J207" s="11" t="inlineStr">
        <is>
          <t>4.7</t>
        </is>
      </c>
      <c r="K207" s="11" t="inlineStr">
        <is>
          <t>1565</t>
        </is>
      </c>
      <c r="L207" s="12">
        <f>HYPERLINK("https://map.naver.com/v5/search/34.974741,128.551847","📍 네이버")</f>
        <v/>
      </c>
      <c r="M207" s="12">
        <f>HYPERLINK("https://map.kakao.com/link/map/P129-5,34.974741,128.551847","📍 카카오")</f>
        <v/>
      </c>
    </row>
    <row r="208">
      <c r="A208" s="7" t="inlineStr">
        <is>
          <t>#130</t>
        </is>
      </c>
      <c r="B208" s="8" t="n">
        <v>1</v>
      </c>
      <c r="C208" s="8" t="n">
        <v>35.777102</v>
      </c>
      <c r="D208" s="8" t="n">
        <v>128.562307</v>
      </c>
      <c r="E208" s="7" t="n">
        <v>86.8</v>
      </c>
      <c r="F208" s="8" t="inlineStr">
        <is>
          <t>10.9</t>
        </is>
      </c>
      <c r="G208" s="8" t="inlineStr">
        <is>
          <t>11.6</t>
        </is>
      </c>
      <c r="H208" s="8" t="inlineStr">
        <is>
          <t>15.0</t>
        </is>
      </c>
      <c r="I208" s="8" t="inlineStr">
        <is>
          <t>10.0</t>
        </is>
      </c>
      <c r="J208" s="8" t="inlineStr">
        <is>
          <t>4.6</t>
        </is>
      </c>
      <c r="K208" s="8" t="inlineStr">
        <is>
          <t>1108</t>
        </is>
      </c>
      <c r="L208" s="9">
        <f>HYPERLINK("https://map.naver.com/v5/search/35.777102,128.562307","📍 네이버")</f>
        <v/>
      </c>
      <c r="M208" s="9">
        <f>HYPERLINK("https://map.kakao.com/link/map/P130-1,35.777102,128.562307","📍 카카오")</f>
        <v/>
      </c>
    </row>
    <row r="209">
      <c r="A209" s="10" t="inlineStr">
        <is>
          <t>#130</t>
        </is>
      </c>
      <c r="B209" s="11" t="n">
        <v>2</v>
      </c>
      <c r="C209" s="11" t="n">
        <v>35.758876</v>
      </c>
      <c r="D209" s="11" t="n">
        <v>128.584187</v>
      </c>
      <c r="E209" s="10" t="n">
        <v>85.2</v>
      </c>
      <c r="F209" s="11" t="inlineStr">
        <is>
          <t>10.6</t>
        </is>
      </c>
      <c r="G209" s="11" t="inlineStr">
        <is>
          <t>13.8</t>
        </is>
      </c>
      <c r="H209" s="11" t="inlineStr">
        <is>
          <t>14.8</t>
        </is>
      </c>
      <c r="I209" s="11" t="inlineStr">
        <is>
          <t>7.0</t>
        </is>
      </c>
      <c r="J209" s="11" t="inlineStr">
        <is>
          <t>4.9</t>
        </is>
      </c>
      <c r="K209" s="11" t="inlineStr">
        <is>
          <t>426</t>
        </is>
      </c>
      <c r="L209" s="12">
        <f>HYPERLINK("https://map.naver.com/v5/search/35.758876,128.584187","📍 네이버")</f>
        <v/>
      </c>
      <c r="M209" s="12">
        <f>HYPERLINK("https://map.kakao.com/link/map/P130-2,35.758876,128.584187","📍 카카오")</f>
        <v/>
      </c>
    </row>
    <row r="210">
      <c r="A210" s="10" t="inlineStr">
        <is>
          <t>#130</t>
        </is>
      </c>
      <c r="B210" s="11" t="n">
        <v>3</v>
      </c>
      <c r="C210" s="11" t="n">
        <v>35.767989</v>
      </c>
      <c r="D210" s="11" t="n">
        <v>128.573248</v>
      </c>
      <c r="E210" s="10" t="n">
        <v>85.09999999999999</v>
      </c>
      <c r="F210" s="11" t="inlineStr">
        <is>
          <t>11.2</t>
        </is>
      </c>
      <c r="G210" s="11" t="inlineStr">
        <is>
          <t>13.7</t>
        </is>
      </c>
      <c r="H210" s="11" t="inlineStr">
        <is>
          <t>14.4</t>
        </is>
      </c>
      <c r="I210" s="11" t="inlineStr">
        <is>
          <t>7.0</t>
        </is>
      </c>
      <c r="J210" s="11" t="inlineStr">
        <is>
          <t>4.8</t>
        </is>
      </c>
      <c r="K210" s="11" t="inlineStr">
        <is>
          <t>44</t>
        </is>
      </c>
      <c r="L210" s="12">
        <f>HYPERLINK("https://map.naver.com/v5/search/35.767989,128.573248","📍 네이버")</f>
        <v/>
      </c>
      <c r="M210" s="12">
        <f>HYPERLINK("https://map.kakao.com/link/map/P130-3,35.767989,128.573248","📍 카카오")</f>
        <v/>
      </c>
    </row>
    <row r="211">
      <c r="A211" s="10" t="inlineStr">
        <is>
          <t>#130</t>
        </is>
      </c>
      <c r="B211" s="11" t="n">
        <v>4</v>
      </c>
      <c r="C211" s="11" t="n">
        <v>35.758775</v>
      </c>
      <c r="D211" s="11" t="n">
        <v>128.595246</v>
      </c>
      <c r="E211" s="10" t="n">
        <v>84</v>
      </c>
      <c r="F211" s="11" t="inlineStr">
        <is>
          <t>9.8</t>
        </is>
      </c>
      <c r="G211" s="11" t="inlineStr">
        <is>
          <t>14.1</t>
        </is>
      </c>
      <c r="H211" s="11" t="inlineStr">
        <is>
          <t>14.7</t>
        </is>
      </c>
      <c r="I211" s="11" t="inlineStr">
        <is>
          <t>7.0</t>
        </is>
      </c>
      <c r="J211" s="11" t="inlineStr">
        <is>
          <t>4.8</t>
        </is>
      </c>
      <c r="K211" s="11" t="inlineStr">
        <is>
          <t>539</t>
        </is>
      </c>
      <c r="L211" s="12">
        <f>HYPERLINK("https://map.naver.com/v5/search/35.758775,128.595246","📍 네이버")</f>
        <v/>
      </c>
      <c r="M211" s="12">
        <f>HYPERLINK("https://map.kakao.com/link/map/P130-4,35.758775,128.595246","📍 카카오")</f>
        <v/>
      </c>
    </row>
    <row r="212">
      <c r="A212" s="10" t="inlineStr">
        <is>
          <t>#130</t>
        </is>
      </c>
      <c r="B212" s="11" t="n">
        <v>5</v>
      </c>
      <c r="C212" s="11" t="n">
        <v>35.768088</v>
      </c>
      <c r="D212" s="11" t="n">
        <v>128.562187</v>
      </c>
      <c r="E212" s="10" t="n">
        <v>83.5</v>
      </c>
      <c r="F212" s="11" t="inlineStr">
        <is>
          <t>10.2</t>
        </is>
      </c>
      <c r="G212" s="11" t="inlineStr">
        <is>
          <t>13.3</t>
        </is>
      </c>
      <c r="H212" s="11" t="inlineStr">
        <is>
          <t>14.9</t>
        </is>
      </c>
      <c r="I212" s="11" t="inlineStr">
        <is>
          <t>7.0</t>
        </is>
      </c>
      <c r="J212" s="11" t="inlineStr">
        <is>
          <t>4.7</t>
        </is>
      </c>
      <c r="K212" s="11" t="inlineStr">
        <is>
          <t>789</t>
        </is>
      </c>
      <c r="L212" s="12">
        <f>HYPERLINK("https://map.naver.com/v5/search/35.768088,128.562187","📍 네이버")</f>
        <v/>
      </c>
      <c r="M212" s="12">
        <f>HYPERLINK("https://map.kakao.com/link/map/P130-5,35.768088,128.562187","📍 카카오")</f>
        <v/>
      </c>
    </row>
    <row r="213">
      <c r="A213" s="7" t="inlineStr">
        <is>
          <t>#138</t>
        </is>
      </c>
      <c r="B213" s="8" t="n">
        <v>1</v>
      </c>
      <c r="C213" s="8" t="n">
        <v>34.756833</v>
      </c>
      <c r="D213" s="8" t="n">
        <v>128.712959</v>
      </c>
      <c r="E213" s="7" t="n">
        <v>99.7</v>
      </c>
      <c r="F213" s="8" t="inlineStr">
        <is>
          <t>15.0</t>
        </is>
      </c>
      <c r="G213" s="8" t="inlineStr">
        <is>
          <t>15.0</t>
        </is>
      </c>
      <c r="H213" s="8" t="inlineStr">
        <is>
          <t>15.0</t>
        </is>
      </c>
      <c r="I213" s="8" t="inlineStr">
        <is>
          <t>10.0</t>
        </is>
      </c>
      <c r="J213" s="8" t="inlineStr">
        <is>
          <t>4.8</t>
        </is>
      </c>
      <c r="K213" s="8" t="inlineStr">
        <is>
          <t>1339</t>
        </is>
      </c>
      <c r="L213" s="9">
        <f>HYPERLINK("https://map.naver.com/v5/search/34.756833,128.712959","📍 네이버")</f>
        <v/>
      </c>
      <c r="M213" s="9">
        <f>HYPERLINK("https://map.kakao.com/link/map/P138-1,34.756833,128.712959","📍 카카오")</f>
        <v/>
      </c>
    </row>
    <row r="214">
      <c r="A214" s="10" t="inlineStr">
        <is>
          <t>#138</t>
        </is>
      </c>
      <c r="B214" s="11" t="n">
        <v>2</v>
      </c>
      <c r="C214" s="11" t="n">
        <v>34.756723</v>
      </c>
      <c r="D214" s="11" t="n">
        <v>128.723883</v>
      </c>
      <c r="E214" s="10" t="n">
        <v>99.59999999999999</v>
      </c>
      <c r="F214" s="11" t="inlineStr">
        <is>
          <t>15.0</t>
        </is>
      </c>
      <c r="G214" s="11" t="inlineStr">
        <is>
          <t>15.0</t>
        </is>
      </c>
      <c r="H214" s="11" t="inlineStr">
        <is>
          <t>14.9</t>
        </is>
      </c>
      <c r="I214" s="11" t="inlineStr">
        <is>
          <t>10.0</t>
        </is>
      </c>
      <c r="J214" s="11" t="inlineStr">
        <is>
          <t>4.9</t>
        </is>
      </c>
      <c r="K214" s="11" t="inlineStr">
        <is>
          <t>1677</t>
        </is>
      </c>
      <c r="L214" s="12">
        <f>HYPERLINK("https://map.naver.com/v5/search/34.756723,128.723883","📍 네이버")</f>
        <v/>
      </c>
      <c r="M214" s="12">
        <f>HYPERLINK("https://map.kakao.com/link/map/P138-2,34.756723,128.723883","📍 카카오")</f>
        <v/>
      </c>
    </row>
    <row r="215">
      <c r="A215" s="10" t="inlineStr">
        <is>
          <t>#138</t>
        </is>
      </c>
      <c r="B215" s="11" t="n">
        <v>3</v>
      </c>
      <c r="C215" s="11" t="n">
        <v>34.765957</v>
      </c>
      <c r="D215" s="11" t="n">
        <v>128.702166</v>
      </c>
      <c r="E215" s="10" t="n">
        <v>99.40000000000001</v>
      </c>
      <c r="F215" s="11" t="inlineStr">
        <is>
          <t>15.0</t>
        </is>
      </c>
      <c r="G215" s="11" t="inlineStr">
        <is>
          <t>15.0</t>
        </is>
      </c>
      <c r="H215" s="11" t="inlineStr">
        <is>
          <t>14.9</t>
        </is>
      </c>
      <c r="I215" s="11" t="inlineStr">
        <is>
          <t>10.0</t>
        </is>
      </c>
      <c r="J215" s="11" t="inlineStr">
        <is>
          <t>4.8</t>
        </is>
      </c>
      <c r="K215" s="11" t="inlineStr">
        <is>
          <t>804</t>
        </is>
      </c>
      <c r="L215" s="12">
        <f>HYPERLINK("https://map.naver.com/v5/search/34.765957,128.702166","📍 네이버")</f>
        <v/>
      </c>
      <c r="M215" s="12">
        <f>HYPERLINK("https://map.kakao.com/link/map/P138-3,34.765957,128.702166","📍 카카오")</f>
        <v/>
      </c>
    </row>
    <row r="216">
      <c r="A216" s="10" t="inlineStr">
        <is>
          <t>#138</t>
        </is>
      </c>
      <c r="B216" s="11" t="n">
        <v>4</v>
      </c>
      <c r="C216" s="11" t="n">
        <v>34.756941</v>
      </c>
      <c r="D216" s="11" t="n">
        <v>128.702035</v>
      </c>
      <c r="E216" s="10" t="n">
        <v>99</v>
      </c>
      <c r="F216" s="11" t="inlineStr">
        <is>
          <t>15.0</t>
        </is>
      </c>
      <c r="G216" s="11" t="inlineStr">
        <is>
          <t>15.0</t>
        </is>
      </c>
      <c r="H216" s="11" t="inlineStr">
        <is>
          <t>14.6</t>
        </is>
      </c>
      <c r="I216" s="11" t="inlineStr">
        <is>
          <t>10.0</t>
        </is>
      </c>
      <c r="J216" s="11" t="inlineStr">
        <is>
          <t>4.7</t>
        </is>
      </c>
      <c r="K216" s="11" t="inlineStr">
        <is>
          <t>1578</t>
        </is>
      </c>
      <c r="L216" s="12">
        <f>HYPERLINK("https://map.naver.com/v5/search/34.756941,128.702035","📍 네이버")</f>
        <v/>
      </c>
      <c r="M216" s="12">
        <f>HYPERLINK("https://map.kakao.com/link/map/P138-4,34.756941,128.702035","📍 카카오")</f>
        <v/>
      </c>
    </row>
    <row r="217">
      <c r="A217" s="10" t="inlineStr">
        <is>
          <t>#138</t>
        </is>
      </c>
      <c r="B217" s="11" t="n">
        <v>5</v>
      </c>
      <c r="C217" s="11" t="n">
        <v>34.774973</v>
      </c>
      <c r="D217" s="11" t="n">
        <v>128.702296</v>
      </c>
      <c r="E217" s="10" t="n">
        <v>98.90000000000001</v>
      </c>
      <c r="F217" s="11" t="inlineStr">
        <is>
          <t>15.0</t>
        </is>
      </c>
      <c r="G217" s="11" t="inlineStr">
        <is>
          <t>15.0</t>
        </is>
      </c>
      <c r="H217" s="11" t="inlineStr">
        <is>
          <t>14.5</t>
        </is>
      </c>
      <c r="I217" s="11" t="inlineStr">
        <is>
          <t>10.0</t>
        </is>
      </c>
      <c r="J217" s="11" t="inlineStr">
        <is>
          <t>4.8</t>
        </is>
      </c>
      <c r="K217" s="11" t="inlineStr">
        <is>
          <t>877</t>
        </is>
      </c>
      <c r="L217" s="12">
        <f>HYPERLINK("https://map.naver.com/v5/search/34.774973,128.702296","📍 네이버")</f>
        <v/>
      </c>
      <c r="M217" s="12">
        <f>HYPERLINK("https://map.kakao.com/link/map/P138-5,34.774973,128.702296","📍 카카오")</f>
        <v/>
      </c>
    </row>
    <row r="218">
      <c r="A218" s="7" t="inlineStr">
        <is>
          <t>#144</t>
        </is>
      </c>
      <c r="B218" s="8" t="n">
        <v>1</v>
      </c>
      <c r="C218" s="8" t="n">
        <v>36.47725</v>
      </c>
      <c r="D218" s="8" t="n">
        <v>128.862006</v>
      </c>
      <c r="E218" s="7" t="n">
        <v>93.5</v>
      </c>
      <c r="F218" s="8" t="inlineStr">
        <is>
          <t>12.2</t>
        </is>
      </c>
      <c r="G218" s="8" t="inlineStr">
        <is>
          <t>15.0</t>
        </is>
      </c>
      <c r="H218" s="8" t="inlineStr">
        <is>
          <t>15.0</t>
        </is>
      </c>
      <c r="I218" s="8" t="inlineStr">
        <is>
          <t>10.0</t>
        </is>
      </c>
      <c r="J218" s="8" t="inlineStr">
        <is>
          <t>3.9</t>
        </is>
      </c>
      <c r="K218" s="8" t="inlineStr">
        <is>
          <t>1165</t>
        </is>
      </c>
      <c r="L218" s="9">
        <f>HYPERLINK("https://map.naver.com/v5/search/36.47725,128.862006","📍 네이버")</f>
        <v/>
      </c>
      <c r="M218" s="9">
        <f>HYPERLINK("https://map.kakao.com/link/map/P144-1,36.47725,128.862006","📍 카카오")</f>
        <v/>
      </c>
    </row>
    <row r="219">
      <c r="A219" s="10" t="inlineStr">
        <is>
          <t>#144</t>
        </is>
      </c>
      <c r="B219" s="11" t="n">
        <v>2</v>
      </c>
      <c r="C219" s="11" t="n">
        <v>36.48664</v>
      </c>
      <c r="D219" s="11" t="n">
        <v>128.82868</v>
      </c>
      <c r="E219" s="10" t="n">
        <v>89.09999999999999</v>
      </c>
      <c r="F219" s="11" t="inlineStr">
        <is>
          <t>11.5</t>
        </is>
      </c>
      <c r="G219" s="11" t="inlineStr">
        <is>
          <t>13.4</t>
        </is>
      </c>
      <c r="H219" s="11" t="inlineStr">
        <is>
          <t>14.2</t>
        </is>
      </c>
      <c r="I219" s="11" t="inlineStr">
        <is>
          <t>10.0</t>
        </is>
      </c>
      <c r="J219" s="11" t="inlineStr">
        <is>
          <t>4.3</t>
        </is>
      </c>
      <c r="K219" s="11" t="inlineStr">
        <is>
          <t>556</t>
        </is>
      </c>
      <c r="L219" s="12">
        <f>HYPERLINK("https://map.naver.com/v5/search/36.48664,128.82868","📍 네이버")</f>
        <v/>
      </c>
      <c r="M219" s="12">
        <f>HYPERLINK("https://map.kakao.com/link/map/P144-2,36.48664,128.82868","📍 카카오")</f>
        <v/>
      </c>
    </row>
    <row r="220">
      <c r="A220" s="10" t="inlineStr">
        <is>
          <t>#144</t>
        </is>
      </c>
      <c r="B220" s="11" t="n">
        <v>3</v>
      </c>
      <c r="C220" s="11" t="n">
        <v>36.478116</v>
      </c>
      <c r="D220" s="11" t="n">
        <v>128.783885</v>
      </c>
      <c r="E220" s="10" t="n">
        <v>86.59999999999999</v>
      </c>
      <c r="F220" s="11" t="inlineStr">
        <is>
          <t>11.2</t>
        </is>
      </c>
      <c r="G220" s="11" t="inlineStr">
        <is>
          <t>14.8</t>
        </is>
      </c>
      <c r="H220" s="11" t="inlineStr">
        <is>
          <t>13.3</t>
        </is>
      </c>
      <c r="I220" s="11" t="inlineStr">
        <is>
          <t>8.0</t>
        </is>
      </c>
      <c r="J220" s="11" t="inlineStr">
        <is>
          <t>4.7</t>
        </is>
      </c>
      <c r="K220" s="11" t="inlineStr">
        <is>
          <t>1894</t>
        </is>
      </c>
      <c r="L220" s="12">
        <f>HYPERLINK("https://map.naver.com/v5/search/36.478116,128.783885","📍 네이버")</f>
        <v/>
      </c>
      <c r="M220" s="12">
        <f>HYPERLINK("https://map.kakao.com/link/map/P144-3,36.478116,128.783885","📍 카카오")</f>
        <v/>
      </c>
    </row>
    <row r="221">
      <c r="A221" s="10" t="inlineStr">
        <is>
          <t>#144</t>
        </is>
      </c>
      <c r="B221" s="11" t="n">
        <v>4</v>
      </c>
      <c r="C221" s="11" t="n">
        <v>36.487129</v>
      </c>
      <c r="D221" s="11" t="n">
        <v>128.784034</v>
      </c>
      <c r="E221" s="10" t="n">
        <v>79.3</v>
      </c>
      <c r="F221" s="11" t="inlineStr">
        <is>
          <t>11.9</t>
        </is>
      </c>
      <c r="G221" s="11" t="inlineStr">
        <is>
          <t>13.4</t>
        </is>
      </c>
      <c r="H221" s="11" t="inlineStr">
        <is>
          <t>9.3</t>
        </is>
      </c>
      <c r="I221" s="11" t="inlineStr">
        <is>
          <t>8.0</t>
        </is>
      </c>
      <c r="J221" s="11" t="inlineStr">
        <is>
          <t>5.0</t>
        </is>
      </c>
      <c r="K221" s="11" t="inlineStr">
        <is>
          <t>988</t>
        </is>
      </c>
      <c r="L221" s="12">
        <f>HYPERLINK("https://map.naver.com/v5/search/36.487129,128.784034","📍 네이버")</f>
        <v/>
      </c>
      <c r="M221" s="12">
        <f>HYPERLINK("https://map.kakao.com/link/map/P144-4,36.487129,128.784034","📍 카카오")</f>
        <v/>
      </c>
    </row>
    <row r="222">
      <c r="A222" s="7" t="inlineStr">
        <is>
          <t>#145</t>
        </is>
      </c>
      <c r="B222" s="8" t="n">
        <v>1</v>
      </c>
      <c r="C222" s="8" t="n">
        <v>36.721342</v>
      </c>
      <c r="D222" s="8" t="n">
        <v>128.799121</v>
      </c>
      <c r="E222" s="7" t="n">
        <v>93.40000000000001</v>
      </c>
      <c r="F222" s="8" t="inlineStr">
        <is>
          <t>14.0</t>
        </is>
      </c>
      <c r="G222" s="8" t="inlineStr">
        <is>
          <t>15.0</t>
        </is>
      </c>
      <c r="H222" s="8" t="inlineStr">
        <is>
          <t>14.1</t>
        </is>
      </c>
      <c r="I222" s="8" t="inlineStr">
        <is>
          <t>8.0</t>
        </is>
      </c>
      <c r="J222" s="8" t="inlineStr">
        <is>
          <t>5.0</t>
        </is>
      </c>
      <c r="K222" s="8" t="inlineStr">
        <is>
          <t>318</t>
        </is>
      </c>
      <c r="L222" s="9">
        <f>HYPERLINK("https://map.naver.com/v5/search/36.721342,128.799121","📍 네이버")</f>
        <v/>
      </c>
      <c r="M222" s="9">
        <f>HYPERLINK("https://map.kakao.com/link/map/P145-1,36.721342,128.799121","📍 카카오")</f>
        <v/>
      </c>
    </row>
    <row r="223">
      <c r="A223" s="10" t="inlineStr">
        <is>
          <t>#145</t>
        </is>
      </c>
      <c r="B223" s="11" t="n">
        <v>2</v>
      </c>
      <c r="C223" s="11" t="n">
        <v>36.775045</v>
      </c>
      <c r="D223" s="11" t="n">
        <v>128.833642</v>
      </c>
      <c r="E223" s="10" t="n">
        <v>92</v>
      </c>
      <c r="F223" s="11" t="inlineStr">
        <is>
          <t>13.8</t>
        </is>
      </c>
      <c r="G223" s="11" t="inlineStr">
        <is>
          <t>14.6</t>
        </is>
      </c>
      <c r="H223" s="11" t="inlineStr">
        <is>
          <t>14.4</t>
        </is>
      </c>
      <c r="I223" s="11" t="inlineStr">
        <is>
          <t>8.0</t>
        </is>
      </c>
      <c r="J223" s="11" t="inlineStr">
        <is>
          <t>4.4</t>
        </is>
      </c>
      <c r="K223" s="11" t="inlineStr">
        <is>
          <t>19</t>
        </is>
      </c>
      <c r="L223" s="12">
        <f>HYPERLINK("https://map.naver.com/v5/search/36.775045,128.833642","📍 네이버")</f>
        <v/>
      </c>
      <c r="M223" s="12">
        <f>HYPERLINK("https://map.kakao.com/link/map/P145-2,36.775045,128.833642","📍 카카오")</f>
        <v/>
      </c>
    </row>
    <row r="224">
      <c r="A224" s="10" t="inlineStr">
        <is>
          <t>#145</t>
        </is>
      </c>
      <c r="B224" s="11" t="n">
        <v>3</v>
      </c>
      <c r="C224" s="11" t="n">
        <v>36.766157</v>
      </c>
      <c r="D224" s="11" t="n">
        <v>128.822284</v>
      </c>
      <c r="E224" s="10" t="n">
        <v>91.59999999999999</v>
      </c>
      <c r="F224" s="11" t="inlineStr">
        <is>
          <t>13.9</t>
        </is>
      </c>
      <c r="G224" s="11" t="inlineStr">
        <is>
          <t>14.6</t>
        </is>
      </c>
      <c r="H224" s="11" t="inlineStr">
        <is>
          <t>13.9</t>
        </is>
      </c>
      <c r="I224" s="11" t="inlineStr">
        <is>
          <t>8.0</t>
        </is>
      </c>
      <c r="J224" s="11" t="inlineStr">
        <is>
          <t>4.6</t>
        </is>
      </c>
      <c r="K224" s="11" t="inlineStr">
        <is>
          <t>477</t>
        </is>
      </c>
      <c r="L224" s="12">
        <f>HYPERLINK("https://map.naver.com/v5/search/36.766157,128.822284","📍 네이버")</f>
        <v/>
      </c>
      <c r="M224" s="12">
        <f>HYPERLINK("https://map.kakao.com/link/map/P145-3,36.766157,128.822284","📍 카카오")</f>
        <v/>
      </c>
    </row>
    <row r="225">
      <c r="A225" s="10" t="inlineStr">
        <is>
          <t>#145</t>
        </is>
      </c>
      <c r="B225" s="11" t="n">
        <v>4</v>
      </c>
      <c r="C225" s="11" t="n">
        <v>36.721219</v>
      </c>
      <c r="D225" s="11" t="n">
        <v>128.810316</v>
      </c>
      <c r="E225" s="10" t="n">
        <v>91.59999999999999</v>
      </c>
      <c r="F225" s="11" t="inlineStr">
        <is>
          <t>13.1</t>
        </is>
      </c>
      <c r="G225" s="11" t="inlineStr">
        <is>
          <t>15.0</t>
        </is>
      </c>
      <c r="H225" s="11" t="inlineStr">
        <is>
          <t>13.8</t>
        </is>
      </c>
      <c r="I225" s="11" t="inlineStr">
        <is>
          <t>8.0</t>
        </is>
      </c>
      <c r="J225" s="11" t="inlineStr">
        <is>
          <t>5.0</t>
        </is>
      </c>
      <c r="K225" s="11" t="inlineStr">
        <is>
          <t>84</t>
        </is>
      </c>
      <c r="L225" s="12">
        <f>HYPERLINK("https://map.naver.com/v5/search/36.721219,128.810316","📍 네이버")</f>
        <v/>
      </c>
      <c r="M225" s="12">
        <f>HYPERLINK("https://map.kakao.com/link/map/P145-4,36.721219,128.810316","📍 카카오")</f>
        <v/>
      </c>
    </row>
    <row r="226">
      <c r="A226" s="10" t="inlineStr">
        <is>
          <t>#145</t>
        </is>
      </c>
      <c r="B226" s="11" t="n">
        <v>5</v>
      </c>
      <c r="C226" s="11" t="n">
        <v>36.730476</v>
      </c>
      <c r="D226" s="11" t="n">
        <v>128.788076</v>
      </c>
      <c r="E226" s="10" t="n">
        <v>91</v>
      </c>
      <c r="F226" s="11" t="inlineStr">
        <is>
          <t>13.7</t>
        </is>
      </c>
      <c r="G226" s="11" t="inlineStr">
        <is>
          <t>14.9</t>
        </is>
      </c>
      <c r="H226" s="11" t="inlineStr">
        <is>
          <t>13.1</t>
        </is>
      </c>
      <c r="I226" s="11" t="inlineStr">
        <is>
          <t>8.0</t>
        </is>
      </c>
      <c r="J226" s="11" t="inlineStr">
        <is>
          <t>5.0</t>
        </is>
      </c>
      <c r="K226" s="11" t="inlineStr">
        <is>
          <t>299</t>
        </is>
      </c>
      <c r="L226" s="12">
        <f>HYPERLINK("https://map.naver.com/v5/search/36.730476,128.788076","📍 네이버")</f>
        <v/>
      </c>
      <c r="M226" s="12">
        <f>HYPERLINK("https://map.kakao.com/link/map/P145-5,36.730476,128.788076","📍 카카오")</f>
        <v/>
      </c>
    </row>
    <row r="227">
      <c r="A227" s="7" t="inlineStr">
        <is>
          <t>#149</t>
        </is>
      </c>
      <c r="B227" s="8" t="n">
        <v>1</v>
      </c>
      <c r="C227" s="8" t="n">
        <v>35.629109</v>
      </c>
      <c r="D227" s="8" t="n">
        <v>128.924769</v>
      </c>
      <c r="E227" s="7" t="n">
        <v>92.40000000000001</v>
      </c>
      <c r="F227" s="8" t="inlineStr">
        <is>
          <t>11.0</t>
        </is>
      </c>
      <c r="G227" s="8" t="inlineStr">
        <is>
          <t>15.0</t>
        </is>
      </c>
      <c r="H227" s="8" t="inlineStr">
        <is>
          <t>14.5</t>
        </is>
      </c>
      <c r="I227" s="8" t="inlineStr">
        <is>
          <t>10.0</t>
        </is>
      </c>
      <c r="J227" s="8" t="inlineStr">
        <is>
          <t>4.9</t>
        </is>
      </c>
      <c r="K227" s="8" t="inlineStr">
        <is>
          <t>1434</t>
        </is>
      </c>
      <c r="L227" s="9">
        <f>HYPERLINK("https://map.naver.com/v5/search/35.629109,128.924769","📍 네이버")</f>
        <v/>
      </c>
      <c r="M227" s="9">
        <f>HYPERLINK("https://map.kakao.com/link/map/P149-1,35.629109,128.924769","📍 카카오")</f>
        <v/>
      </c>
    </row>
    <row r="228">
      <c r="A228" s="10" t="inlineStr">
        <is>
          <t>#149</t>
        </is>
      </c>
      <c r="B228" s="11" t="n">
        <v>2</v>
      </c>
      <c r="C228" s="11" t="n">
        <v>35.548371</v>
      </c>
      <c r="D228" s="11" t="n">
        <v>128.890244</v>
      </c>
      <c r="E228" s="10" t="n">
        <v>89</v>
      </c>
      <c r="F228" s="11" t="inlineStr">
        <is>
          <t>12.1</t>
        </is>
      </c>
      <c r="G228" s="11" t="inlineStr">
        <is>
          <t>12.5</t>
        </is>
      </c>
      <c r="H228" s="11" t="inlineStr">
        <is>
          <t>14.0</t>
        </is>
      </c>
      <c r="I228" s="11" t="inlineStr">
        <is>
          <t>10.0</t>
        </is>
      </c>
      <c r="J228" s="11" t="inlineStr">
        <is>
          <t>4.8</t>
        </is>
      </c>
      <c r="K228" s="11" t="inlineStr">
        <is>
          <t>732</t>
        </is>
      </c>
      <c r="L228" s="12">
        <f>HYPERLINK("https://map.naver.com/v5/search/35.548371,128.890244","📍 네이버")</f>
        <v/>
      </c>
      <c r="M228" s="12">
        <f>HYPERLINK("https://map.kakao.com/link/map/P149-2,35.548371,128.890244","📍 카카오")</f>
        <v/>
      </c>
    </row>
    <row r="229">
      <c r="A229" s="10" t="inlineStr">
        <is>
          <t>#149</t>
        </is>
      </c>
      <c r="B229" s="11" t="n">
        <v>3</v>
      </c>
      <c r="C229" s="11" t="n">
        <v>35.565882</v>
      </c>
      <c r="D229" s="11" t="n">
        <v>128.934683</v>
      </c>
      <c r="E229" s="10" t="n">
        <v>88.90000000000001</v>
      </c>
      <c r="F229" s="11" t="inlineStr">
        <is>
          <t>11.2</t>
        </is>
      </c>
      <c r="G229" s="11" t="inlineStr">
        <is>
          <t>14.3</t>
        </is>
      </c>
      <c r="H229" s="11" t="inlineStr">
        <is>
          <t>14.3</t>
        </is>
      </c>
      <c r="I229" s="11" t="inlineStr">
        <is>
          <t>10.0</t>
        </is>
      </c>
      <c r="J229" s="11" t="inlineStr">
        <is>
          <t>3.6</t>
        </is>
      </c>
      <c r="K229" s="11" t="inlineStr">
        <is>
          <t>701</t>
        </is>
      </c>
      <c r="L229" s="12">
        <f>HYPERLINK("https://map.naver.com/v5/search/35.565882,128.934683","📍 네이버")</f>
        <v/>
      </c>
      <c r="M229" s="12">
        <f>HYPERLINK("https://map.kakao.com/link/map/P149-3,35.565882,128.934683","📍 카카오")</f>
        <v/>
      </c>
    </row>
    <row r="230">
      <c r="A230" s="10" t="inlineStr">
        <is>
          <t>#149</t>
        </is>
      </c>
      <c r="B230" s="11" t="n">
        <v>4</v>
      </c>
      <c r="C230" s="11" t="n">
        <v>35.557128</v>
      </c>
      <c r="D230" s="11" t="n">
        <v>128.912461</v>
      </c>
      <c r="E230" s="10" t="n">
        <v>87.59999999999999</v>
      </c>
      <c r="F230" s="11" t="inlineStr">
        <is>
          <t>9.7</t>
        </is>
      </c>
      <c r="G230" s="11" t="inlineStr">
        <is>
          <t>13.7</t>
        </is>
      </c>
      <c r="H230" s="11" t="inlineStr">
        <is>
          <t>14.7</t>
        </is>
      </c>
      <c r="I230" s="11" t="inlineStr">
        <is>
          <t>10.0</t>
        </is>
      </c>
      <c r="J230" s="11" t="inlineStr">
        <is>
          <t>4.4</t>
        </is>
      </c>
      <c r="K230" s="11" t="inlineStr">
        <is>
          <t>463</t>
        </is>
      </c>
      <c r="L230" s="12">
        <f>HYPERLINK("https://map.naver.com/v5/search/35.557128,128.912461","📍 네이버")</f>
        <v/>
      </c>
      <c r="M230" s="12">
        <f>HYPERLINK("https://map.kakao.com/link/map/P149-4,35.557128,128.912461","📍 카카오")</f>
        <v/>
      </c>
    </row>
    <row r="231">
      <c r="A231" s="10" t="inlineStr">
        <is>
          <t>#149</t>
        </is>
      </c>
      <c r="B231" s="11" t="n">
        <v>5</v>
      </c>
      <c r="C231" s="11" t="n">
        <v>35.548243</v>
      </c>
      <c r="D231" s="11" t="n">
        <v>128.901273</v>
      </c>
      <c r="E231" s="10" t="n">
        <v>87.40000000000001</v>
      </c>
      <c r="F231" s="11" t="inlineStr">
        <is>
          <t>12.7</t>
        </is>
      </c>
      <c r="G231" s="11" t="inlineStr">
        <is>
          <t>12.7</t>
        </is>
      </c>
      <c r="H231" s="11" t="inlineStr">
        <is>
          <t>14.5</t>
        </is>
      </c>
      <c r="I231" s="11" t="inlineStr">
        <is>
          <t>8.0</t>
        </is>
      </c>
      <c r="J231" s="11" t="inlineStr">
        <is>
          <t>4.6</t>
        </is>
      </c>
      <c r="K231" s="11" t="inlineStr">
        <is>
          <t>681</t>
        </is>
      </c>
      <c r="L231" s="12">
        <f>HYPERLINK("https://map.naver.com/v5/search/35.548243,128.901273","📍 네이버")</f>
        <v/>
      </c>
      <c r="M231" s="12">
        <f>HYPERLINK("https://map.kakao.com/link/map/P149-5,35.548243,128.901273","📍 카카오")</f>
        <v/>
      </c>
    </row>
    <row r="232">
      <c r="A232" s="7" t="inlineStr">
        <is>
          <t>#150</t>
        </is>
      </c>
      <c r="B232" s="8" t="n">
        <v>1</v>
      </c>
      <c r="C232" s="8" t="n">
        <v>37.044624</v>
      </c>
      <c r="D232" s="8" t="n">
        <v>128.905815</v>
      </c>
      <c r="E232" s="7" t="n">
        <v>95.8</v>
      </c>
      <c r="F232" s="8" t="inlineStr">
        <is>
          <t>13.1</t>
        </is>
      </c>
      <c r="G232" s="8" t="inlineStr">
        <is>
          <t>14.6</t>
        </is>
      </c>
      <c r="H232" s="8" t="inlineStr">
        <is>
          <t>15.0</t>
        </is>
      </c>
      <c r="I232" s="8" t="inlineStr">
        <is>
          <t>10.0</t>
        </is>
      </c>
      <c r="J232" s="8" t="inlineStr">
        <is>
          <t>4.8</t>
        </is>
      </c>
      <c r="K232" s="8" t="inlineStr">
        <is>
          <t>1496</t>
        </is>
      </c>
      <c r="L232" s="9">
        <f>HYPERLINK("https://map.naver.com/v5/search/37.044624,128.905815","📍 네이버")</f>
        <v/>
      </c>
      <c r="M232" s="9">
        <f>HYPERLINK("https://map.kakao.com/link/map/P150-1,37.044624,128.905815","📍 카카오")</f>
        <v/>
      </c>
    </row>
    <row r="233">
      <c r="A233" s="10" t="inlineStr">
        <is>
          <t>#150</t>
        </is>
      </c>
      <c r="B233" s="11" t="n">
        <v>2</v>
      </c>
      <c r="C233" s="11" t="n">
        <v>37.035613</v>
      </c>
      <c r="D233" s="11" t="n">
        <v>128.905649</v>
      </c>
      <c r="E233" s="10" t="n">
        <v>93.3</v>
      </c>
      <c r="F233" s="11" t="inlineStr">
        <is>
          <t>11.8</t>
        </is>
      </c>
      <c r="G233" s="11" t="inlineStr">
        <is>
          <t>14.5</t>
        </is>
      </c>
      <c r="H233" s="11" t="inlineStr">
        <is>
          <t>14.9</t>
        </is>
      </c>
      <c r="I233" s="11" t="inlineStr">
        <is>
          <t>10.0</t>
        </is>
      </c>
      <c r="J233" s="11" t="inlineStr">
        <is>
          <t>4.8</t>
        </is>
      </c>
      <c r="K233" s="11" t="inlineStr">
        <is>
          <t>1746</t>
        </is>
      </c>
      <c r="L233" s="12">
        <f>HYPERLINK("https://map.naver.com/v5/search/37.035613,128.905649","📍 네이버")</f>
        <v/>
      </c>
      <c r="M233" s="12">
        <f>HYPERLINK("https://map.kakao.com/link/map/P150-2,37.035613,128.905649","📍 카카오")</f>
        <v/>
      </c>
    </row>
    <row r="234">
      <c r="A234" s="10" t="inlineStr">
        <is>
          <t>#150</t>
        </is>
      </c>
      <c r="B234" s="11" t="n">
        <v>3</v>
      </c>
      <c r="C234" s="11" t="n">
        <v>37.053367</v>
      </c>
      <c r="D234" s="11" t="n">
        <v>128.928468</v>
      </c>
      <c r="E234" s="10" t="n">
        <v>91.90000000000001</v>
      </c>
      <c r="F234" s="11" t="inlineStr">
        <is>
          <t>12.2</t>
        </is>
      </c>
      <c r="G234" s="11" t="inlineStr">
        <is>
          <t>14.2</t>
        </is>
      </c>
      <c r="H234" s="11" t="inlineStr">
        <is>
          <t>14.3</t>
        </is>
      </c>
      <c r="I234" s="11" t="inlineStr">
        <is>
          <t>10.0</t>
        </is>
      </c>
      <c r="J234" s="11" t="inlineStr">
        <is>
          <t>4.5</t>
        </is>
      </c>
      <c r="K234" s="11" t="inlineStr">
        <is>
          <t>1172</t>
        </is>
      </c>
      <c r="L234" s="12">
        <f>HYPERLINK("https://map.naver.com/v5/search/37.053367,128.928468","📍 네이버")</f>
        <v/>
      </c>
      <c r="M234" s="12">
        <f>HYPERLINK("https://map.kakao.com/link/map/P150-3,37.053367,128.928468","📍 카카오")</f>
        <v/>
      </c>
    </row>
    <row r="235">
      <c r="A235" s="10" t="inlineStr">
        <is>
          <t>#150</t>
        </is>
      </c>
      <c r="B235" s="11" t="n">
        <v>4</v>
      </c>
      <c r="C235" s="11" t="n">
        <v>37.053502</v>
      </c>
      <c r="D235" s="11" t="n">
        <v>128.917225</v>
      </c>
      <c r="E235" s="10" t="n">
        <v>91.7</v>
      </c>
      <c r="F235" s="11" t="inlineStr">
        <is>
          <t>11.3</t>
        </is>
      </c>
      <c r="G235" s="11" t="inlineStr">
        <is>
          <t>14.4</t>
        </is>
      </c>
      <c r="H235" s="11" t="inlineStr">
        <is>
          <t>14.7</t>
        </is>
      </c>
      <c r="I235" s="11" t="inlineStr">
        <is>
          <t>10.0</t>
        </is>
      </c>
      <c r="J235" s="11" t="inlineStr">
        <is>
          <t>4.7</t>
        </is>
      </c>
      <c r="K235" s="11" t="inlineStr">
        <is>
          <t>1200</t>
        </is>
      </c>
      <c r="L235" s="12">
        <f>HYPERLINK("https://map.naver.com/v5/search/37.053502,128.917225","📍 네이버")</f>
        <v/>
      </c>
      <c r="M235" s="12">
        <f>HYPERLINK("https://map.kakao.com/link/map/P150-4,37.053502,128.917225","📍 카카오")</f>
        <v/>
      </c>
    </row>
    <row r="236">
      <c r="A236" s="10" t="inlineStr">
        <is>
          <t>#150</t>
        </is>
      </c>
      <c r="B236" s="11" t="n">
        <v>5</v>
      </c>
      <c r="C236" s="11" t="n">
        <v>37.026467</v>
      </c>
      <c r="D236" s="11" t="n">
        <v>128.916722</v>
      </c>
      <c r="E236" s="10" t="n">
        <v>90.5</v>
      </c>
      <c r="F236" s="11" t="inlineStr">
        <is>
          <t>10.7</t>
        </is>
      </c>
      <c r="G236" s="11" t="inlineStr">
        <is>
          <t>14.3</t>
        </is>
      </c>
      <c r="H236" s="11" t="inlineStr">
        <is>
          <t>14.5</t>
        </is>
      </c>
      <c r="I236" s="11" t="inlineStr">
        <is>
          <t>10.0</t>
        </is>
      </c>
      <c r="J236" s="11" t="inlineStr">
        <is>
          <t>4.8</t>
        </is>
      </c>
      <c r="K236" s="11" t="inlineStr">
        <is>
          <t>1602</t>
        </is>
      </c>
      <c r="L236" s="12">
        <f>HYPERLINK("https://map.naver.com/v5/search/37.026467,128.916722","📍 네이버")</f>
        <v/>
      </c>
      <c r="M236" s="12">
        <f>HYPERLINK("https://map.kakao.com/link/map/P150-5,37.026467,128.916722","📍 카카오")</f>
        <v/>
      </c>
    </row>
    <row r="237">
      <c r="A237" s="7" t="inlineStr">
        <is>
          <t>#152</t>
        </is>
      </c>
      <c r="B237" s="8" t="n">
        <v>1</v>
      </c>
      <c r="C237" s="8" t="n">
        <v>37.386786</v>
      </c>
      <c r="D237" s="8" t="n">
        <v>128.934764</v>
      </c>
      <c r="E237" s="7" t="n">
        <v>94.59999999999999</v>
      </c>
      <c r="F237" s="8" t="inlineStr">
        <is>
          <t>13.5</t>
        </is>
      </c>
      <c r="G237" s="8" t="inlineStr">
        <is>
          <t>14.8</t>
        </is>
      </c>
      <c r="H237" s="8" t="inlineStr">
        <is>
          <t>14.3</t>
        </is>
      </c>
      <c r="I237" s="8" t="inlineStr">
        <is>
          <t>10.0</t>
        </is>
      </c>
      <c r="J237" s="8" t="inlineStr">
        <is>
          <t>4.2</t>
        </is>
      </c>
      <c r="K237" s="8" t="inlineStr">
        <is>
          <t>252</t>
        </is>
      </c>
      <c r="L237" s="9">
        <f>HYPERLINK("https://map.naver.com/v5/search/37.386786,128.934764","📍 네이버")</f>
        <v/>
      </c>
      <c r="M237" s="9">
        <f>HYPERLINK("https://map.kakao.com/link/map/P152-1,37.386786,128.934764","📍 카카오")</f>
        <v/>
      </c>
    </row>
    <row r="238">
      <c r="A238" s="10" t="inlineStr">
        <is>
          <t>#152</t>
        </is>
      </c>
      <c r="B238" s="11" t="n">
        <v>2</v>
      </c>
      <c r="C238" s="11" t="n">
        <v>37.377219</v>
      </c>
      <c r="D238" s="11" t="n">
        <v>128.979758</v>
      </c>
      <c r="E238" s="10" t="n">
        <v>90.90000000000001</v>
      </c>
      <c r="F238" s="11" t="inlineStr">
        <is>
          <t>11.9</t>
        </is>
      </c>
      <c r="G238" s="11" t="inlineStr">
        <is>
          <t>14.4</t>
        </is>
      </c>
      <c r="H238" s="11" t="inlineStr">
        <is>
          <t>13.5</t>
        </is>
      </c>
      <c r="I238" s="11" t="inlineStr">
        <is>
          <t>10.0</t>
        </is>
      </c>
      <c r="J238" s="11" t="inlineStr">
        <is>
          <t>4.8</t>
        </is>
      </c>
      <c r="K238" s="11" t="inlineStr">
        <is>
          <t>1982</t>
        </is>
      </c>
      <c r="L238" s="12">
        <f>HYPERLINK("https://map.naver.com/v5/search/37.377219,128.979758","📍 네이버")</f>
        <v/>
      </c>
      <c r="M238" s="12">
        <f>HYPERLINK("https://map.kakao.com/link/map/P152-2,37.377219,128.979758","📍 카카오")</f>
        <v/>
      </c>
    </row>
    <row r="239">
      <c r="A239" s="10" t="inlineStr">
        <is>
          <t>#152</t>
        </is>
      </c>
      <c r="B239" s="11" t="n">
        <v>3</v>
      </c>
      <c r="C239" s="11" t="n">
        <v>37.359338</v>
      </c>
      <c r="D239" s="11" t="n">
        <v>128.968116</v>
      </c>
      <c r="E239" s="10" t="n">
        <v>90.5</v>
      </c>
      <c r="F239" s="11" t="inlineStr">
        <is>
          <t>11.0</t>
        </is>
      </c>
      <c r="G239" s="11" t="inlineStr">
        <is>
          <t>14.4</t>
        </is>
      </c>
      <c r="H239" s="11" t="inlineStr">
        <is>
          <t>14.4</t>
        </is>
      </c>
      <c r="I239" s="11" t="inlineStr">
        <is>
          <t>10.0</t>
        </is>
      </c>
      <c r="J239" s="11" t="inlineStr">
        <is>
          <t>4.5</t>
        </is>
      </c>
      <c r="K239" s="11" t="inlineStr">
        <is>
          <t>1491</t>
        </is>
      </c>
      <c r="L239" s="12">
        <f>HYPERLINK("https://map.naver.com/v5/search/37.359338,128.968116","📍 네이버")</f>
        <v/>
      </c>
      <c r="M239" s="12">
        <f>HYPERLINK("https://map.kakao.com/link/map/P152-3,37.359338,128.968116","📍 카카오")</f>
        <v/>
      </c>
    </row>
    <row r="240">
      <c r="A240" s="10" t="inlineStr">
        <is>
          <t>#152</t>
        </is>
      </c>
      <c r="B240" s="11" t="n">
        <v>4</v>
      </c>
      <c r="C240" s="11" t="n">
        <v>37.394955</v>
      </c>
      <c r="D240" s="11" t="n">
        <v>129.0027</v>
      </c>
      <c r="E240" s="10" t="n">
        <v>90.40000000000001</v>
      </c>
      <c r="F240" s="11" t="inlineStr">
        <is>
          <t>12.4</t>
        </is>
      </c>
      <c r="G240" s="11" t="inlineStr">
        <is>
          <t>14.5</t>
        </is>
      </c>
      <c r="H240" s="11" t="inlineStr">
        <is>
          <t>12.7</t>
        </is>
      </c>
      <c r="I240" s="11" t="inlineStr">
        <is>
          <t>10.0</t>
        </is>
      </c>
      <c r="J240" s="11" t="inlineStr">
        <is>
          <t>4.6</t>
        </is>
      </c>
      <c r="K240" s="11" t="inlineStr">
        <is>
          <t>851</t>
        </is>
      </c>
      <c r="L240" s="12">
        <f>HYPERLINK("https://map.naver.com/v5/search/37.394955,129.0027","📍 네이버")</f>
        <v/>
      </c>
      <c r="M240" s="12">
        <f>HYPERLINK("https://map.kakao.com/link/map/P152-4,37.394955,129.0027","📍 카카오")</f>
        <v/>
      </c>
    </row>
    <row r="241">
      <c r="A241" s="10" t="inlineStr">
        <is>
          <t>#152</t>
        </is>
      </c>
      <c r="B241" s="11" t="n">
        <v>5</v>
      </c>
      <c r="C241" s="11" t="n">
        <v>37.368208</v>
      </c>
      <c r="D241" s="11" t="n">
        <v>128.979581</v>
      </c>
      <c r="E241" s="10" t="n">
        <v>90.40000000000001</v>
      </c>
      <c r="F241" s="11" t="inlineStr">
        <is>
          <t>11.1</t>
        </is>
      </c>
      <c r="G241" s="11" t="inlineStr">
        <is>
          <t>14.3</t>
        </is>
      </c>
      <c r="H241" s="11" t="inlineStr">
        <is>
          <t>14.4</t>
        </is>
      </c>
      <c r="I241" s="11" t="inlineStr">
        <is>
          <t>10.0</t>
        </is>
      </c>
      <c r="J241" s="11" t="inlineStr">
        <is>
          <t>4.4</t>
        </is>
      </c>
      <c r="K241" s="11" t="inlineStr">
        <is>
          <t>1427</t>
        </is>
      </c>
      <c r="L241" s="12">
        <f>HYPERLINK("https://map.naver.com/v5/search/37.368208,128.979581","📍 네이버")</f>
        <v/>
      </c>
      <c r="M241" s="12">
        <f>HYPERLINK("https://map.kakao.com/link/map/P152-5,37.368208,128.979581","📍 카카오")</f>
        <v/>
      </c>
    </row>
    <row r="242">
      <c r="A242" s="7" t="inlineStr">
        <is>
          <t>#154</t>
        </is>
      </c>
      <c r="B242" s="8" t="n">
        <v>1</v>
      </c>
      <c r="C242" s="8" t="n">
        <v>35.537617</v>
      </c>
      <c r="D242" s="8" t="n">
        <v>129.033447</v>
      </c>
      <c r="E242" s="7" t="n">
        <v>90.90000000000001</v>
      </c>
      <c r="F242" s="8" t="inlineStr">
        <is>
          <t>11.8</t>
        </is>
      </c>
      <c r="G242" s="8" t="inlineStr">
        <is>
          <t>14.5</t>
        </is>
      </c>
      <c r="H242" s="8" t="inlineStr">
        <is>
          <t>13.9</t>
        </is>
      </c>
      <c r="I242" s="8" t="inlineStr">
        <is>
          <t>10.0</t>
        </is>
      </c>
      <c r="J242" s="8" t="inlineStr">
        <is>
          <t>4.3</t>
        </is>
      </c>
      <c r="K242" s="8" t="inlineStr">
        <is>
          <t>1317</t>
        </is>
      </c>
      <c r="L242" s="9">
        <f>HYPERLINK("https://map.naver.com/v5/search/35.537617,129.033447","📍 네이버")</f>
        <v/>
      </c>
      <c r="M242" s="9">
        <f>HYPERLINK("https://map.kakao.com/link/map/P154-1,35.537617,129.033447","📍 카카오")</f>
        <v/>
      </c>
    </row>
    <row r="243">
      <c r="A243" s="10" t="inlineStr">
        <is>
          <t>#154</t>
        </is>
      </c>
      <c r="B243" s="11" t="n">
        <v>2</v>
      </c>
      <c r="C243" s="11" t="n">
        <v>35.51945</v>
      </c>
      <c r="D243" s="11" t="n">
        <v>129.044129</v>
      </c>
      <c r="E243" s="10" t="n">
        <v>90.2</v>
      </c>
      <c r="F243" s="11" t="inlineStr">
        <is>
          <t>10.7</t>
        </is>
      </c>
      <c r="G243" s="11" t="inlineStr">
        <is>
          <t>13.9</t>
        </is>
      </c>
      <c r="H243" s="11" t="inlineStr">
        <is>
          <t>14.6</t>
        </is>
      </c>
      <c r="I243" s="11" t="inlineStr">
        <is>
          <t>10.0</t>
        </is>
      </c>
      <c r="J243" s="11" t="inlineStr">
        <is>
          <t>4.8</t>
        </is>
      </c>
      <c r="K243" s="11" t="inlineStr">
        <is>
          <t>1784</t>
        </is>
      </c>
      <c r="L243" s="12">
        <f>HYPERLINK("https://map.naver.com/v5/search/35.51945,129.044129","📍 네이버")</f>
        <v/>
      </c>
      <c r="M243" s="12">
        <f>HYPERLINK("https://map.kakao.com/link/map/P154-2,35.51945,129.044129","📍 카카오")</f>
        <v/>
      </c>
    </row>
    <row r="244">
      <c r="A244" s="10" t="inlineStr">
        <is>
          <t>#154</t>
        </is>
      </c>
      <c r="B244" s="11" t="n">
        <v>3</v>
      </c>
      <c r="C244" s="11" t="n">
        <v>35.528463</v>
      </c>
      <c r="D244" s="11" t="n">
        <v>129.044302</v>
      </c>
      <c r="E244" s="10" t="n">
        <v>90.09999999999999</v>
      </c>
      <c r="F244" s="11" t="inlineStr">
        <is>
          <t>10.6</t>
        </is>
      </c>
      <c r="G244" s="11" t="inlineStr">
        <is>
          <t>14.0</t>
        </is>
      </c>
      <c r="H244" s="11" t="inlineStr">
        <is>
          <t>14.7</t>
        </is>
      </c>
      <c r="I244" s="11" t="inlineStr">
        <is>
          <t>10.0</t>
        </is>
      </c>
      <c r="J244" s="11" t="inlineStr">
        <is>
          <t>4.7</t>
        </is>
      </c>
      <c r="K244" s="11" t="inlineStr">
        <is>
          <t>1616</t>
        </is>
      </c>
      <c r="L244" s="12">
        <f>HYPERLINK("https://map.naver.com/v5/search/35.528463,129.044302","📍 네이버")</f>
        <v/>
      </c>
      <c r="M244" s="12">
        <f>HYPERLINK("https://map.kakao.com/link/map/P154-3,35.528463,129.044302","📍 카카오")</f>
        <v/>
      </c>
    </row>
    <row r="245">
      <c r="A245" s="10" t="inlineStr">
        <is>
          <t>#154</t>
        </is>
      </c>
      <c r="B245" s="11" t="n">
        <v>4</v>
      </c>
      <c r="C245" s="11" t="n">
        <v>35.51959</v>
      </c>
      <c r="D245" s="11" t="n">
        <v>129.033104</v>
      </c>
      <c r="E245" s="10" t="n">
        <v>89.3</v>
      </c>
      <c r="F245" s="11" t="inlineStr">
        <is>
          <t>9.8</t>
        </is>
      </c>
      <c r="G245" s="11" t="inlineStr">
        <is>
          <t>14.2</t>
        </is>
      </c>
      <c r="H245" s="11" t="inlineStr">
        <is>
          <t>15.0</t>
        </is>
      </c>
      <c r="I245" s="11" t="inlineStr">
        <is>
          <t>10.0</t>
        </is>
      </c>
      <c r="J245" s="11" t="inlineStr">
        <is>
          <t>4.6</t>
        </is>
      </c>
      <c r="K245" s="11" t="inlineStr">
        <is>
          <t>967</t>
        </is>
      </c>
      <c r="L245" s="12">
        <f>HYPERLINK("https://map.naver.com/v5/search/35.51959,129.033104","📍 네이버")</f>
        <v/>
      </c>
      <c r="M245" s="12">
        <f>HYPERLINK("https://map.kakao.com/link/map/P154-4,35.51959,129.033104","📍 카카오")</f>
        <v/>
      </c>
    </row>
    <row r="246">
      <c r="A246" s="10" t="inlineStr">
        <is>
          <t>#154</t>
        </is>
      </c>
      <c r="B246" s="11" t="n">
        <v>5</v>
      </c>
      <c r="C246" s="11" t="n">
        <v>35.51973</v>
      </c>
      <c r="D246" s="11" t="n">
        <v>129.022079</v>
      </c>
      <c r="E246" s="10" t="n">
        <v>89</v>
      </c>
      <c r="F246" s="11" t="inlineStr">
        <is>
          <t>10.4</t>
        </is>
      </c>
      <c r="G246" s="11" t="inlineStr">
        <is>
          <t>14.3</t>
        </is>
      </c>
      <c r="H246" s="11" t="inlineStr">
        <is>
          <t>14.6</t>
        </is>
      </c>
      <c r="I246" s="11" t="inlineStr">
        <is>
          <t>10.0</t>
        </is>
      </c>
      <c r="J246" s="11" t="inlineStr">
        <is>
          <t>4.1</t>
        </is>
      </c>
      <c r="K246" s="11" t="inlineStr">
        <is>
          <t>423</t>
        </is>
      </c>
      <c r="L246" s="12">
        <f>HYPERLINK("https://map.naver.com/v5/search/35.51973,129.022079","📍 네이버")</f>
        <v/>
      </c>
      <c r="M246" s="12">
        <f>HYPERLINK("https://map.kakao.com/link/map/P154-5,35.51973,129.022079","📍 카카오")</f>
        <v/>
      </c>
    </row>
    <row r="247">
      <c r="A247" s="7" t="inlineStr">
        <is>
          <t>#155</t>
        </is>
      </c>
      <c r="B247" s="8" t="n">
        <v>1</v>
      </c>
      <c r="C247" s="8" t="n">
        <v>35.663807</v>
      </c>
      <c r="D247" s="8" t="n">
        <v>129.035857</v>
      </c>
      <c r="E247" s="7" t="n">
        <v>93.09999999999999</v>
      </c>
      <c r="F247" s="8" t="inlineStr">
        <is>
          <t>11.9</t>
        </is>
      </c>
      <c r="G247" s="8" t="inlineStr">
        <is>
          <t>14.1</t>
        </is>
      </c>
      <c r="H247" s="8" t="inlineStr">
        <is>
          <t>14.9</t>
        </is>
      </c>
      <c r="I247" s="8" t="inlineStr">
        <is>
          <t>10.0</t>
        </is>
      </c>
      <c r="J247" s="8" t="inlineStr">
        <is>
          <t>4.9</t>
        </is>
      </c>
      <c r="K247" s="8" t="inlineStr">
        <is>
          <t>1115</t>
        </is>
      </c>
      <c r="L247" s="9">
        <f>HYPERLINK("https://map.naver.com/v5/search/35.663807,129.035857","📍 네이버")</f>
        <v/>
      </c>
      <c r="M247" s="9">
        <f>HYPERLINK("https://map.kakao.com/link/map/P155-1,35.663807,129.035857","📍 카카오")</f>
        <v/>
      </c>
    </row>
    <row r="248">
      <c r="A248" s="10" t="inlineStr">
        <is>
          <t>#155</t>
        </is>
      </c>
      <c r="B248" s="11" t="n">
        <v>2</v>
      </c>
      <c r="C248" s="11" t="n">
        <v>35.64578</v>
      </c>
      <c r="D248" s="11" t="n">
        <v>129.035512</v>
      </c>
      <c r="E248" s="10" t="n">
        <v>93</v>
      </c>
      <c r="F248" s="11" t="inlineStr">
        <is>
          <t>11.8</t>
        </is>
      </c>
      <c r="G248" s="11" t="inlineStr">
        <is>
          <t>14.3</t>
        </is>
      </c>
      <c r="H248" s="11" t="inlineStr">
        <is>
          <t>14.9</t>
        </is>
      </c>
      <c r="I248" s="11" t="inlineStr">
        <is>
          <t>10.0</t>
        </is>
      </c>
      <c r="J248" s="11" t="inlineStr">
        <is>
          <t>4.9</t>
        </is>
      </c>
      <c r="K248" s="11" t="inlineStr">
        <is>
          <t>66</t>
        </is>
      </c>
      <c r="L248" s="12">
        <f>HYPERLINK("https://map.naver.com/v5/search/35.64578,129.035512","📍 네이버")</f>
        <v/>
      </c>
      <c r="M248" s="12">
        <f>HYPERLINK("https://map.kakao.com/link/map/P155-2,35.64578,129.035512","📍 카카오")</f>
        <v/>
      </c>
    </row>
    <row r="249">
      <c r="A249" s="10" t="inlineStr">
        <is>
          <t>#155</t>
        </is>
      </c>
      <c r="B249" s="11" t="n">
        <v>3</v>
      </c>
      <c r="C249" s="11" t="n">
        <v>35.65451</v>
      </c>
      <c r="D249" s="11" t="n">
        <v>129.057771</v>
      </c>
      <c r="E249" s="10" t="n">
        <v>90.5</v>
      </c>
      <c r="F249" s="11" t="inlineStr">
        <is>
          <t>11.8</t>
        </is>
      </c>
      <c r="G249" s="11" t="inlineStr">
        <is>
          <t>13.8</t>
        </is>
      </c>
      <c r="H249" s="11" t="inlineStr">
        <is>
          <t>14.6</t>
        </is>
      </c>
      <c r="I249" s="11" t="inlineStr">
        <is>
          <t>10.0</t>
        </is>
      </c>
      <c r="J249" s="11" t="inlineStr">
        <is>
          <t>4.1</t>
        </is>
      </c>
      <c r="K249" s="11" t="inlineStr">
        <is>
          <t>6</t>
        </is>
      </c>
      <c r="L249" s="12">
        <f>HYPERLINK("https://map.naver.com/v5/search/35.65451,129.057771","📍 네이버")</f>
        <v/>
      </c>
      <c r="M249" s="12">
        <f>HYPERLINK("https://map.kakao.com/link/map/P155-3,35.65451,129.057771","📍 카카오")</f>
        <v/>
      </c>
    </row>
    <row r="250">
      <c r="A250" s="10" t="inlineStr">
        <is>
          <t>#155</t>
        </is>
      </c>
      <c r="B250" s="11" t="n">
        <v>4</v>
      </c>
      <c r="C250" s="11" t="n">
        <v>35.663523</v>
      </c>
      <c r="D250" s="11" t="n">
        <v>129.057947</v>
      </c>
      <c r="E250" s="10" t="n">
        <v>90.3</v>
      </c>
      <c r="F250" s="11" t="inlineStr">
        <is>
          <t>11.8</t>
        </is>
      </c>
      <c r="G250" s="11" t="inlineStr">
        <is>
          <t>13.7</t>
        </is>
      </c>
      <c r="H250" s="11" t="inlineStr">
        <is>
          <t>14.3</t>
        </is>
      </c>
      <c r="I250" s="11" t="inlineStr">
        <is>
          <t>10.0</t>
        </is>
      </c>
      <c r="J250" s="11" t="inlineStr">
        <is>
          <t>4.4</t>
        </is>
      </c>
      <c r="K250" s="11" t="inlineStr">
        <is>
          <t>37</t>
        </is>
      </c>
      <c r="L250" s="12">
        <f>HYPERLINK("https://map.naver.com/v5/search/35.663523,129.057947","📍 네이버")</f>
        <v/>
      </c>
      <c r="M250" s="12">
        <f>HYPERLINK("https://map.kakao.com/link/map/P155-4,35.663523,129.057947","📍 카카오")</f>
        <v/>
      </c>
    </row>
    <row r="251">
      <c r="A251" s="10" t="inlineStr">
        <is>
          <t>#155</t>
        </is>
      </c>
      <c r="B251" s="11" t="n">
        <v>5</v>
      </c>
      <c r="C251" s="11" t="n">
        <v>35.636767</v>
      </c>
      <c r="D251" s="11" t="n">
        <v>129.03534</v>
      </c>
      <c r="E251" s="10" t="n">
        <v>89.40000000000001</v>
      </c>
      <c r="F251" s="11" t="inlineStr">
        <is>
          <t>9.7</t>
        </is>
      </c>
      <c r="G251" s="11" t="inlineStr">
        <is>
          <t>14.4</t>
        </is>
      </c>
      <c r="H251" s="11" t="inlineStr">
        <is>
          <t>14.9</t>
        </is>
      </c>
      <c r="I251" s="11" t="inlineStr">
        <is>
          <t>10.0</t>
        </is>
      </c>
      <c r="J251" s="11" t="inlineStr">
        <is>
          <t>4.7</t>
        </is>
      </c>
      <c r="K251" s="11" t="inlineStr">
        <is>
          <t>255</t>
        </is>
      </c>
      <c r="L251" s="12">
        <f>HYPERLINK("https://map.naver.com/v5/search/35.636767,129.03534","📍 네이버")</f>
        <v/>
      </c>
      <c r="M251" s="12">
        <f>HYPERLINK("https://map.kakao.com/link/map/P155-5,35.636767,129.03534","📍 카카오")</f>
        <v/>
      </c>
    </row>
    <row r="252">
      <c r="A252" s="7" t="inlineStr">
        <is>
          <t>#156</t>
        </is>
      </c>
      <c r="B252" s="8" t="n">
        <v>1</v>
      </c>
      <c r="C252" s="8" t="n">
        <v>35.754356</v>
      </c>
      <c r="D252" s="8" t="n">
        <v>129.004415</v>
      </c>
      <c r="E252" s="7" t="n">
        <v>92.8</v>
      </c>
      <c r="F252" s="8" t="inlineStr">
        <is>
          <t>14.4</t>
        </is>
      </c>
      <c r="G252" s="8" t="inlineStr">
        <is>
          <t>14.0</t>
        </is>
      </c>
      <c r="H252" s="8" t="inlineStr">
        <is>
          <t>12.4</t>
        </is>
      </c>
      <c r="I252" s="8" t="inlineStr">
        <is>
          <t>10.0</t>
        </is>
      </c>
      <c r="J252" s="8" t="inlineStr">
        <is>
          <t>4.9</t>
        </is>
      </c>
      <c r="K252" s="8" t="inlineStr">
        <is>
          <t>73</t>
        </is>
      </c>
      <c r="L252" s="9">
        <f>HYPERLINK("https://map.naver.com/v5/search/35.754356,129.004415","📍 네이버")</f>
        <v/>
      </c>
      <c r="M252" s="9">
        <f>HYPERLINK("https://map.kakao.com/link/map/P156-1,35.754356,129.004415","📍 카카오")</f>
        <v/>
      </c>
    </row>
    <row r="253">
      <c r="A253" s="10" t="inlineStr">
        <is>
          <t>#156</t>
        </is>
      </c>
      <c r="B253" s="11" t="n">
        <v>2</v>
      </c>
      <c r="C253" s="11" t="n">
        <v>35.736468</v>
      </c>
      <c r="D253" s="11" t="n">
        <v>128.993021</v>
      </c>
      <c r="E253" s="10" t="n">
        <v>91.5</v>
      </c>
      <c r="F253" s="11" t="inlineStr">
        <is>
          <t>12.4</t>
        </is>
      </c>
      <c r="G253" s="11" t="inlineStr">
        <is>
          <t>13.3</t>
        </is>
      </c>
      <c r="H253" s="11" t="inlineStr">
        <is>
          <t>14.2</t>
        </is>
      </c>
      <c r="I253" s="11" t="inlineStr">
        <is>
          <t>10.0</t>
        </is>
      </c>
      <c r="J253" s="11" t="inlineStr">
        <is>
          <t>4.9</t>
        </is>
      </c>
      <c r="K253" s="11" t="inlineStr">
        <is>
          <t>1267</t>
        </is>
      </c>
      <c r="L253" s="12">
        <f>HYPERLINK("https://map.naver.com/v5/search/35.736468,128.993021","📍 네이버")</f>
        <v/>
      </c>
      <c r="M253" s="12">
        <f>HYPERLINK("https://map.kakao.com/link/map/P156-2,35.736468,128.993021","📍 카카오")</f>
        <v/>
      </c>
    </row>
    <row r="254">
      <c r="A254" s="10" t="inlineStr">
        <is>
          <t>#156</t>
        </is>
      </c>
      <c r="B254" s="11" t="n">
        <v>3</v>
      </c>
      <c r="C254" s="11" t="n">
        <v>35.780976</v>
      </c>
      <c r="D254" s="11" t="n">
        <v>129.038107</v>
      </c>
      <c r="E254" s="10" t="n">
        <v>91.2</v>
      </c>
      <c r="F254" s="11" t="inlineStr">
        <is>
          <t>12.2</t>
        </is>
      </c>
      <c r="G254" s="11" t="inlineStr">
        <is>
          <t>13.5</t>
        </is>
      </c>
      <c r="H254" s="11" t="inlineStr">
        <is>
          <t>14.6</t>
        </is>
      </c>
      <c r="I254" s="11" t="inlineStr">
        <is>
          <t>10.0</t>
        </is>
      </c>
      <c r="J254" s="11" t="inlineStr">
        <is>
          <t>4.4</t>
        </is>
      </c>
      <c r="K254" s="11" t="inlineStr">
        <is>
          <t>796</t>
        </is>
      </c>
      <c r="L254" s="12">
        <f>HYPERLINK("https://map.naver.com/v5/search/35.780976,129.038107","📍 네이버")</f>
        <v/>
      </c>
      <c r="M254" s="12">
        <f>HYPERLINK("https://map.kakao.com/link/map/P156-3,35.780976,129.038107","📍 카카오")</f>
        <v/>
      </c>
    </row>
    <row r="255">
      <c r="A255" s="10" t="inlineStr">
        <is>
          <t>#156</t>
        </is>
      </c>
      <c r="B255" s="11" t="n">
        <v>4</v>
      </c>
      <c r="C255" s="11" t="n">
        <v>35.745481</v>
      </c>
      <c r="D255" s="11" t="n">
        <v>128.993189</v>
      </c>
      <c r="E255" s="10" t="n">
        <v>90.2</v>
      </c>
      <c r="F255" s="11" t="inlineStr">
        <is>
          <t>12.6</t>
        </is>
      </c>
      <c r="G255" s="11" t="inlineStr">
        <is>
          <t>13.8</t>
        </is>
      </c>
      <c r="H255" s="11" t="inlineStr">
        <is>
          <t>12.8</t>
        </is>
      </c>
      <c r="I255" s="11" t="inlineStr">
        <is>
          <t>10.0</t>
        </is>
      </c>
      <c r="J255" s="11" t="inlineStr">
        <is>
          <t>5.0</t>
        </is>
      </c>
      <c r="K255" s="11" t="inlineStr">
        <is>
          <t>786</t>
        </is>
      </c>
      <c r="L255" s="12">
        <f>HYPERLINK("https://map.naver.com/v5/search/35.745481,128.993189","📍 네이버")</f>
        <v/>
      </c>
      <c r="M255" s="12">
        <f>HYPERLINK("https://map.kakao.com/link/map/P156-4,35.745481,128.993189","📍 카카오")</f>
        <v/>
      </c>
    </row>
    <row r="256">
      <c r="A256" s="10" t="inlineStr">
        <is>
          <t>#156</t>
        </is>
      </c>
      <c r="B256" s="11" t="n">
        <v>5</v>
      </c>
      <c r="C256" s="11" t="n">
        <v>35.789989</v>
      </c>
      <c r="D256" s="11" t="n">
        <v>129.038281</v>
      </c>
      <c r="E256" s="10" t="n">
        <v>90.09999999999999</v>
      </c>
      <c r="F256" s="11" t="inlineStr">
        <is>
          <t>12.4</t>
        </is>
      </c>
      <c r="G256" s="11" t="inlineStr">
        <is>
          <t>13.1</t>
        </is>
      </c>
      <c r="H256" s="11" t="inlineStr">
        <is>
          <t>14.0</t>
        </is>
      </c>
      <c r="I256" s="11" t="inlineStr">
        <is>
          <t>10.0</t>
        </is>
      </c>
      <c r="J256" s="11" t="inlineStr">
        <is>
          <t>4.5</t>
        </is>
      </c>
      <c r="K256" s="11" t="inlineStr">
        <is>
          <t>585</t>
        </is>
      </c>
      <c r="L256" s="12">
        <f>HYPERLINK("https://map.naver.com/v5/search/35.789989,129.038281","📍 네이버")</f>
        <v/>
      </c>
      <c r="M256" s="12">
        <f>HYPERLINK("https://map.kakao.com/link/map/P156-5,35.789989,129.038281","📍 카카오")</f>
        <v/>
      </c>
    </row>
    <row r="257">
      <c r="A257" s="7" t="inlineStr">
        <is>
          <t>#157</t>
        </is>
      </c>
      <c r="B257" s="8" t="n">
        <v>1</v>
      </c>
      <c r="C257" s="8" t="n">
        <v>36.132472</v>
      </c>
      <c r="D257" s="8" t="n">
        <v>129.044937</v>
      </c>
      <c r="E257" s="7" t="n">
        <v>92.5</v>
      </c>
      <c r="F257" s="8" t="inlineStr">
        <is>
          <t>12.3</t>
        </is>
      </c>
      <c r="G257" s="8" t="inlineStr">
        <is>
          <t>14.5</t>
        </is>
      </c>
      <c r="H257" s="8" t="inlineStr">
        <is>
          <t>13.8</t>
        </is>
      </c>
      <c r="I257" s="8" t="inlineStr">
        <is>
          <t>10.0</t>
        </is>
      </c>
      <c r="J257" s="8" t="inlineStr">
        <is>
          <t>4.9</t>
        </is>
      </c>
      <c r="K257" s="8" t="inlineStr">
        <is>
          <t>22</t>
        </is>
      </c>
      <c r="L257" s="9">
        <f>HYPERLINK("https://map.naver.com/v5/search/36.132472,129.044937","📍 네이버")</f>
        <v/>
      </c>
      <c r="M257" s="9">
        <f>HYPERLINK("https://map.kakao.com/link/map/P157-1,36.132472,129.044937","📍 카카오")</f>
        <v/>
      </c>
    </row>
    <row r="258">
      <c r="A258" s="10" t="inlineStr">
        <is>
          <t>#157</t>
        </is>
      </c>
      <c r="B258" s="11" t="n">
        <v>2</v>
      </c>
      <c r="C258" s="11" t="n">
        <v>36.114448</v>
      </c>
      <c r="D258" s="11" t="n">
        <v>129.044583</v>
      </c>
      <c r="E258" s="10" t="n">
        <v>92.2</v>
      </c>
      <c r="F258" s="11" t="inlineStr">
        <is>
          <t>11.7</t>
        </is>
      </c>
      <c r="G258" s="11" t="inlineStr">
        <is>
          <t>14.6</t>
        </is>
      </c>
      <c r="H258" s="11" t="inlineStr">
        <is>
          <t>14.3</t>
        </is>
      </c>
      <c r="I258" s="11" t="inlineStr">
        <is>
          <t>10.0</t>
        </is>
      </c>
      <c r="J258" s="11" t="inlineStr">
        <is>
          <t>4.7</t>
        </is>
      </c>
      <c r="K258" s="11" t="inlineStr">
        <is>
          <t>1373</t>
        </is>
      </c>
      <c r="L258" s="12">
        <f>HYPERLINK("https://map.naver.com/v5/search/36.114448,129.044583","📍 네이버")</f>
        <v/>
      </c>
      <c r="M258" s="12">
        <f>HYPERLINK("https://map.kakao.com/link/map/P157-2,36.114448,129.044583","📍 카카오")</f>
        <v/>
      </c>
    </row>
    <row r="259">
      <c r="A259" s="10" t="inlineStr">
        <is>
          <t>#157</t>
        </is>
      </c>
      <c r="B259" s="11" t="n">
        <v>3</v>
      </c>
      <c r="C259" s="11" t="n">
        <v>36.159366</v>
      </c>
      <c r="D259" s="11" t="n">
        <v>129.056581</v>
      </c>
      <c r="E259" s="10" t="n">
        <v>91</v>
      </c>
      <c r="F259" s="11" t="inlineStr">
        <is>
          <t>11.3</t>
        </is>
      </c>
      <c r="G259" s="11" t="inlineStr">
        <is>
          <t>14.1</t>
        </is>
      </c>
      <c r="H259" s="11" t="inlineStr">
        <is>
          <t>14.3</t>
        </is>
      </c>
      <c r="I259" s="11" t="inlineStr">
        <is>
          <t>10.0</t>
        </is>
      </c>
      <c r="J259" s="11" t="inlineStr">
        <is>
          <t>4.9</t>
        </is>
      </c>
      <c r="K259" s="11" t="inlineStr">
        <is>
          <t>1041</t>
        </is>
      </c>
      <c r="L259" s="12">
        <f>HYPERLINK("https://map.naver.com/v5/search/36.159366,129.056581","📍 네이버")</f>
        <v/>
      </c>
      <c r="M259" s="12">
        <f>HYPERLINK("https://map.kakao.com/link/map/P157-3,36.159366,129.056581","📍 카카오")</f>
        <v/>
      </c>
    </row>
    <row r="260">
      <c r="A260" s="10" t="inlineStr">
        <is>
          <t>#157</t>
        </is>
      </c>
      <c r="B260" s="11" t="n">
        <v>4</v>
      </c>
      <c r="C260" s="11" t="n">
        <v>36.150497</v>
      </c>
      <c r="D260" s="11" t="n">
        <v>129.04529</v>
      </c>
      <c r="E260" s="10" t="n">
        <v>90.90000000000001</v>
      </c>
      <c r="F260" s="11" t="inlineStr">
        <is>
          <t>11.2</t>
        </is>
      </c>
      <c r="G260" s="11" t="inlineStr">
        <is>
          <t>14.3</t>
        </is>
      </c>
      <c r="H260" s="11" t="inlineStr">
        <is>
          <t>14.1</t>
        </is>
      </c>
      <c r="I260" s="11" t="inlineStr">
        <is>
          <t>10.0</t>
        </is>
      </c>
      <c r="J260" s="11" t="inlineStr">
        <is>
          <t>4.9</t>
        </is>
      </c>
      <c r="K260" s="11" t="inlineStr">
        <is>
          <t>817</t>
        </is>
      </c>
      <c r="L260" s="12">
        <f>HYPERLINK("https://map.naver.com/v5/search/36.150497,129.04529","📍 네이버")</f>
        <v/>
      </c>
      <c r="M260" s="12">
        <f>HYPERLINK("https://map.kakao.com/link/map/P157-4,36.150497,129.04529","📍 카카오")</f>
        <v/>
      </c>
    </row>
    <row r="261">
      <c r="A261" s="10" t="inlineStr">
        <is>
          <t>#157</t>
        </is>
      </c>
      <c r="B261" s="11" t="n">
        <v>5</v>
      </c>
      <c r="C261" s="11" t="n">
        <v>36.15951</v>
      </c>
      <c r="D261" s="11" t="n">
        <v>129.045467</v>
      </c>
      <c r="E261" s="10" t="n">
        <v>90.7</v>
      </c>
      <c r="F261" s="11" t="inlineStr">
        <is>
          <t>10.3</t>
        </is>
      </c>
      <c r="G261" s="11" t="inlineStr">
        <is>
          <t>14.2</t>
        </is>
      </c>
      <c r="H261" s="11" t="inlineStr">
        <is>
          <t>15.0</t>
        </is>
      </c>
      <c r="I261" s="11" t="inlineStr">
        <is>
          <t>10.0</t>
        </is>
      </c>
      <c r="J261" s="11" t="inlineStr">
        <is>
          <t>4.9</t>
        </is>
      </c>
      <c r="K261" s="11" t="inlineStr">
        <is>
          <t>360</t>
        </is>
      </c>
      <c r="L261" s="12">
        <f>HYPERLINK("https://map.naver.com/v5/search/36.15951,129.045467","📍 네이버")</f>
        <v/>
      </c>
      <c r="M261" s="12">
        <f>HYPERLINK("https://map.kakao.com/link/map/P157-5,36.15951,129.045467","📍 카카오")</f>
        <v/>
      </c>
    </row>
    <row r="262">
      <c r="A262" s="7" t="inlineStr">
        <is>
          <t>#160</t>
        </is>
      </c>
      <c r="B262" s="8" t="n">
        <v>1</v>
      </c>
      <c r="C262" s="8" t="n">
        <v>36.428376</v>
      </c>
      <c r="D262" s="8" t="n">
        <v>129.162328</v>
      </c>
      <c r="E262" s="7" t="n">
        <v>93.8</v>
      </c>
      <c r="F262" s="8" t="inlineStr">
        <is>
          <t>11.4</t>
        </is>
      </c>
      <c r="G262" s="8" t="inlineStr">
        <is>
          <t>15.0</t>
        </is>
      </c>
      <c r="H262" s="8" t="inlineStr">
        <is>
          <t>15.0</t>
        </is>
      </c>
      <c r="I262" s="8" t="inlineStr">
        <is>
          <t>10.0</t>
        </is>
      </c>
      <c r="J262" s="8" t="inlineStr">
        <is>
          <t>4.9</t>
        </is>
      </c>
      <c r="K262" s="8" t="inlineStr">
        <is>
          <t>1428</t>
        </is>
      </c>
      <c r="L262" s="9">
        <f>HYPERLINK("https://map.naver.com/v5/search/36.428376,129.162328","📍 네이버")</f>
        <v/>
      </c>
      <c r="M262" s="9">
        <f>HYPERLINK("https://map.kakao.com/link/map/P160-1,36.428376,129.162328","📍 카카오")</f>
        <v/>
      </c>
    </row>
    <row r="263">
      <c r="A263" s="10" t="inlineStr">
        <is>
          <t>#160</t>
        </is>
      </c>
      <c r="B263" s="11" t="n">
        <v>2</v>
      </c>
      <c r="C263" s="11" t="n">
        <v>36.437388</v>
      </c>
      <c r="D263" s="11" t="n">
        <v>129.16252</v>
      </c>
      <c r="E263" s="10" t="n">
        <v>91.09999999999999</v>
      </c>
      <c r="F263" s="11" t="inlineStr">
        <is>
          <t>9.9</t>
        </is>
      </c>
      <c r="G263" s="11" t="inlineStr">
        <is>
          <t>15.0</t>
        </is>
      </c>
      <c r="H263" s="11" t="inlineStr">
        <is>
          <t>14.7</t>
        </is>
      </c>
      <c r="I263" s="11" t="inlineStr">
        <is>
          <t>10.0</t>
        </is>
      </c>
      <c r="J263" s="11" t="inlineStr">
        <is>
          <t>5.0</t>
        </is>
      </c>
      <c r="K263" s="11" t="inlineStr">
        <is>
          <t>1016</t>
        </is>
      </c>
      <c r="L263" s="12">
        <f>HYPERLINK("https://map.naver.com/v5/search/36.437388,129.16252","📍 네이버")</f>
        <v/>
      </c>
      <c r="M263" s="12">
        <f>HYPERLINK("https://map.kakao.com/link/map/P160-2,36.437388,129.16252","📍 카카오")</f>
        <v/>
      </c>
    </row>
    <row r="264">
      <c r="A264" s="10" t="inlineStr">
        <is>
          <t>#160</t>
        </is>
      </c>
      <c r="B264" s="11" t="n">
        <v>3</v>
      </c>
      <c r="C264" s="11" t="n">
        <v>36.428837</v>
      </c>
      <c r="D264" s="11" t="n">
        <v>129.128874</v>
      </c>
      <c r="E264" s="10" t="n">
        <v>89.40000000000001</v>
      </c>
      <c r="F264" s="11" t="inlineStr">
        <is>
          <t>11.6</t>
        </is>
      </c>
      <c r="G264" s="11" t="inlineStr">
        <is>
          <t>15.0</t>
        </is>
      </c>
      <c r="H264" s="11" t="inlineStr">
        <is>
          <t>12.2</t>
        </is>
      </c>
      <c r="I264" s="11" t="inlineStr">
        <is>
          <t>10.0</t>
        </is>
      </c>
      <c r="J264" s="11" t="inlineStr">
        <is>
          <t>4.8</t>
        </is>
      </c>
      <c r="K264" s="11" t="inlineStr">
        <is>
          <t>1432</t>
        </is>
      </c>
      <c r="L264" s="12">
        <f>HYPERLINK("https://map.naver.com/v5/search/36.428837,129.128874","📍 네이버")</f>
        <v/>
      </c>
      <c r="M264" s="12">
        <f>HYPERLINK("https://map.kakao.com/link/map/P160-3,36.428837,129.128874","📍 카카오")</f>
        <v/>
      </c>
    </row>
    <row r="265">
      <c r="A265" s="10" t="inlineStr">
        <is>
          <t>#160</t>
        </is>
      </c>
      <c r="B265" s="11" t="n">
        <v>4</v>
      </c>
      <c r="C265" s="11" t="n">
        <v>36.39233</v>
      </c>
      <c r="D265" s="11" t="n">
        <v>129.16156</v>
      </c>
      <c r="E265" s="10" t="n">
        <v>89.3</v>
      </c>
      <c r="F265" s="11" t="inlineStr">
        <is>
          <t>10.5</t>
        </is>
      </c>
      <c r="G265" s="11" t="inlineStr">
        <is>
          <t>15.0</t>
        </is>
      </c>
      <c r="H265" s="11" t="inlineStr">
        <is>
          <t>13.8</t>
        </is>
      </c>
      <c r="I265" s="11" t="inlineStr">
        <is>
          <t>10.0</t>
        </is>
      </c>
      <c r="J265" s="11" t="inlineStr">
        <is>
          <t>4.3</t>
        </is>
      </c>
      <c r="K265" s="11" t="inlineStr">
        <is>
          <t>1493</t>
        </is>
      </c>
      <c r="L265" s="12">
        <f>HYPERLINK("https://map.naver.com/v5/search/36.39233,129.16156","📍 네이버")</f>
        <v/>
      </c>
      <c r="M265" s="12">
        <f>HYPERLINK("https://map.kakao.com/link/map/P160-4,36.39233,129.16156","📍 카카오")</f>
        <v/>
      </c>
    </row>
    <row r="266">
      <c r="A266" s="10" t="inlineStr">
        <is>
          <t>#160</t>
        </is>
      </c>
      <c r="B266" s="11" t="n">
        <v>5</v>
      </c>
      <c r="C266" s="11" t="n">
        <v>36.410814</v>
      </c>
      <c r="D266" s="11" t="n">
        <v>129.128497</v>
      </c>
      <c r="E266" s="10" t="n">
        <v>88</v>
      </c>
      <c r="F266" s="11" t="inlineStr">
        <is>
          <t>10.1</t>
        </is>
      </c>
      <c r="G266" s="11" t="inlineStr">
        <is>
          <t>15.0</t>
        </is>
      </c>
      <c r="H266" s="11" t="inlineStr">
        <is>
          <t>13.5</t>
        </is>
      </c>
      <c r="I266" s="11" t="inlineStr">
        <is>
          <t>10.0</t>
        </is>
      </c>
      <c r="J266" s="11" t="inlineStr">
        <is>
          <t>4.2</t>
        </is>
      </c>
      <c r="K266" s="11" t="inlineStr">
        <is>
          <t>1243</t>
        </is>
      </c>
      <c r="L266" s="12">
        <f>HYPERLINK("https://map.naver.com/v5/search/36.410814,129.128497","📍 네이버")</f>
        <v/>
      </c>
      <c r="M266" s="12">
        <f>HYPERLINK("https://map.kakao.com/link/map/P160-5,36.410814,129.128497","📍 카카오")</f>
        <v/>
      </c>
    </row>
    <row r="267">
      <c r="A267" s="7" t="inlineStr">
        <is>
          <t>#161</t>
        </is>
      </c>
      <c r="B267" s="8" t="n">
        <v>1</v>
      </c>
      <c r="C267" s="8" t="n">
        <v>36.680057</v>
      </c>
      <c r="D267" s="8" t="n">
        <v>129.212499</v>
      </c>
      <c r="E267" s="7" t="n">
        <v>93.8</v>
      </c>
      <c r="F267" s="8" t="inlineStr">
        <is>
          <t>12.7</t>
        </is>
      </c>
      <c r="G267" s="8" t="inlineStr">
        <is>
          <t>14.6</t>
        </is>
      </c>
      <c r="H267" s="8" t="inlineStr">
        <is>
          <t>14.1</t>
        </is>
      </c>
      <c r="I267" s="8" t="inlineStr">
        <is>
          <t>10.0</t>
        </is>
      </c>
      <c r="J267" s="8" t="inlineStr">
        <is>
          <t>5.0</t>
        </is>
      </c>
      <c r="K267" s="8" t="inlineStr">
        <is>
          <t>140</t>
        </is>
      </c>
      <c r="L267" s="9">
        <f>HYPERLINK("https://map.naver.com/v5/search/36.680057,129.212499","📍 네이버")</f>
        <v/>
      </c>
      <c r="M267" s="9">
        <f>HYPERLINK("https://map.kakao.com/link/map/P161-1,36.680057,129.212499","📍 카카오")</f>
        <v/>
      </c>
    </row>
    <row r="268">
      <c r="A268" s="10" t="inlineStr">
        <is>
          <t>#161</t>
        </is>
      </c>
      <c r="B268" s="11" t="n">
        <v>2</v>
      </c>
      <c r="C268" s="11" t="n">
        <v>36.680217</v>
      </c>
      <c r="D268" s="11" t="n">
        <v>129.201311</v>
      </c>
      <c r="E268" s="10" t="n">
        <v>92.5</v>
      </c>
      <c r="F268" s="11" t="inlineStr">
        <is>
          <t>13.3</t>
        </is>
      </c>
      <c r="G268" s="11" t="inlineStr">
        <is>
          <t>14.6</t>
        </is>
      </c>
      <c r="H268" s="11" t="inlineStr">
        <is>
          <t>12.8</t>
        </is>
      </c>
      <c r="I268" s="11" t="inlineStr">
        <is>
          <t>10.0</t>
        </is>
      </c>
      <c r="J268" s="11" t="inlineStr">
        <is>
          <t>4.8</t>
        </is>
      </c>
      <c r="K268" s="11" t="inlineStr">
        <is>
          <t>1096</t>
        </is>
      </c>
      <c r="L268" s="12">
        <f>HYPERLINK("https://map.naver.com/v5/search/36.680217,129.201311","📍 네이버")</f>
        <v/>
      </c>
      <c r="M268" s="12">
        <f>HYPERLINK("https://map.kakao.com/link/map/P161-2,36.680217,129.201311","📍 카카오")</f>
        <v/>
      </c>
    </row>
    <row r="269">
      <c r="A269" s="10" t="inlineStr">
        <is>
          <t>#161</t>
        </is>
      </c>
      <c r="B269" s="11" t="n">
        <v>3</v>
      </c>
      <c r="C269" s="11" t="n">
        <v>36.661874</v>
      </c>
      <c r="D269" s="11" t="n">
        <v>129.223284</v>
      </c>
      <c r="E269" s="10" t="n">
        <v>92.2</v>
      </c>
      <c r="F269" s="11" t="inlineStr">
        <is>
          <t>13.0</t>
        </is>
      </c>
      <c r="G269" s="11" t="inlineStr">
        <is>
          <t>14.3</t>
        </is>
      </c>
      <c r="H269" s="11" t="inlineStr">
        <is>
          <t>15.0</t>
        </is>
      </c>
      <c r="I269" s="11" t="inlineStr">
        <is>
          <t>8.0</t>
        </is>
      </c>
      <c r="J269" s="11" t="inlineStr">
        <is>
          <t>5.0</t>
        </is>
      </c>
      <c r="K269" s="11" t="inlineStr">
        <is>
          <t>907</t>
        </is>
      </c>
      <c r="L269" s="12">
        <f>HYPERLINK("https://map.naver.com/v5/search/36.661874,129.223284","📍 네이버")</f>
        <v/>
      </c>
      <c r="M269" s="12">
        <f>HYPERLINK("https://map.kakao.com/link/map/P161-3,36.661874,129.223284","📍 카카오")</f>
        <v/>
      </c>
    </row>
    <row r="270">
      <c r="A270" s="10" t="inlineStr">
        <is>
          <t>#161</t>
        </is>
      </c>
      <c r="B270" s="11" t="n">
        <v>4</v>
      </c>
      <c r="C270" s="11" t="n">
        <v>36.671046</v>
      </c>
      <c r="D270" s="11" t="n">
        <v>129.212299</v>
      </c>
      <c r="E270" s="10" t="n">
        <v>91.2</v>
      </c>
      <c r="F270" s="11" t="inlineStr">
        <is>
          <t>13.1</t>
        </is>
      </c>
      <c r="G270" s="11" t="inlineStr">
        <is>
          <t>14.4</t>
        </is>
      </c>
      <c r="H270" s="11" t="inlineStr">
        <is>
          <t>14.4</t>
        </is>
      </c>
      <c r="I270" s="11" t="inlineStr">
        <is>
          <t>8.0</t>
        </is>
      </c>
      <c r="J270" s="11" t="inlineStr">
        <is>
          <t>4.8</t>
        </is>
      </c>
      <c r="K270" s="11" t="inlineStr">
        <is>
          <t>8</t>
        </is>
      </c>
      <c r="L270" s="12">
        <f>HYPERLINK("https://map.naver.com/v5/search/36.671046,129.212299","📍 네이버")</f>
        <v/>
      </c>
      <c r="M270" s="12">
        <f>HYPERLINK("https://map.kakao.com/link/map/P161-4,36.671046,129.212299","📍 카카오")</f>
        <v/>
      </c>
    </row>
    <row r="271">
      <c r="A271" s="10" t="inlineStr">
        <is>
          <t>#161</t>
        </is>
      </c>
      <c r="B271" s="11" t="n">
        <v>5</v>
      </c>
      <c r="C271" s="11" t="n">
        <v>36.617614</v>
      </c>
      <c r="D271" s="11" t="n">
        <v>129.166389</v>
      </c>
      <c r="E271" s="10" t="n">
        <v>90.5</v>
      </c>
      <c r="F271" s="11" t="inlineStr">
        <is>
          <t>14.0</t>
        </is>
      </c>
      <c r="G271" s="11" t="inlineStr">
        <is>
          <t>14.0</t>
        </is>
      </c>
      <c r="H271" s="11" t="inlineStr">
        <is>
          <t>14.1</t>
        </is>
      </c>
      <c r="I271" s="11" t="inlineStr">
        <is>
          <t>8.0</t>
        </is>
      </c>
      <c r="J271" s="11" t="inlineStr">
        <is>
          <t>4.1</t>
        </is>
      </c>
      <c r="K271" s="11" t="inlineStr">
        <is>
          <t>1442</t>
        </is>
      </c>
      <c r="L271" s="12">
        <f>HYPERLINK("https://map.naver.com/v5/search/36.617614,129.166389","📍 네이버")</f>
        <v/>
      </c>
      <c r="M271" s="12">
        <f>HYPERLINK("https://map.kakao.com/link/map/P161-5,36.617614,129.166389","📍 카카오")</f>
        <v/>
      </c>
    </row>
    <row r="272">
      <c r="A272" s="7" t="inlineStr">
        <is>
          <t>#162</t>
        </is>
      </c>
      <c r="B272" s="8" t="n">
        <v>1</v>
      </c>
      <c r="C272" s="8" t="n">
        <v>36.788981</v>
      </c>
      <c r="D272" s="8" t="n">
        <v>129.158888</v>
      </c>
      <c r="E272" s="7" t="n">
        <v>96.8</v>
      </c>
      <c r="F272" s="8" t="inlineStr">
        <is>
          <t>13.8</t>
        </is>
      </c>
      <c r="G272" s="8" t="inlineStr">
        <is>
          <t>15.0</t>
        </is>
      </c>
      <c r="H272" s="8" t="inlineStr">
        <is>
          <t>14.5</t>
        </is>
      </c>
      <c r="I272" s="8" t="inlineStr">
        <is>
          <t>10.0</t>
        </is>
      </c>
      <c r="J272" s="8" t="inlineStr">
        <is>
          <t>4.8</t>
        </is>
      </c>
      <c r="K272" s="8" t="inlineStr">
        <is>
          <t>621</t>
        </is>
      </c>
      <c r="L272" s="9">
        <f>HYPERLINK("https://map.naver.com/v5/search/36.788981,129.158888","📍 네이버")</f>
        <v/>
      </c>
      <c r="M272" s="9">
        <f>HYPERLINK("https://map.kakao.com/link/map/P162-1,36.788981,129.158888","📍 카카오")</f>
        <v/>
      </c>
    </row>
    <row r="273">
      <c r="A273" s="10" t="inlineStr">
        <is>
          <t>#162</t>
        </is>
      </c>
      <c r="B273" s="11" t="n">
        <v>2</v>
      </c>
      <c r="C273" s="11" t="n">
        <v>36.744236</v>
      </c>
      <c r="D273" s="11" t="n">
        <v>129.135524</v>
      </c>
      <c r="E273" s="10" t="n">
        <v>96.7</v>
      </c>
      <c r="F273" s="11" t="inlineStr">
        <is>
          <t>13.5</t>
        </is>
      </c>
      <c r="G273" s="11" t="inlineStr">
        <is>
          <t>15.0</t>
        </is>
      </c>
      <c r="H273" s="11" t="inlineStr">
        <is>
          <t>14.8</t>
        </is>
      </c>
      <c r="I273" s="11" t="inlineStr">
        <is>
          <t>10.0</t>
        </is>
      </c>
      <c r="J273" s="11" t="inlineStr">
        <is>
          <t>4.8</t>
        </is>
      </c>
      <c r="K273" s="11" t="inlineStr">
        <is>
          <t>111</t>
        </is>
      </c>
      <c r="L273" s="12">
        <f>HYPERLINK("https://map.naver.com/v5/search/36.744236,129.135524","📍 네이버")</f>
        <v/>
      </c>
      <c r="M273" s="12">
        <f>HYPERLINK("https://map.kakao.com/link/map/P162-2,36.744236,129.135524","📍 카카오")</f>
        <v/>
      </c>
    </row>
    <row r="274">
      <c r="A274" s="10" t="inlineStr">
        <is>
          <t>#162</t>
        </is>
      </c>
      <c r="B274" s="11" t="n">
        <v>3</v>
      </c>
      <c r="C274" s="11" t="n">
        <v>36.744389</v>
      </c>
      <c r="D274" s="11" t="n">
        <v>129.124327</v>
      </c>
      <c r="E274" s="10" t="n">
        <v>95.59999999999999</v>
      </c>
      <c r="F274" s="11" t="inlineStr">
        <is>
          <t>13.0</t>
        </is>
      </c>
      <c r="G274" s="11" t="inlineStr">
        <is>
          <t>15.0</t>
        </is>
      </c>
      <c r="H274" s="11" t="inlineStr">
        <is>
          <t>14.7</t>
        </is>
      </c>
      <c r="I274" s="11" t="inlineStr">
        <is>
          <t>10.0</t>
        </is>
      </c>
      <c r="J274" s="11" t="inlineStr">
        <is>
          <t>4.7</t>
        </is>
      </c>
      <c r="K274" s="11" t="inlineStr">
        <is>
          <t>503</t>
        </is>
      </c>
      <c r="L274" s="12">
        <f>HYPERLINK("https://map.naver.com/v5/search/36.744389,129.124327","📍 네이버")</f>
        <v/>
      </c>
      <c r="M274" s="12">
        <f>HYPERLINK("https://map.kakao.com/link/map/P162-3,36.744389,129.124327","📍 카카오")</f>
        <v/>
      </c>
    </row>
    <row r="275">
      <c r="A275" s="10" t="inlineStr">
        <is>
          <t>#162</t>
        </is>
      </c>
      <c r="B275" s="11" t="n">
        <v>4</v>
      </c>
      <c r="C275" s="11" t="n">
        <v>36.735224</v>
      </c>
      <c r="D275" s="11" t="n">
        <v>129.135333</v>
      </c>
      <c r="E275" s="10" t="n">
        <v>94.8</v>
      </c>
      <c r="F275" s="11" t="inlineStr">
        <is>
          <t>12.6</t>
        </is>
      </c>
      <c r="G275" s="11" t="inlineStr">
        <is>
          <t>15.0</t>
        </is>
      </c>
      <c r="H275" s="11" t="inlineStr">
        <is>
          <t>14.7</t>
        </is>
      </c>
      <c r="I275" s="11" t="inlineStr">
        <is>
          <t>10.0</t>
        </is>
      </c>
      <c r="J275" s="11" t="inlineStr">
        <is>
          <t>4.7</t>
        </is>
      </c>
      <c r="K275" s="11" t="inlineStr">
        <is>
          <t>614</t>
        </is>
      </c>
      <c r="L275" s="12">
        <f>HYPERLINK("https://map.naver.com/v5/search/36.735224,129.135333","📍 네이버")</f>
        <v/>
      </c>
      <c r="M275" s="12">
        <f>HYPERLINK("https://map.kakao.com/link/map/P162-4,36.735224,129.135333","📍 카카오")</f>
        <v/>
      </c>
    </row>
    <row r="276">
      <c r="A276" s="10" t="inlineStr">
        <is>
          <t>#162</t>
        </is>
      </c>
      <c r="B276" s="11" t="n">
        <v>5</v>
      </c>
      <c r="C276" s="11" t="n">
        <v>36.770802</v>
      </c>
      <c r="D276" s="11" t="n">
        <v>129.169701</v>
      </c>
      <c r="E276" s="10" t="n">
        <v>93.7</v>
      </c>
      <c r="F276" s="11" t="inlineStr">
        <is>
          <t>13.4</t>
        </is>
      </c>
      <c r="G276" s="11" t="inlineStr">
        <is>
          <t>15.0</t>
        </is>
      </c>
      <c r="H276" s="11" t="inlineStr">
        <is>
          <t>13.1</t>
        </is>
      </c>
      <c r="I276" s="11" t="inlineStr">
        <is>
          <t>10.0</t>
        </is>
      </c>
      <c r="J276" s="11" t="inlineStr">
        <is>
          <t>4.6</t>
        </is>
      </c>
      <c r="K276" s="11" t="inlineStr">
        <is>
          <t>249</t>
        </is>
      </c>
      <c r="L276" s="12">
        <f>HYPERLINK("https://map.naver.com/v5/search/36.770802,129.169701","📍 네이버")</f>
        <v/>
      </c>
      <c r="M276" s="12">
        <f>HYPERLINK("https://map.kakao.com/link/map/P162-5,36.770802,129.169701","📍 카카오")</f>
        <v/>
      </c>
    </row>
    <row r="277">
      <c r="A277" s="7" t="inlineStr">
        <is>
          <t>#163</t>
        </is>
      </c>
      <c r="B277" s="8" t="n">
        <v>1</v>
      </c>
      <c r="C277" s="8" t="n">
        <v>37.031467</v>
      </c>
      <c r="D277" s="8" t="n">
        <v>129.220353</v>
      </c>
      <c r="E277" s="7" t="n">
        <v>90.40000000000001</v>
      </c>
      <c r="F277" s="8" t="inlineStr">
        <is>
          <t>13.2</t>
        </is>
      </c>
      <c r="G277" s="8" t="inlineStr">
        <is>
          <t>14.5</t>
        </is>
      </c>
      <c r="H277" s="8" t="inlineStr">
        <is>
          <t>13.9</t>
        </is>
      </c>
      <c r="I277" s="8" t="inlineStr">
        <is>
          <t>8.0</t>
        </is>
      </c>
      <c r="J277" s="8" t="inlineStr">
        <is>
          <t>4.7</t>
        </is>
      </c>
      <c r="K277" s="8" t="inlineStr">
        <is>
          <t>990</t>
        </is>
      </c>
      <c r="L277" s="9">
        <f>HYPERLINK("https://map.naver.com/v5/search/37.031467,129.220353","📍 네이버")</f>
        <v/>
      </c>
      <c r="M277" s="9">
        <f>HYPERLINK("https://map.kakao.com/link/map/P163-1,37.031467,129.220353","📍 카카오")</f>
        <v/>
      </c>
    </row>
    <row r="278">
      <c r="A278" s="10" t="inlineStr">
        <is>
          <t>#163</t>
        </is>
      </c>
      <c r="B278" s="11" t="n">
        <v>2</v>
      </c>
      <c r="C278" s="11" t="n">
        <v>37.05029</v>
      </c>
      <c r="D278" s="11" t="n">
        <v>129.164552</v>
      </c>
      <c r="E278" s="10" t="n">
        <v>89.5</v>
      </c>
      <c r="F278" s="11" t="inlineStr">
        <is>
          <t>11.9</t>
        </is>
      </c>
      <c r="G278" s="11" t="inlineStr">
        <is>
          <t>14.2</t>
        </is>
      </c>
      <c r="H278" s="11" t="inlineStr">
        <is>
          <t>14.8</t>
        </is>
      </c>
      <c r="I278" s="11" t="inlineStr">
        <is>
          <t>8.0</t>
        </is>
      </c>
      <c r="J278" s="11" t="inlineStr">
        <is>
          <t>4.7</t>
        </is>
      </c>
      <c r="K278" s="11" t="inlineStr">
        <is>
          <t>1025</t>
        </is>
      </c>
      <c r="L278" s="12">
        <f>HYPERLINK("https://map.naver.com/v5/search/37.05029,129.164552","📍 네이버")</f>
        <v/>
      </c>
      <c r="M278" s="12">
        <f>HYPERLINK("https://map.kakao.com/link/map/P163-2,37.05029,129.164552","📍 카카오")</f>
        <v/>
      </c>
    </row>
    <row r="279">
      <c r="A279" s="10" t="inlineStr">
        <is>
          <t>#163</t>
        </is>
      </c>
      <c r="B279" s="11" t="n">
        <v>3</v>
      </c>
      <c r="C279" s="11" t="n">
        <v>37.059142</v>
      </c>
      <c r="D279" s="11" t="n">
        <v>129.175992</v>
      </c>
      <c r="E279" s="10" t="n">
        <v>89.09999999999999</v>
      </c>
      <c r="F279" s="11" t="inlineStr">
        <is>
          <t>11.4</t>
        </is>
      </c>
      <c r="G279" s="11" t="inlineStr">
        <is>
          <t>14.5</t>
        </is>
      </c>
      <c r="H279" s="11" t="inlineStr">
        <is>
          <t>14.9</t>
        </is>
      </c>
      <c r="I279" s="11" t="inlineStr">
        <is>
          <t>8.0</t>
        </is>
      </c>
      <c r="J279" s="11" t="inlineStr">
        <is>
          <t>4.7</t>
        </is>
      </c>
      <c r="K279" s="11" t="inlineStr">
        <is>
          <t>1789</t>
        </is>
      </c>
      <c r="L279" s="12">
        <f>HYPERLINK("https://map.naver.com/v5/search/37.059142,129.175992","📍 네이버")</f>
        <v/>
      </c>
      <c r="M279" s="12">
        <f>HYPERLINK("https://map.kakao.com/link/map/P163-3,37.059142,129.175992","📍 카카오")</f>
        <v/>
      </c>
    </row>
    <row r="280">
      <c r="A280" s="10" t="inlineStr">
        <is>
          <t>#163</t>
        </is>
      </c>
      <c r="B280" s="11" t="n">
        <v>4</v>
      </c>
      <c r="C280" s="11" t="n">
        <v>37.03163</v>
      </c>
      <c r="D280" s="11" t="n">
        <v>129.209114</v>
      </c>
      <c r="E280" s="10" t="n">
        <v>89</v>
      </c>
      <c r="F280" s="11" t="inlineStr">
        <is>
          <t>12.5</t>
        </is>
      </c>
      <c r="G280" s="11" t="inlineStr">
        <is>
          <t>14.4</t>
        </is>
      </c>
      <c r="H280" s="11" t="inlineStr">
        <is>
          <t>13.8</t>
        </is>
      </c>
      <c r="I280" s="11" t="inlineStr">
        <is>
          <t>8.0</t>
        </is>
      </c>
      <c r="J280" s="11" t="inlineStr">
        <is>
          <t>4.7</t>
        </is>
      </c>
      <c r="K280" s="11" t="inlineStr">
        <is>
          <t>775</t>
        </is>
      </c>
      <c r="L280" s="12">
        <f>HYPERLINK("https://map.naver.com/v5/search/37.03163,129.209114","📍 네이버")</f>
        <v/>
      </c>
      <c r="M280" s="12">
        <f>HYPERLINK("https://map.kakao.com/link/map/P163-4,37.03163,129.209114","📍 카카오")</f>
        <v/>
      </c>
    </row>
    <row r="281">
      <c r="A281" s="10" t="inlineStr">
        <is>
          <t>#163</t>
        </is>
      </c>
      <c r="B281" s="11" t="n">
        <v>5</v>
      </c>
      <c r="C281" s="11" t="n">
        <v>37.041279</v>
      </c>
      <c r="D281" s="11" t="n">
        <v>129.164356</v>
      </c>
      <c r="E281" s="10" t="n">
        <v>88.59999999999999</v>
      </c>
      <c r="F281" s="11" t="inlineStr">
        <is>
          <t>11.7</t>
        </is>
      </c>
      <c r="G281" s="11" t="inlineStr">
        <is>
          <t>14.1</t>
        </is>
      </c>
      <c r="H281" s="11" t="inlineStr">
        <is>
          <t>14.6</t>
        </is>
      </c>
      <c r="I281" s="11" t="inlineStr">
        <is>
          <t>8.0</t>
        </is>
      </c>
      <c r="J281" s="11" t="inlineStr">
        <is>
          <t>4.8</t>
        </is>
      </c>
      <c r="K281" s="11" t="inlineStr">
        <is>
          <t>1850</t>
        </is>
      </c>
      <c r="L281" s="12">
        <f>HYPERLINK("https://map.naver.com/v5/search/37.041279,129.164356","📍 네이버")</f>
        <v/>
      </c>
      <c r="M281" s="12">
        <f>HYPERLINK("https://map.kakao.com/link/map/P163-5,37.041279,129.164356","📍 카카오")</f>
        <v/>
      </c>
    </row>
    <row r="282">
      <c r="A282" s="7" t="inlineStr">
        <is>
          <t>#164</t>
        </is>
      </c>
      <c r="B282" s="8" t="n">
        <v>1</v>
      </c>
      <c r="C282" s="8" t="n">
        <v>37.211999</v>
      </c>
      <c r="D282" s="8" t="n">
        <v>129.201911</v>
      </c>
      <c r="E282" s="7" t="n">
        <v>90.90000000000001</v>
      </c>
      <c r="F282" s="8" t="inlineStr">
        <is>
          <t>12.5</t>
        </is>
      </c>
      <c r="G282" s="8" t="inlineStr">
        <is>
          <t>14.3</t>
        </is>
      </c>
      <c r="H282" s="8" t="inlineStr">
        <is>
          <t>15.0</t>
        </is>
      </c>
      <c r="I282" s="8" t="inlineStr">
        <is>
          <t>8.0</t>
        </is>
      </c>
      <c r="J282" s="8" t="inlineStr">
        <is>
          <t>4.8</t>
        </is>
      </c>
      <c r="K282" s="8" t="inlineStr">
        <is>
          <t>1875</t>
        </is>
      </c>
      <c r="L282" s="9">
        <f>HYPERLINK("https://map.naver.com/v5/search/37.211999,129.201911","📍 네이버")</f>
        <v/>
      </c>
      <c r="M282" s="9">
        <f>HYPERLINK("https://map.kakao.com/link/map/P164-1,37.211999,129.201911","📍 카카오")</f>
        <v/>
      </c>
    </row>
    <row r="283">
      <c r="A283" s="10" t="inlineStr">
        <is>
          <t>#164</t>
        </is>
      </c>
      <c r="B283" s="11" t="n">
        <v>2</v>
      </c>
      <c r="C283" s="11" t="n">
        <v>37.22117</v>
      </c>
      <c r="D283" s="11" t="n">
        <v>129.190846</v>
      </c>
      <c r="E283" s="10" t="n">
        <v>90.5</v>
      </c>
      <c r="F283" s="11" t="inlineStr">
        <is>
          <t>13.4</t>
        </is>
      </c>
      <c r="G283" s="11" t="inlineStr">
        <is>
          <t>14.2</t>
        </is>
      </c>
      <c r="H283" s="11" t="inlineStr">
        <is>
          <t>14.0</t>
        </is>
      </c>
      <c r="I283" s="11" t="inlineStr">
        <is>
          <t>8.0</t>
        </is>
      </c>
      <c r="J283" s="11" t="inlineStr">
        <is>
          <t>4.7</t>
        </is>
      </c>
      <c r="K283" s="11" t="inlineStr">
        <is>
          <t>1544</t>
        </is>
      </c>
      <c r="L283" s="12">
        <f>HYPERLINK("https://map.naver.com/v5/search/37.22117,129.190846","📍 네이버")</f>
        <v/>
      </c>
      <c r="M283" s="12">
        <f>HYPERLINK("https://map.kakao.com/link/map/P164-2,37.22117,129.190846","📍 카카오")</f>
        <v/>
      </c>
    </row>
    <row r="284">
      <c r="A284" s="10" t="inlineStr">
        <is>
          <t>#164</t>
        </is>
      </c>
      <c r="B284" s="11" t="n">
        <v>3</v>
      </c>
      <c r="C284" s="11" t="n">
        <v>37.202988</v>
      </c>
      <c r="D284" s="11" t="n">
        <v>129.201708</v>
      </c>
      <c r="E284" s="10" t="n">
        <v>90.2</v>
      </c>
      <c r="F284" s="11" t="inlineStr">
        <is>
          <t>12.2</t>
        </is>
      </c>
      <c r="G284" s="11" t="inlineStr">
        <is>
          <t>14.2</t>
        </is>
      </c>
      <c r="H284" s="11" t="inlineStr">
        <is>
          <t>15.0</t>
        </is>
      </c>
      <c r="I284" s="11" t="inlineStr">
        <is>
          <t>8.0</t>
        </is>
      </c>
      <c r="J284" s="11" t="inlineStr">
        <is>
          <t>4.7</t>
        </is>
      </c>
      <c r="K284" s="11" t="inlineStr">
        <is>
          <t>1845</t>
        </is>
      </c>
      <c r="L284" s="12">
        <f>HYPERLINK("https://map.naver.com/v5/search/37.202988,129.201708","📍 네이버")</f>
        <v/>
      </c>
      <c r="M284" s="12">
        <f>HYPERLINK("https://map.kakao.com/link/map/P164-3,37.202988,129.201708","📍 카카오")</f>
        <v/>
      </c>
    </row>
    <row r="285">
      <c r="A285" s="10" t="inlineStr">
        <is>
          <t>#164</t>
        </is>
      </c>
      <c r="B285" s="11" t="n">
        <v>4</v>
      </c>
      <c r="C285" s="11" t="n">
        <v>37.21216</v>
      </c>
      <c r="D285" s="11" t="n">
        <v>129.190645</v>
      </c>
      <c r="E285" s="10" t="n">
        <v>88.59999999999999</v>
      </c>
      <c r="F285" s="11" t="inlineStr">
        <is>
          <t>11.9</t>
        </is>
      </c>
      <c r="G285" s="11" t="inlineStr">
        <is>
          <t>14.1</t>
        </is>
      </c>
      <c r="H285" s="11" t="inlineStr">
        <is>
          <t>14.5</t>
        </is>
      </c>
      <c r="I285" s="11" t="inlineStr">
        <is>
          <t>8.0</t>
        </is>
      </c>
      <c r="J285" s="11" t="inlineStr">
        <is>
          <t>4.7</t>
        </is>
      </c>
      <c r="K285" s="11" t="inlineStr">
        <is>
          <t>967</t>
        </is>
      </c>
      <c r="L285" s="12">
        <f>HYPERLINK("https://map.naver.com/v5/search/37.21216,129.190645","📍 네이버")</f>
        <v/>
      </c>
      <c r="M285" s="12">
        <f>HYPERLINK("https://map.kakao.com/link/map/P164-4,37.21216,129.190645","📍 카카오")</f>
        <v/>
      </c>
    </row>
    <row r="286">
      <c r="A286" s="10" t="inlineStr">
        <is>
          <t>#164</t>
        </is>
      </c>
      <c r="B286" s="11" t="n">
        <v>5</v>
      </c>
      <c r="C286" s="11" t="n">
        <v>37.20331</v>
      </c>
      <c r="D286" s="11" t="n">
        <v>129.17918</v>
      </c>
      <c r="E286" s="10" t="n">
        <v>88.40000000000001</v>
      </c>
      <c r="F286" s="11" t="inlineStr">
        <is>
          <t>12.3</t>
        </is>
      </c>
      <c r="G286" s="11" t="inlineStr">
        <is>
          <t>13.7</t>
        </is>
      </c>
      <c r="H286" s="11" t="inlineStr">
        <is>
          <t>14.5</t>
        </is>
      </c>
      <c r="I286" s="11" t="inlineStr">
        <is>
          <t>8.0</t>
        </is>
      </c>
      <c r="J286" s="11" t="inlineStr">
        <is>
          <t>4.5</t>
        </is>
      </c>
      <c r="K286" s="11" t="inlineStr">
        <is>
          <t>351</t>
        </is>
      </c>
      <c r="L286" s="12">
        <f>HYPERLINK("https://map.naver.com/v5/search/37.20331,129.17918","📍 네이버")</f>
        <v/>
      </c>
      <c r="M286" s="12">
        <f>HYPERLINK("https://map.kakao.com/link/map/P164-5,37.20331,129.17918","📍 카카오")</f>
        <v/>
      </c>
    </row>
    <row r="287">
      <c r="A287" s="7" t="inlineStr">
        <is>
          <t>#167</t>
        </is>
      </c>
      <c r="B287" s="8" t="n">
        <v>1</v>
      </c>
      <c r="C287" s="8" t="n">
        <v>36.301422</v>
      </c>
      <c r="D287" s="8" t="n">
        <v>129.215317</v>
      </c>
      <c r="E287" s="7" t="n">
        <v>94.90000000000001</v>
      </c>
      <c r="F287" s="8" t="inlineStr">
        <is>
          <t>12.6</t>
        </is>
      </c>
      <c r="G287" s="8" t="inlineStr">
        <is>
          <t>15.0</t>
        </is>
      </c>
      <c r="H287" s="8" t="inlineStr">
        <is>
          <t>15.0</t>
        </is>
      </c>
      <c r="I287" s="8" t="inlineStr">
        <is>
          <t>10.0</t>
        </is>
      </c>
      <c r="J287" s="8" t="inlineStr">
        <is>
          <t>4.3</t>
        </is>
      </c>
      <c r="K287" s="8" t="inlineStr">
        <is>
          <t>1378</t>
        </is>
      </c>
      <c r="L287" s="9">
        <f>HYPERLINK("https://map.naver.com/v5/search/36.301422,129.215317","📍 네이버")</f>
        <v/>
      </c>
      <c r="M287" s="9">
        <f>HYPERLINK("https://map.kakao.com/link/map/P167-1,36.301422,129.215317","📍 카카오")</f>
        <v/>
      </c>
    </row>
    <row r="288">
      <c r="A288" s="10" t="inlineStr">
        <is>
          <t>#167</t>
        </is>
      </c>
      <c r="B288" s="11" t="n">
        <v>2</v>
      </c>
      <c r="C288" s="11" t="n">
        <v>36.309949</v>
      </c>
      <c r="D288" s="11" t="n">
        <v>129.248916</v>
      </c>
      <c r="E288" s="10" t="n">
        <v>92.3</v>
      </c>
      <c r="F288" s="11" t="inlineStr">
        <is>
          <t>12.8</t>
        </is>
      </c>
      <c r="G288" s="11" t="inlineStr">
        <is>
          <t>14.4</t>
        </is>
      </c>
      <c r="H288" s="11" t="inlineStr">
        <is>
          <t>13.3</t>
        </is>
      </c>
      <c r="I288" s="11" t="inlineStr">
        <is>
          <t>10.0</t>
        </is>
      </c>
      <c r="J288" s="11" t="inlineStr">
        <is>
          <t>4.8</t>
        </is>
      </c>
      <c r="K288" s="11" t="inlineStr">
        <is>
          <t>169</t>
        </is>
      </c>
      <c r="L288" s="12">
        <f>HYPERLINK("https://map.naver.com/v5/search/36.309949,129.248916","📍 네이버")</f>
        <v/>
      </c>
      <c r="M288" s="12">
        <f>HYPERLINK("https://map.kakao.com/link/map/P167-2,36.309949,129.248916","📍 카카오")</f>
        <v/>
      </c>
    </row>
    <row r="289">
      <c r="A289" s="10" t="inlineStr">
        <is>
          <t>#167</t>
        </is>
      </c>
      <c r="B289" s="11" t="n">
        <v>3</v>
      </c>
      <c r="C289" s="11" t="n">
        <v>36.292089</v>
      </c>
      <c r="D289" s="11" t="n">
        <v>129.237382</v>
      </c>
      <c r="E289" s="10" t="n">
        <v>91.40000000000001</v>
      </c>
      <c r="F289" s="11" t="inlineStr">
        <is>
          <t>12.6</t>
        </is>
      </c>
      <c r="G289" s="11" t="inlineStr">
        <is>
          <t>14.6</t>
        </is>
      </c>
      <c r="H289" s="11" t="inlineStr">
        <is>
          <t>13.5</t>
        </is>
      </c>
      <c r="I289" s="11" t="inlineStr">
        <is>
          <t>10.0</t>
        </is>
      </c>
      <c r="J289" s="11" t="inlineStr">
        <is>
          <t>4.2</t>
        </is>
      </c>
      <c r="K289" s="11" t="inlineStr">
        <is>
          <t>722</t>
        </is>
      </c>
      <c r="L289" s="12">
        <f>HYPERLINK("https://map.naver.com/v5/search/36.292089,129.237382","📍 네이버")</f>
        <v/>
      </c>
      <c r="M289" s="12">
        <f>HYPERLINK("https://map.kakao.com/link/map/P167-3,36.292089,129.237382","📍 카카오")</f>
        <v/>
      </c>
    </row>
    <row r="290">
      <c r="A290" s="10" t="inlineStr">
        <is>
          <t>#167</t>
        </is>
      </c>
      <c r="B290" s="11" t="n">
        <v>4</v>
      </c>
      <c r="C290" s="11" t="n">
        <v>36.310112</v>
      </c>
      <c r="D290" s="11" t="n">
        <v>129.237782</v>
      </c>
      <c r="E290" s="10" t="n">
        <v>91.09999999999999</v>
      </c>
      <c r="F290" s="11" t="inlineStr">
        <is>
          <t>11.5</t>
        </is>
      </c>
      <c r="G290" s="11" t="inlineStr">
        <is>
          <t>14.6</t>
        </is>
      </c>
      <c r="H290" s="11" t="inlineStr">
        <is>
          <t>13.7</t>
        </is>
      </c>
      <c r="I290" s="11" t="inlineStr">
        <is>
          <t>10.0</t>
        </is>
      </c>
      <c r="J290" s="11" t="inlineStr">
        <is>
          <t>4.8</t>
        </is>
      </c>
      <c r="K290" s="11" t="inlineStr">
        <is>
          <t>340</t>
        </is>
      </c>
      <c r="L290" s="12">
        <f>HYPERLINK("https://map.naver.com/v5/search/36.310112,129.237782","📍 네이버")</f>
        <v/>
      </c>
      <c r="M290" s="12">
        <f>HYPERLINK("https://map.kakao.com/link/map/P167-4,36.310112,129.237782","📍 카카오")</f>
        <v/>
      </c>
    </row>
    <row r="291">
      <c r="A291" s="10" t="inlineStr">
        <is>
          <t>#167</t>
        </is>
      </c>
      <c r="B291" s="11" t="n">
        <v>5</v>
      </c>
      <c r="C291" s="11" t="n">
        <v>36.301262</v>
      </c>
      <c r="D291" s="11" t="n">
        <v>129.226449</v>
      </c>
      <c r="E291" s="10" t="n">
        <v>90.8</v>
      </c>
      <c r="F291" s="11" t="inlineStr">
        <is>
          <t>10.7</t>
        </is>
      </c>
      <c r="G291" s="11" t="inlineStr">
        <is>
          <t>14.8</t>
        </is>
      </c>
      <c r="H291" s="11" t="inlineStr">
        <is>
          <t>14.4</t>
        </is>
      </c>
      <c r="I291" s="11" t="inlineStr">
        <is>
          <t>10.0</t>
        </is>
      </c>
      <c r="J291" s="11" t="inlineStr">
        <is>
          <t>4.5</t>
        </is>
      </c>
      <c r="K291" s="11" t="inlineStr">
        <is>
          <t>1699</t>
        </is>
      </c>
      <c r="L291" s="12">
        <f>HYPERLINK("https://map.naver.com/v5/search/36.301262,129.226449","📍 네이버")</f>
        <v/>
      </c>
      <c r="M291" s="12">
        <f>HYPERLINK("https://map.kakao.com/link/map/P167-5,36.301262,129.226449","📍 카카오")</f>
        <v/>
      </c>
    </row>
    <row r="292">
      <c r="A292" s="7" t="inlineStr">
        <is>
          <t>#170</t>
        </is>
      </c>
      <c r="B292" s="8" t="n">
        <v>1</v>
      </c>
      <c r="C292" s="8" t="n">
        <v>36.760328</v>
      </c>
      <c r="D292" s="8" t="n">
        <v>129.27029</v>
      </c>
      <c r="E292" s="7" t="n">
        <v>94.90000000000001</v>
      </c>
      <c r="F292" s="8" t="inlineStr">
        <is>
          <t>13.3</t>
        </is>
      </c>
      <c r="G292" s="8" t="inlineStr">
        <is>
          <t>15.0</t>
        </is>
      </c>
      <c r="H292" s="8" t="inlineStr">
        <is>
          <t>14.0</t>
        </is>
      </c>
      <c r="I292" s="8" t="inlineStr">
        <is>
          <t>10.0</t>
        </is>
      </c>
      <c r="J292" s="8" t="inlineStr">
        <is>
          <t>4.7</t>
        </is>
      </c>
      <c r="K292" s="8" t="inlineStr">
        <is>
          <t>580</t>
        </is>
      </c>
      <c r="L292" s="9">
        <f>HYPERLINK("https://map.naver.com/v5/search/36.760328,129.27029","📍 네이버")</f>
        <v/>
      </c>
      <c r="M292" s="9">
        <f>HYPERLINK("https://map.kakao.com/link/map/P170-1,36.760328,129.27029","📍 카카오")</f>
        <v/>
      </c>
    </row>
    <row r="293">
      <c r="A293" s="10" t="inlineStr">
        <is>
          <t>#170</t>
        </is>
      </c>
      <c r="B293" s="11" t="n">
        <v>2</v>
      </c>
      <c r="C293" s="11" t="n">
        <v>36.741802</v>
      </c>
      <c r="D293" s="11" t="n">
        <v>129.303463</v>
      </c>
      <c r="E293" s="10" t="n">
        <v>93.40000000000001</v>
      </c>
      <c r="F293" s="11" t="inlineStr">
        <is>
          <t>11.8</t>
        </is>
      </c>
      <c r="G293" s="11" t="inlineStr">
        <is>
          <t>15.0</t>
        </is>
      </c>
      <c r="H293" s="11" t="inlineStr">
        <is>
          <t>14.7</t>
        </is>
      </c>
      <c r="I293" s="11" t="inlineStr">
        <is>
          <t>10.0</t>
        </is>
      </c>
      <c r="J293" s="11" t="inlineStr">
        <is>
          <t>4.6</t>
        </is>
      </c>
      <c r="K293" s="11" t="inlineStr">
        <is>
          <t>1719</t>
        </is>
      </c>
      <c r="L293" s="12">
        <f>HYPERLINK("https://map.naver.com/v5/search/36.741802,129.303463","📍 네이버")</f>
        <v/>
      </c>
      <c r="M293" s="12">
        <f>HYPERLINK("https://map.kakao.com/link/map/P170-2,36.741802,129.303463","📍 카카오")</f>
        <v/>
      </c>
    </row>
    <row r="294">
      <c r="A294" s="10" t="inlineStr">
        <is>
          <t>#170</t>
        </is>
      </c>
      <c r="B294" s="11" t="n">
        <v>3</v>
      </c>
      <c r="C294" s="11" t="n">
        <v>36.769338</v>
      </c>
      <c r="D294" s="11" t="n">
        <v>129.270497</v>
      </c>
      <c r="E294" s="10" t="n">
        <v>93.2</v>
      </c>
      <c r="F294" s="11" t="inlineStr">
        <is>
          <t>13.1</t>
        </is>
      </c>
      <c r="G294" s="11" t="inlineStr">
        <is>
          <t>15.0</t>
        </is>
      </c>
      <c r="H294" s="11" t="inlineStr">
        <is>
          <t>13.3</t>
        </is>
      </c>
      <c r="I294" s="11" t="inlineStr">
        <is>
          <t>10.0</t>
        </is>
      </c>
      <c r="J294" s="11" t="inlineStr">
        <is>
          <t>4.6</t>
        </is>
      </c>
      <c r="K294" s="11" t="inlineStr">
        <is>
          <t>406</t>
        </is>
      </c>
      <c r="L294" s="12">
        <f>HYPERLINK("https://map.naver.com/v5/search/36.769338,129.270497","📍 네이버")</f>
        <v/>
      </c>
      <c r="M294" s="12">
        <f>HYPERLINK("https://map.kakao.com/link/map/P170-3,36.769338,129.270497","📍 카카오")</f>
        <v/>
      </c>
    </row>
    <row r="295">
      <c r="A295" s="10" t="inlineStr">
        <is>
          <t>#170</t>
        </is>
      </c>
      <c r="B295" s="11" t="n">
        <v>4</v>
      </c>
      <c r="C295" s="11" t="n">
        <v>36.742638</v>
      </c>
      <c r="D295" s="11" t="n">
        <v>129.247484</v>
      </c>
      <c r="E295" s="10" t="n">
        <v>92</v>
      </c>
      <c r="F295" s="11" t="inlineStr">
        <is>
          <t>11.9</t>
        </is>
      </c>
      <c r="G295" s="11" t="inlineStr">
        <is>
          <t>15.0</t>
        </is>
      </c>
      <c r="H295" s="11" t="inlineStr">
        <is>
          <t>13.6</t>
        </is>
      </c>
      <c r="I295" s="11" t="inlineStr">
        <is>
          <t>10.0</t>
        </is>
      </c>
      <c r="J295" s="11" t="inlineStr">
        <is>
          <t>4.7</t>
        </is>
      </c>
      <c r="K295" s="11" t="inlineStr">
        <is>
          <t>1771</t>
        </is>
      </c>
      <c r="L295" s="12">
        <f>HYPERLINK("https://map.naver.com/v5/search/36.742638,129.247484","📍 네이버")</f>
        <v/>
      </c>
      <c r="M295" s="12">
        <f>HYPERLINK("https://map.kakao.com/link/map/P170-4,36.742638,129.247484","📍 카카오")</f>
        <v/>
      </c>
    </row>
    <row r="296">
      <c r="A296" s="10" t="inlineStr">
        <is>
          <t>#170</t>
        </is>
      </c>
      <c r="B296" s="11" t="n">
        <v>5</v>
      </c>
      <c r="C296" s="11" t="n">
        <v>36.786854</v>
      </c>
      <c r="D296" s="11" t="n">
        <v>129.304519</v>
      </c>
      <c r="E296" s="10" t="n">
        <v>90.90000000000001</v>
      </c>
      <c r="F296" s="11" t="inlineStr">
        <is>
          <t>12.0</t>
        </is>
      </c>
      <c r="G296" s="11" t="inlineStr">
        <is>
          <t>15.0</t>
        </is>
      </c>
      <c r="H296" s="11" t="inlineStr">
        <is>
          <t>13.6</t>
        </is>
      </c>
      <c r="I296" s="11" t="inlineStr">
        <is>
          <t>10.0</t>
        </is>
      </c>
      <c r="J296" s="11" t="inlineStr">
        <is>
          <t>3.9</t>
        </is>
      </c>
      <c r="K296" s="11" t="inlineStr">
        <is>
          <t>1718</t>
        </is>
      </c>
      <c r="L296" s="12">
        <f>HYPERLINK("https://map.naver.com/v5/search/36.786854,129.304519","📍 네이버")</f>
        <v/>
      </c>
      <c r="M296" s="12">
        <f>HYPERLINK("https://map.kakao.com/link/map/P170-5,36.786854,129.304519","📍 카카오")</f>
        <v/>
      </c>
    </row>
    <row r="297">
      <c r="A297" s="7" t="inlineStr">
        <is>
          <t>#172</t>
        </is>
      </c>
      <c r="B297" s="8" t="n">
        <v>1</v>
      </c>
      <c r="C297" s="8" t="n">
        <v>36.92201</v>
      </c>
      <c r="D297" s="8" t="n">
        <v>129.307704</v>
      </c>
      <c r="E297" s="7" t="n">
        <v>94.09999999999999</v>
      </c>
      <c r="F297" s="8" t="inlineStr">
        <is>
          <t>13.1</t>
        </is>
      </c>
      <c r="G297" s="8" t="inlineStr">
        <is>
          <t>13.8</t>
        </is>
      </c>
      <c r="H297" s="8" t="inlineStr">
        <is>
          <t>14.7</t>
        </is>
      </c>
      <c r="I297" s="8" t="inlineStr">
        <is>
          <t>10.0</t>
        </is>
      </c>
      <c r="J297" s="8" t="inlineStr">
        <is>
          <t>4.9</t>
        </is>
      </c>
      <c r="K297" s="8" t="inlineStr">
        <is>
          <t>1992</t>
        </is>
      </c>
      <c r="L297" s="9">
        <f>HYPERLINK("https://map.naver.com/v5/search/36.92201,129.307704","📍 네이버")</f>
        <v/>
      </c>
      <c r="M297" s="9">
        <f>HYPERLINK("https://map.kakao.com/link/map/P172-1,36.92201,129.307704","📍 카카오")</f>
        <v/>
      </c>
    </row>
    <row r="298">
      <c r="A298" s="10" t="inlineStr">
        <is>
          <t>#172</t>
        </is>
      </c>
      <c r="B298" s="11" t="n">
        <v>2</v>
      </c>
      <c r="C298" s="11" t="n">
        <v>36.92235</v>
      </c>
      <c r="D298" s="11" t="n">
        <v>129.28526</v>
      </c>
      <c r="E298" s="10" t="n">
        <v>93.7</v>
      </c>
      <c r="F298" s="11" t="inlineStr">
        <is>
          <t>13.8</t>
        </is>
      </c>
      <c r="G298" s="11" t="inlineStr">
        <is>
          <t>13.9</t>
        </is>
      </c>
      <c r="H298" s="11" t="inlineStr">
        <is>
          <t>13.7</t>
        </is>
      </c>
      <c r="I298" s="11" t="inlineStr">
        <is>
          <t>10.0</t>
        </is>
      </c>
      <c r="J298" s="11" t="inlineStr">
        <is>
          <t>4.8</t>
        </is>
      </c>
      <c r="K298" s="11" t="inlineStr">
        <is>
          <t>1962</t>
        </is>
      </c>
      <c r="L298" s="12">
        <f>HYPERLINK("https://map.naver.com/v5/search/36.92235,129.28526","📍 네이버")</f>
        <v/>
      </c>
      <c r="M298" s="12">
        <f>HYPERLINK("https://map.kakao.com/link/map/P172-2,36.92235,129.28526","📍 카카오")</f>
        <v/>
      </c>
    </row>
    <row r="299">
      <c r="A299" s="10" t="inlineStr">
        <is>
          <t>#172</t>
        </is>
      </c>
      <c r="B299" s="11" t="n">
        <v>3</v>
      </c>
      <c r="C299" s="11" t="n">
        <v>36.913</v>
      </c>
      <c r="D299" s="11" t="n">
        <v>129.307491</v>
      </c>
      <c r="E299" s="10" t="n">
        <v>90.90000000000001</v>
      </c>
      <c r="F299" s="11" t="inlineStr">
        <is>
          <t>10.8</t>
        </is>
      </c>
      <c r="G299" s="11" t="inlineStr">
        <is>
          <t>13.9</t>
        </is>
      </c>
      <c r="H299" s="11" t="inlineStr">
        <is>
          <t>14.9</t>
        </is>
      </c>
      <c r="I299" s="11" t="inlineStr">
        <is>
          <t>10.0</t>
        </is>
      </c>
      <c r="J299" s="11" t="inlineStr">
        <is>
          <t>4.9</t>
        </is>
      </c>
      <c r="K299" s="11" t="inlineStr">
        <is>
          <t>1202</t>
        </is>
      </c>
      <c r="L299" s="12">
        <f>HYPERLINK("https://map.naver.com/v5/search/36.913,129.307491","📍 네이버")</f>
        <v/>
      </c>
      <c r="M299" s="12">
        <f>HYPERLINK("https://map.kakao.com/link/map/P172-3,36.913,129.307491","📍 카카오")</f>
        <v/>
      </c>
    </row>
    <row r="300">
      <c r="A300" s="10" t="inlineStr">
        <is>
          <t>#172</t>
        </is>
      </c>
      <c r="B300" s="11" t="n">
        <v>4</v>
      </c>
      <c r="C300" s="11" t="n">
        <v>36.90416</v>
      </c>
      <c r="D300" s="11" t="n">
        <v>129.296059</v>
      </c>
      <c r="E300" s="10" t="n">
        <v>90.3</v>
      </c>
      <c r="F300" s="11" t="inlineStr">
        <is>
          <t>10.5</t>
        </is>
      </c>
      <c r="G300" s="11" t="inlineStr">
        <is>
          <t>14.2</t>
        </is>
      </c>
      <c r="H300" s="11" t="inlineStr">
        <is>
          <t>15.0</t>
        </is>
      </c>
      <c r="I300" s="11" t="inlineStr">
        <is>
          <t>10.0</t>
        </is>
      </c>
      <c r="J300" s="11" t="inlineStr">
        <is>
          <t>4.5</t>
        </is>
      </c>
      <c r="K300" s="11" t="inlineStr">
        <is>
          <t>851</t>
        </is>
      </c>
      <c r="L300" s="12">
        <f>HYPERLINK("https://map.naver.com/v5/search/36.90416,129.296059","📍 네이버")</f>
        <v/>
      </c>
      <c r="M300" s="12">
        <f>HYPERLINK("https://map.kakao.com/link/map/P172-4,36.90416,129.296059","📍 카카오")</f>
        <v/>
      </c>
    </row>
    <row r="301">
      <c r="A301" s="10" t="inlineStr">
        <is>
          <t>#172</t>
        </is>
      </c>
      <c r="B301" s="11" t="n">
        <v>5</v>
      </c>
      <c r="C301" s="11" t="n">
        <v>36.89498</v>
      </c>
      <c r="D301" s="11" t="n">
        <v>129.307066</v>
      </c>
      <c r="E301" s="10" t="n">
        <v>89.90000000000001</v>
      </c>
      <c r="F301" s="11" t="inlineStr">
        <is>
          <t>12.7</t>
        </is>
      </c>
      <c r="G301" s="11" t="inlineStr">
        <is>
          <t>14.2</t>
        </is>
      </c>
      <c r="H301" s="11" t="inlineStr">
        <is>
          <t>14.9</t>
        </is>
      </c>
      <c r="I301" s="11" t="inlineStr">
        <is>
          <t>8.0</t>
        </is>
      </c>
      <c r="J301" s="11" t="inlineStr">
        <is>
          <t>4.1</t>
        </is>
      </c>
      <c r="K301" s="11" t="inlineStr">
        <is>
          <t>138</t>
        </is>
      </c>
      <c r="L301" s="12">
        <f>HYPERLINK("https://map.naver.com/v5/search/36.89498,129.307066","📍 네이버")</f>
        <v/>
      </c>
      <c r="M301" s="12">
        <f>HYPERLINK("https://map.kakao.com/link/map/P172-5,36.89498,129.307066","📍 카카오")</f>
        <v/>
      </c>
    </row>
    <row r="302">
      <c r="A302" s="7" t="inlineStr">
        <is>
          <t>#173</t>
        </is>
      </c>
      <c r="B302" s="8" t="n">
        <v>1</v>
      </c>
      <c r="C302" s="8" t="n">
        <v>37.01228</v>
      </c>
      <c r="D302" s="8" t="n">
        <v>129.298594</v>
      </c>
      <c r="E302" s="7" t="n">
        <v>92</v>
      </c>
      <c r="F302" s="8" t="inlineStr">
        <is>
          <t>13.1</t>
        </is>
      </c>
      <c r="G302" s="8" t="inlineStr">
        <is>
          <t>13.3</t>
        </is>
      </c>
      <c r="H302" s="8" t="inlineStr">
        <is>
          <t>14.2</t>
        </is>
      </c>
      <c r="I302" s="8" t="inlineStr">
        <is>
          <t>10.0</t>
        </is>
      </c>
      <c r="J302" s="8" t="inlineStr">
        <is>
          <t>4.7</t>
        </is>
      </c>
      <c r="K302" s="8" t="inlineStr">
        <is>
          <t>290</t>
        </is>
      </c>
      <c r="L302" s="9">
        <f>HYPERLINK("https://map.naver.com/v5/search/37.01228,129.298594","📍 네이버")</f>
        <v/>
      </c>
      <c r="M302" s="9">
        <f>HYPERLINK("https://map.kakao.com/link/map/P173-1,37.01228,129.298594","📍 카카오")</f>
        <v/>
      </c>
    </row>
    <row r="303">
      <c r="A303" s="10" t="inlineStr">
        <is>
          <t>#173</t>
        </is>
      </c>
      <c r="B303" s="11" t="n">
        <v>2</v>
      </c>
      <c r="C303" s="11" t="n">
        <v>37.021119</v>
      </c>
      <c r="D303" s="11" t="n">
        <v>129.310043</v>
      </c>
      <c r="E303" s="10" t="n">
        <v>91.59999999999999</v>
      </c>
      <c r="F303" s="11" t="inlineStr">
        <is>
          <t>13.5</t>
        </is>
      </c>
      <c r="G303" s="11" t="inlineStr">
        <is>
          <t>12.9</t>
        </is>
      </c>
      <c r="H303" s="11" t="inlineStr">
        <is>
          <t>13.9</t>
        </is>
      </c>
      <c r="I303" s="11" t="inlineStr">
        <is>
          <t>10.0</t>
        </is>
      </c>
      <c r="J303" s="11" t="inlineStr">
        <is>
          <t>4.6</t>
        </is>
      </c>
      <c r="K303" s="11" t="inlineStr">
        <is>
          <t>151</t>
        </is>
      </c>
      <c r="L303" s="12">
        <f>HYPERLINK("https://map.naver.com/v5/search/37.021119,129.310043","📍 네이버")</f>
        <v/>
      </c>
      <c r="M303" s="12">
        <f>HYPERLINK("https://map.kakao.com/link/map/P173-2,37.021119,129.310043","📍 카카오")</f>
        <v/>
      </c>
    </row>
    <row r="304">
      <c r="A304" s="10" t="inlineStr">
        <is>
          <t>#173</t>
        </is>
      </c>
      <c r="B304" s="11" t="n">
        <v>3</v>
      </c>
      <c r="C304" s="11" t="n">
        <v>37.02129</v>
      </c>
      <c r="D304" s="11" t="n">
        <v>129.298807</v>
      </c>
      <c r="E304" s="10" t="n">
        <v>91.59999999999999</v>
      </c>
      <c r="F304" s="11" t="inlineStr">
        <is>
          <t>12.8</t>
        </is>
      </c>
      <c r="G304" s="11" t="inlineStr">
        <is>
          <t>13.5</t>
        </is>
      </c>
      <c r="H304" s="11" t="inlineStr">
        <is>
          <t>14.0</t>
        </is>
      </c>
      <c r="I304" s="11" t="inlineStr">
        <is>
          <t>10.0</t>
        </is>
      </c>
      <c r="J304" s="11" t="inlineStr">
        <is>
          <t>4.6</t>
        </is>
      </c>
      <c r="K304" s="11" t="inlineStr">
        <is>
          <t>710</t>
        </is>
      </c>
      <c r="L304" s="12">
        <f>HYPERLINK("https://map.naver.com/v5/search/37.02129,129.298807","📍 네이버")</f>
        <v/>
      </c>
      <c r="M304" s="12">
        <f>HYPERLINK("https://map.kakao.com/link/map/P173-3,37.02129,129.298807","📍 카카오")</f>
        <v/>
      </c>
    </row>
    <row r="305">
      <c r="A305" s="10" t="inlineStr">
        <is>
          <t>#173</t>
        </is>
      </c>
      <c r="B305" s="11" t="n">
        <v>4</v>
      </c>
      <c r="C305" s="11" t="n">
        <v>36.99443</v>
      </c>
      <c r="D305" s="11" t="n">
        <v>129.286937</v>
      </c>
      <c r="E305" s="10" t="n">
        <v>91</v>
      </c>
      <c r="F305" s="11" t="inlineStr">
        <is>
          <t>12.7</t>
        </is>
      </c>
      <c r="G305" s="11" t="inlineStr">
        <is>
          <t>12.7</t>
        </is>
      </c>
      <c r="H305" s="11" t="inlineStr">
        <is>
          <t>14.5</t>
        </is>
      </c>
      <c r="I305" s="11" t="inlineStr">
        <is>
          <t>10.0</t>
        </is>
      </c>
      <c r="J305" s="11" t="inlineStr">
        <is>
          <t>4.7</t>
        </is>
      </c>
      <c r="K305" s="11" t="inlineStr">
        <is>
          <t>971</t>
        </is>
      </c>
      <c r="L305" s="12">
        <f>HYPERLINK("https://map.naver.com/v5/search/36.99443,129.286937","📍 네이버")</f>
        <v/>
      </c>
      <c r="M305" s="12">
        <f>HYPERLINK("https://map.kakao.com/link/map/P173-4,36.99443,129.286937","📍 카카오")</f>
        <v/>
      </c>
    </row>
    <row r="306">
      <c r="A306" s="10" t="inlineStr">
        <is>
          <t>#173</t>
        </is>
      </c>
      <c r="B306" s="11" t="n">
        <v>5</v>
      </c>
      <c r="C306" s="11" t="n">
        <v>37.012109</v>
      </c>
      <c r="D306" s="11" t="n">
        <v>129.309829</v>
      </c>
      <c r="E306" s="10" t="n">
        <v>90.90000000000001</v>
      </c>
      <c r="F306" s="11" t="inlineStr">
        <is>
          <t>13.0</t>
        </is>
      </c>
      <c r="G306" s="11" t="inlineStr">
        <is>
          <t>12.4</t>
        </is>
      </c>
      <c r="H306" s="11" t="inlineStr">
        <is>
          <t>14.4</t>
        </is>
      </c>
      <c r="I306" s="11" t="inlineStr">
        <is>
          <t>10.0</t>
        </is>
      </c>
      <c r="J306" s="11" t="inlineStr">
        <is>
          <t>4.7</t>
        </is>
      </c>
      <c r="K306" s="11" t="inlineStr">
        <is>
          <t>56</t>
        </is>
      </c>
      <c r="L306" s="12">
        <f>HYPERLINK("https://map.naver.com/v5/search/37.012109,129.309829","📍 네이버")</f>
        <v/>
      </c>
      <c r="M306" s="12">
        <f>HYPERLINK("https://map.kakao.com/link/map/P173-5,37.012109,129.309829","📍 카카오")</f>
        <v/>
      </c>
    </row>
    <row r="307">
      <c r="A307" s="7" t="inlineStr">
        <is>
          <t>#177</t>
        </is>
      </c>
      <c r="B307" s="8" t="n">
        <v>1</v>
      </c>
      <c r="C307" s="8" t="n">
        <v>35.621315</v>
      </c>
      <c r="D307" s="8" t="n">
        <v>129.47669</v>
      </c>
      <c r="E307" s="7" t="n">
        <v>99.8</v>
      </c>
      <c r="F307" s="8" t="inlineStr">
        <is>
          <t>15.0</t>
        </is>
      </c>
      <c r="G307" s="8" t="inlineStr">
        <is>
          <t>14.9</t>
        </is>
      </c>
      <c r="H307" s="8" t="inlineStr">
        <is>
          <t>15.0</t>
        </is>
      </c>
      <c r="I307" s="8" t="inlineStr">
        <is>
          <t>10.0</t>
        </is>
      </c>
      <c r="J307" s="8" t="inlineStr">
        <is>
          <t>5.0</t>
        </is>
      </c>
      <c r="K307" s="8" t="inlineStr">
        <is>
          <t>1907</t>
        </is>
      </c>
      <c r="L307" s="9">
        <f>HYPERLINK("https://map.naver.com/v5/search/35.621315,129.47669","📍 네이버")</f>
        <v/>
      </c>
      <c r="M307" s="9">
        <f>HYPERLINK("https://map.kakao.com/link/map/P177-1,35.621315,129.47669","📍 카카오")</f>
        <v/>
      </c>
    </row>
    <row r="308">
      <c r="A308" s="10" t="inlineStr">
        <is>
          <t>#177</t>
        </is>
      </c>
      <c r="B308" s="11" t="n">
        <v>2</v>
      </c>
      <c r="C308" s="11" t="n">
        <v>35.639518</v>
      </c>
      <c r="D308" s="11" t="n">
        <v>129.466095</v>
      </c>
      <c r="E308" s="10" t="n">
        <v>98.09999999999999</v>
      </c>
      <c r="F308" s="11" t="inlineStr">
        <is>
          <t>15.0</t>
        </is>
      </c>
      <c r="G308" s="11" t="inlineStr">
        <is>
          <t>14.4</t>
        </is>
      </c>
      <c r="H308" s="11" t="inlineStr">
        <is>
          <t>14.8</t>
        </is>
      </c>
      <c r="I308" s="11" t="inlineStr">
        <is>
          <t>10.0</t>
        </is>
      </c>
      <c r="J308" s="11" t="inlineStr">
        <is>
          <t>4.7</t>
        </is>
      </c>
      <c r="K308" s="11" t="inlineStr">
        <is>
          <t>1890</t>
        </is>
      </c>
      <c r="L308" s="12">
        <f>HYPERLINK("https://map.naver.com/v5/search/35.639518,129.466095","📍 네이버")</f>
        <v/>
      </c>
      <c r="M308" s="12">
        <f>HYPERLINK("https://map.kakao.com/link/map/P177-2,35.639518,129.466095","📍 카카오")</f>
        <v/>
      </c>
    </row>
    <row r="309">
      <c r="A309" s="10" t="inlineStr">
        <is>
          <t>#177</t>
        </is>
      </c>
      <c r="B309" s="11" t="n">
        <v>3</v>
      </c>
      <c r="C309" s="11" t="n">
        <v>35.630506</v>
      </c>
      <c r="D309" s="11" t="n">
        <v>129.465874</v>
      </c>
      <c r="E309" s="10" t="n">
        <v>98</v>
      </c>
      <c r="F309" s="11" t="inlineStr">
        <is>
          <t>15.0</t>
        </is>
      </c>
      <c r="G309" s="11" t="inlineStr">
        <is>
          <t>14.5</t>
        </is>
      </c>
      <c r="H309" s="11" t="inlineStr">
        <is>
          <t>14.4</t>
        </is>
      </c>
      <c r="I309" s="11" t="inlineStr">
        <is>
          <t>10.0</t>
        </is>
      </c>
      <c r="J309" s="11" t="inlineStr">
        <is>
          <t>4.8</t>
        </is>
      </c>
      <c r="K309" s="11" t="inlineStr">
        <is>
          <t>1833</t>
        </is>
      </c>
      <c r="L309" s="12">
        <f>HYPERLINK("https://map.naver.com/v5/search/35.630506,129.465874","📍 네이버")</f>
        <v/>
      </c>
      <c r="M309" s="12">
        <f>HYPERLINK("https://map.kakao.com/link/map/P177-3,35.630506,129.465874","📍 카카오")</f>
        <v/>
      </c>
    </row>
    <row r="310">
      <c r="A310" s="10" t="inlineStr">
        <is>
          <t>#177</t>
        </is>
      </c>
      <c r="B310" s="11" t="n">
        <v>4</v>
      </c>
      <c r="C310" s="11" t="n">
        <v>35.648529</v>
      </c>
      <c r="D310" s="11" t="n">
        <v>129.466316</v>
      </c>
      <c r="E310" s="10" t="n">
        <v>97.8</v>
      </c>
      <c r="F310" s="11" t="inlineStr">
        <is>
          <t>15.0</t>
        </is>
      </c>
      <c r="G310" s="11" t="inlineStr">
        <is>
          <t>14.1</t>
        </is>
      </c>
      <c r="H310" s="11" t="inlineStr">
        <is>
          <t>15.0</t>
        </is>
      </c>
      <c r="I310" s="11" t="inlineStr">
        <is>
          <t>10.0</t>
        </is>
      </c>
      <c r="J310" s="11" t="inlineStr">
        <is>
          <t>4.6</t>
        </is>
      </c>
      <c r="K310" s="11" t="inlineStr">
        <is>
          <t>1554</t>
        </is>
      </c>
      <c r="L310" s="12">
        <f>HYPERLINK("https://map.naver.com/v5/search/35.648529,129.466316","📍 네이버")</f>
        <v/>
      </c>
      <c r="M310" s="12">
        <f>HYPERLINK("https://map.kakao.com/link/map/P177-4,35.648529,129.466316","📍 카카오")</f>
        <v/>
      </c>
    </row>
    <row r="311">
      <c r="A311" s="10" t="inlineStr">
        <is>
          <t>#177</t>
        </is>
      </c>
      <c r="B311" s="11" t="n">
        <v>5</v>
      </c>
      <c r="C311" s="11" t="n">
        <v>35.657359</v>
      </c>
      <c r="D311" s="11" t="n">
        <v>129.477578</v>
      </c>
      <c r="E311" s="10" t="n">
        <v>97.40000000000001</v>
      </c>
      <c r="F311" s="11" t="inlineStr">
        <is>
          <t>15.0</t>
        </is>
      </c>
      <c r="G311" s="11" t="inlineStr">
        <is>
          <t>14.0</t>
        </is>
      </c>
      <c r="H311" s="11" t="inlineStr">
        <is>
          <t>14.8</t>
        </is>
      </c>
      <c r="I311" s="11" t="inlineStr">
        <is>
          <t>10.0</t>
        </is>
      </c>
      <c r="J311" s="11" t="inlineStr">
        <is>
          <t>4.7</t>
        </is>
      </c>
      <c r="K311" s="11" t="inlineStr">
        <is>
          <t>1589</t>
        </is>
      </c>
      <c r="L311" s="12">
        <f>HYPERLINK("https://map.naver.com/v5/search/35.657359,129.477578","📍 네이버")</f>
        <v/>
      </c>
      <c r="M311" s="12">
        <f>HYPERLINK("https://map.kakao.com/link/map/P177-5,35.657359,129.477578","📍 카카오")</f>
        <v/>
      </c>
    </row>
    <row r="312">
      <c r="A312" s="7" t="inlineStr">
        <is>
          <t>#178</t>
        </is>
      </c>
      <c r="B312" s="8" t="n">
        <v>1</v>
      </c>
      <c r="C312" s="8" t="n">
        <v>37.40063</v>
      </c>
      <c r="D312" s="8" t="n">
        <v>130.900489</v>
      </c>
      <c r="E312" s="7" t="n">
        <v>93.3</v>
      </c>
      <c r="F312" s="8" t="inlineStr">
        <is>
          <t>15.0</t>
        </is>
      </c>
      <c r="G312" s="8" t="inlineStr">
        <is>
          <t>15.0</t>
        </is>
      </c>
      <c r="H312" s="8" t="inlineStr">
        <is>
          <t>15.0</t>
        </is>
      </c>
      <c r="I312" s="8" t="inlineStr">
        <is>
          <t>6.0</t>
        </is>
      </c>
      <c r="J312" s="8" t="inlineStr">
        <is>
          <t>5.0</t>
        </is>
      </c>
      <c r="K312" s="8" t="inlineStr">
        <is>
          <t>-</t>
        </is>
      </c>
      <c r="L312" s="9">
        <f>HYPERLINK("https://map.naver.com/v5/search/37.40063,130.900489","📍 네이버")</f>
        <v/>
      </c>
      <c r="M312" s="9">
        <f>HYPERLINK("https://map.kakao.com/link/map/P178-1,37.40063,130.900489","📍 카카오")</f>
        <v/>
      </c>
    </row>
    <row r="313">
      <c r="A313" s="10" t="inlineStr">
        <is>
          <t>#178</t>
        </is>
      </c>
      <c r="B313" s="11" t="n">
        <v>2</v>
      </c>
      <c r="C313" s="11" t="n">
        <v>37.39228</v>
      </c>
      <c r="D313" s="11" t="n">
        <v>130.877527</v>
      </c>
      <c r="E313" s="10" t="n">
        <v>93.3</v>
      </c>
      <c r="F313" s="11" t="inlineStr">
        <is>
          <t>15.0</t>
        </is>
      </c>
      <c r="G313" s="11" t="inlineStr">
        <is>
          <t>15.0</t>
        </is>
      </c>
      <c r="H313" s="11" t="inlineStr">
        <is>
          <t>15.0</t>
        </is>
      </c>
      <c r="I313" s="11" t="inlineStr">
        <is>
          <t>6.0</t>
        </is>
      </c>
      <c r="J313" s="11" t="inlineStr">
        <is>
          <t>5.0</t>
        </is>
      </c>
      <c r="K313" s="11" t="inlineStr">
        <is>
          <t>-</t>
        </is>
      </c>
      <c r="L313" s="12">
        <f>HYPERLINK("https://map.naver.com/v5/search/37.39228,130.877527","📍 네이버")</f>
        <v/>
      </c>
      <c r="M313" s="12">
        <f>HYPERLINK("https://map.kakao.com/link/map/P178-2,37.39228,130.877527","📍 카카오")</f>
        <v/>
      </c>
    </row>
    <row r="314">
      <c r="A314" s="10" t="inlineStr">
        <is>
          <t>#178</t>
        </is>
      </c>
      <c r="B314" s="11" t="n">
        <v>3</v>
      </c>
      <c r="C314" s="11" t="n">
        <v>37.400305</v>
      </c>
      <c r="D314" s="11" t="n">
        <v>130.911767</v>
      </c>
      <c r="E314" s="10" t="n">
        <v>93.3</v>
      </c>
      <c r="F314" s="11" t="inlineStr">
        <is>
          <t>15.0</t>
        </is>
      </c>
      <c r="G314" s="11" t="inlineStr">
        <is>
          <t>15.0</t>
        </is>
      </c>
      <c r="H314" s="11" t="inlineStr">
        <is>
          <t>15.0</t>
        </is>
      </c>
      <c r="I314" s="11" t="inlineStr">
        <is>
          <t>6.0</t>
        </is>
      </c>
      <c r="J314" s="11" t="inlineStr">
        <is>
          <t>5.0</t>
        </is>
      </c>
      <c r="K314" s="11" t="inlineStr">
        <is>
          <t>-</t>
        </is>
      </c>
      <c r="L314" s="12">
        <f>HYPERLINK("https://map.naver.com/v5/search/37.400305,130.911767","📍 네이버")</f>
        <v/>
      </c>
      <c r="M314" s="12">
        <f>HYPERLINK("https://map.kakao.com/link/map/P178-3,37.400305,130.911767","📍 카카오")</f>
        <v/>
      </c>
    </row>
    <row r="315">
      <c r="A315" s="10" t="inlineStr">
        <is>
          <t>#178</t>
        </is>
      </c>
      <c r="B315" s="11" t="n">
        <v>4</v>
      </c>
      <c r="C315" s="11" t="n">
        <v>37.408976</v>
      </c>
      <c r="D315" s="11" t="n">
        <v>130.923455</v>
      </c>
      <c r="E315" s="10" t="n">
        <v>93.3</v>
      </c>
      <c r="F315" s="11" t="inlineStr">
        <is>
          <t>15.0</t>
        </is>
      </c>
      <c r="G315" s="11" t="inlineStr">
        <is>
          <t>15.0</t>
        </is>
      </c>
      <c r="H315" s="11" t="inlineStr">
        <is>
          <t>15.0</t>
        </is>
      </c>
      <c r="I315" s="11" t="inlineStr">
        <is>
          <t>6.0</t>
        </is>
      </c>
      <c r="J315" s="11" t="inlineStr">
        <is>
          <t>5.0</t>
        </is>
      </c>
      <c r="K315" s="11" t="inlineStr">
        <is>
          <t>-</t>
        </is>
      </c>
      <c r="L315" s="12">
        <f>HYPERLINK("https://map.naver.com/v5/search/37.408976,130.923455","📍 네이버")</f>
        <v/>
      </c>
      <c r="M315" s="12">
        <f>HYPERLINK("https://map.kakao.com/link/map/P178-4,37.408976,130.923455","📍 카카오")</f>
        <v/>
      </c>
    </row>
    <row r="316">
      <c r="A316" s="10" t="inlineStr">
        <is>
          <t>#178</t>
        </is>
      </c>
      <c r="B316" s="11" t="n">
        <v>5</v>
      </c>
      <c r="C316" s="11" t="n">
        <v>37.400955</v>
      </c>
      <c r="D316" s="11" t="n">
        <v>130.88921</v>
      </c>
      <c r="E316" s="10" t="n">
        <v>93.2</v>
      </c>
      <c r="F316" s="11" t="inlineStr">
        <is>
          <t>15.0</t>
        </is>
      </c>
      <c r="G316" s="11" t="inlineStr">
        <is>
          <t>15.0</t>
        </is>
      </c>
      <c r="H316" s="11" t="inlineStr">
        <is>
          <t>15.0</t>
        </is>
      </c>
      <c r="I316" s="11" t="inlineStr">
        <is>
          <t>6.0</t>
        </is>
      </c>
      <c r="J316" s="11" t="inlineStr">
        <is>
          <t>4.9</t>
        </is>
      </c>
      <c r="K316" s="11" t="inlineStr">
        <is>
          <t>-</t>
        </is>
      </c>
      <c r="L316" s="12">
        <f>HYPERLINK("https://map.naver.com/v5/search/37.400955,130.88921","📍 네이버")</f>
        <v/>
      </c>
      <c r="M316" s="12">
        <f>HYPERLINK("https://map.kakao.com/link/map/P178-5,37.400955,130.88921","📍 카카오")</f>
        <v/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8" customWidth="1" min="4" max="4"/>
    <col width="11" customWidth="1" min="5" max="5"/>
    <col width="11" customWidth="1" min="6" max="6"/>
    <col width="18" customWidth="1" min="7" max="7"/>
    <col width="18" customWidth="1" min="8" max="8"/>
  </cols>
  <sheetData>
    <row r="1" ht="24" customHeight="1">
      <c r="A1" s="14" t="inlineStr">
        <is>
          <t>사이트별 근접 기준점 목록 (5km 반경)</t>
        </is>
      </c>
    </row>
    <row r="2" ht="22" customHeight="1">
      <c r="A2" s="15" t="inlineStr">
        <is>
          <t>사이트</t>
        </is>
      </c>
      <c r="B2" s="15" t="inlineStr">
        <is>
          <t>종류</t>
        </is>
      </c>
      <c r="C2" s="15" t="inlineStr">
        <is>
          <t>기준점명</t>
        </is>
      </c>
      <c r="D2" s="15" t="inlineStr">
        <is>
          <t>거리(m)</t>
        </is>
      </c>
      <c r="E2" s="15" t="inlineStr">
        <is>
          <t>위도</t>
        </is>
      </c>
      <c r="F2" s="15" t="inlineStr">
        <is>
          <t>경도</t>
        </is>
      </c>
      <c r="G2" s="15" t="inlineStr">
        <is>
          <t>네이버</t>
        </is>
      </c>
      <c r="H2" s="15" t="inlineStr">
        <is>
          <t>카카오</t>
        </is>
      </c>
    </row>
    <row r="3" ht="18" customHeight="1">
      <c r="A3" s="16" t="inlineStr">
        <is>
          <t>▶ P1 #1  (34.772°N, 126.069°E) / 국가점수 71.3점 / 기준점 7개</t>
        </is>
      </c>
    </row>
    <row r="4">
      <c r="A4" s="5" t="inlineStr">
        <is>
          <t>#1</t>
        </is>
      </c>
      <c r="B4" s="5" t="inlineStr">
        <is>
          <t>삼각점</t>
        </is>
      </c>
      <c r="C4" s="5" t="inlineStr">
        <is>
          <t>자은25</t>
        </is>
      </c>
      <c r="D4" s="5" t="n">
        <v>2342</v>
      </c>
      <c r="E4" s="5" t="n">
        <v>34.7600613611101</v>
      </c>
      <c r="F4" s="5" t="n">
        <v>126.089246138888</v>
      </c>
      <c r="G4" s="6">
        <f>HYPERLINK("https://map.naver.com/v5/search/34.7600613611101,126.089246138888","📍 네이버")</f>
        <v/>
      </c>
      <c r="H4" s="6">
        <f>HYPERLINK("https://map.kakao.com/link/map/삼각점자은25,34.7600613611101,126.089246138888","📍 카카오")</f>
        <v/>
      </c>
    </row>
    <row r="5">
      <c r="A5" s="5" t="inlineStr">
        <is>
          <t>#1</t>
        </is>
      </c>
      <c r="B5" s="5" t="inlineStr">
        <is>
          <t>삼각점</t>
        </is>
      </c>
      <c r="C5" s="5" t="inlineStr">
        <is>
          <t>자은423</t>
        </is>
      </c>
      <c r="D5" s="5" t="n">
        <v>2657</v>
      </c>
      <c r="E5" s="5" t="n">
        <v>34.7593418611101</v>
      </c>
      <c r="F5" s="5" t="n">
        <v>126.04429086111</v>
      </c>
      <c r="G5" s="6">
        <f>HYPERLINK("https://map.naver.com/v5/search/34.7593418611101,126.04429086111","📍 네이버")</f>
        <v/>
      </c>
      <c r="H5" s="6">
        <f>HYPERLINK("https://map.kakao.com/link/map/삼각점자은423,34.7593418611101,126.04429086111","📍 카카오")</f>
        <v/>
      </c>
    </row>
    <row r="6">
      <c r="A6" s="5" t="inlineStr">
        <is>
          <t>#1</t>
        </is>
      </c>
      <c r="B6" s="5" t="inlineStr">
        <is>
          <t>삼각점</t>
        </is>
      </c>
      <c r="C6" s="5" t="inlineStr">
        <is>
          <t>자은424</t>
        </is>
      </c>
      <c r="D6" s="5" t="n">
        <v>2791</v>
      </c>
      <c r="E6" s="5" t="n">
        <v>34.7969951666656</v>
      </c>
      <c r="F6" s="5" t="n">
        <v>126.075502805555</v>
      </c>
      <c r="G6" s="6">
        <f>HYPERLINK("https://map.naver.com/v5/search/34.7969951666656,126.075502805555","📍 네이버")</f>
        <v/>
      </c>
      <c r="H6" s="6">
        <f>HYPERLINK("https://map.kakao.com/link/map/삼각점자은424,34.7969951666656,126.075502805555","📍 카카오")</f>
        <v/>
      </c>
    </row>
    <row r="7">
      <c r="A7" s="5" t="inlineStr">
        <is>
          <t>#1</t>
        </is>
      </c>
      <c r="B7" s="5" t="inlineStr">
        <is>
          <t>삼각점</t>
        </is>
      </c>
      <c r="C7" s="5" t="inlineStr">
        <is>
          <t>자은422</t>
        </is>
      </c>
      <c r="D7" s="5" t="n">
        <v>3480</v>
      </c>
      <c r="E7" s="5" t="n">
        <v>34.7782616944434</v>
      </c>
      <c r="F7" s="5" t="n">
        <v>126.031182777777</v>
      </c>
      <c r="G7" s="6">
        <f>HYPERLINK("https://map.naver.com/v5/search/34.7782616944434,126.031182777777","📍 네이버")</f>
        <v/>
      </c>
      <c r="H7" s="6">
        <f>HYPERLINK("https://map.kakao.com/link/map/삼각점자은422,34.7782616944434,126.031182777777","📍 카카오")</f>
        <v/>
      </c>
    </row>
    <row r="8">
      <c r="A8" s="5" t="inlineStr">
        <is>
          <t>#1</t>
        </is>
      </c>
      <c r="B8" s="5" t="inlineStr">
        <is>
          <t>삼각점</t>
        </is>
      </c>
      <c r="C8" s="5" t="inlineStr">
        <is>
          <t>자은426</t>
        </is>
      </c>
      <c r="D8" s="5" t="n">
        <v>3831</v>
      </c>
      <c r="E8" s="5" t="n">
        <v>34.7852506666656</v>
      </c>
      <c r="F8" s="5" t="n">
        <v>126.107454583333</v>
      </c>
      <c r="G8" s="6">
        <f>HYPERLINK("https://map.naver.com/v5/search/34.7852506666656,126.107454583333","📍 네이버")</f>
        <v/>
      </c>
      <c r="H8" s="6">
        <f>HYPERLINK("https://map.kakao.com/link/map/삼각점자은426,34.7852506666656,126.107454583333","📍 카카오")</f>
        <v/>
      </c>
    </row>
    <row r="9">
      <c r="A9" s="17" t="inlineStr">
        <is>
          <t>#1</t>
        </is>
      </c>
      <c r="B9" s="17" t="inlineStr">
        <is>
          <t>통합기준점</t>
        </is>
      </c>
      <c r="C9" s="17" t="inlineStr">
        <is>
          <t>U1005</t>
        </is>
      </c>
      <c r="D9" s="17" t="n">
        <v>3883</v>
      </c>
      <c r="E9" s="17" t="n">
        <v>34.8074887888879</v>
      </c>
      <c r="F9" s="17" t="n">
        <v>126.067799413888</v>
      </c>
      <c r="G9" s="18">
        <f>HYPERLINK("https://map.naver.com/v5/search/34.8074887888879,126.067799413888","📍 네이버")</f>
        <v/>
      </c>
      <c r="H9" s="18">
        <f>HYPERLINK("https://map.kakao.com/link/map/통합기준점U1005,34.8074887888879,126.067799413888","📍 카카오")</f>
        <v/>
      </c>
    </row>
    <row r="10">
      <c r="A10" s="5" t="inlineStr">
        <is>
          <t>#1</t>
        </is>
      </c>
      <c r="B10" s="5" t="inlineStr">
        <is>
          <t>삼각점</t>
        </is>
      </c>
      <c r="C10" s="5" t="inlineStr">
        <is>
          <t>자은421</t>
        </is>
      </c>
      <c r="D10" s="5" t="n">
        <v>4685</v>
      </c>
      <c r="E10" s="5" t="n">
        <v>34.7641201111101</v>
      </c>
      <c r="F10" s="5" t="n">
        <v>126.018394027777</v>
      </c>
      <c r="G10" s="6">
        <f>HYPERLINK("https://map.naver.com/v5/search/34.7641201111101,126.018394027777","📍 네이버")</f>
        <v/>
      </c>
      <c r="H10" s="6">
        <f>HYPERLINK("https://map.kakao.com/link/map/삼각점자은421,34.7641201111101,126.018394027777","📍 카카오")</f>
        <v/>
      </c>
    </row>
    <row r="12" ht="18" customHeight="1">
      <c r="A12" s="16" t="inlineStr">
        <is>
          <t>▶ P1 #2  (33.242°N, 126.309°E) / 국가점수 85.6점 / 기준점 7개</t>
        </is>
      </c>
    </row>
    <row r="13">
      <c r="A13" s="17" t="inlineStr">
        <is>
          <t>#2</t>
        </is>
      </c>
      <c r="B13" s="17" t="inlineStr">
        <is>
          <t>통합기준점</t>
        </is>
      </c>
      <c r="C13" s="17" t="inlineStr">
        <is>
          <t>U1166</t>
        </is>
      </c>
      <c r="D13" s="17" t="n">
        <v>1235</v>
      </c>
      <c r="E13" s="17" t="n">
        <v>33.233512458332</v>
      </c>
      <c r="F13" s="17" t="n">
        <v>126.300079327777</v>
      </c>
      <c r="G13" s="18">
        <f>HYPERLINK("https://map.naver.com/v5/search/33.233512458332,126.300079327777","📍 네이버")</f>
        <v/>
      </c>
      <c r="H13" s="18">
        <f>HYPERLINK("https://map.kakao.com/link/map/통합기준점U1166,33.233512458332,126.300079327777","📍 카카오")</f>
        <v/>
      </c>
    </row>
    <row r="14">
      <c r="A14" s="5" t="inlineStr">
        <is>
          <t>#2</t>
        </is>
      </c>
      <c r="B14" s="5" t="inlineStr">
        <is>
          <t>삼각점</t>
        </is>
      </c>
      <c r="C14" s="5" t="inlineStr">
        <is>
          <t>모슬포23</t>
        </is>
      </c>
      <c r="D14" s="5" t="n">
        <v>1898</v>
      </c>
      <c r="E14" s="5" t="n">
        <v>33.2428604444431</v>
      </c>
      <c r="F14" s="5" t="n">
        <v>126.288332333333</v>
      </c>
      <c r="G14" s="6">
        <f>HYPERLINK("https://map.naver.com/v5/search/33.2428604444431,126.288332333333","📍 네이버")</f>
        <v/>
      </c>
      <c r="H14" s="6">
        <f>HYPERLINK("https://map.kakao.com/link/map/삼각점모슬포23,33.2428604444431,126.288332333333","📍 카카오")</f>
        <v/>
      </c>
    </row>
    <row r="15">
      <c r="A15" s="5" t="inlineStr">
        <is>
          <t>#2</t>
        </is>
      </c>
      <c r="B15" s="5" t="inlineStr">
        <is>
          <t>삼각점</t>
        </is>
      </c>
      <c r="C15" s="5" t="inlineStr">
        <is>
          <t>모슬포425</t>
        </is>
      </c>
      <c r="D15" s="5" t="n">
        <v>2087</v>
      </c>
      <c r="E15" s="5" t="n">
        <v>33.2250958055542</v>
      </c>
      <c r="F15" s="5" t="n">
        <v>126.298795361111</v>
      </c>
      <c r="G15" s="6">
        <f>HYPERLINK("https://map.naver.com/v5/search/33.2250958055542,126.298795361111","📍 네이버")</f>
        <v/>
      </c>
      <c r="H15" s="6">
        <f>HYPERLINK("https://map.kakao.com/link/map/삼각점모슬포425,33.2250958055542,126.298795361111","📍 카카오")</f>
        <v/>
      </c>
    </row>
    <row r="16">
      <c r="A16" s="17" t="inlineStr">
        <is>
          <t>#2</t>
        </is>
      </c>
      <c r="B16" s="17" t="inlineStr">
        <is>
          <t>통합기준점</t>
        </is>
      </c>
      <c r="C16" s="17" t="inlineStr">
        <is>
          <t>U모슬포23</t>
        </is>
      </c>
      <c r="D16" s="17" t="n">
        <v>2658</v>
      </c>
      <c r="E16" s="17" t="n">
        <v>33.2570997194431</v>
      </c>
      <c r="F16" s="17" t="n">
        <v>126.330825852778</v>
      </c>
      <c r="G16" s="18">
        <f>HYPERLINK("https://map.naver.com/v5/search/33.2570997194431,126.330825852778","📍 네이버")</f>
        <v/>
      </c>
      <c r="H16" s="18">
        <f>HYPERLINK("https://map.kakao.com/link/map/통합기준점U모슬포23,33.2570997194431,126.330825852778","📍 카카오")</f>
        <v/>
      </c>
    </row>
    <row r="17">
      <c r="A17" s="5" t="inlineStr">
        <is>
          <t>#2</t>
        </is>
      </c>
      <c r="B17" s="5" t="inlineStr">
        <is>
          <t>삼각점</t>
        </is>
      </c>
      <c r="C17" s="5" t="inlineStr">
        <is>
          <t>모슬포426</t>
        </is>
      </c>
      <c r="D17" s="5" t="n">
        <v>3804</v>
      </c>
      <c r="E17" s="5" t="n">
        <v>33.2439895555542</v>
      </c>
      <c r="F17" s="5" t="n">
        <v>126.349434972222</v>
      </c>
      <c r="G17" s="6">
        <f>HYPERLINK("https://map.naver.com/v5/search/33.2439895555542,126.349434972222","📍 네이버")</f>
        <v/>
      </c>
      <c r="H17" s="6">
        <f>HYPERLINK("https://map.kakao.com/link/map/삼각점모슬포426,33.2439895555542,126.349434972222","📍 카카오")</f>
        <v/>
      </c>
    </row>
    <row r="18">
      <c r="A18" s="5" t="inlineStr">
        <is>
          <t>#2</t>
        </is>
      </c>
      <c r="B18" s="5" t="inlineStr">
        <is>
          <t>삼각점</t>
        </is>
      </c>
      <c r="C18" s="5" t="inlineStr">
        <is>
          <t>모슬포403</t>
        </is>
      </c>
      <c r="D18" s="5" t="n">
        <v>4224</v>
      </c>
      <c r="E18" s="5" t="n">
        <v>33.2713275277764</v>
      </c>
      <c r="F18" s="5" t="n">
        <v>126.337607111111</v>
      </c>
      <c r="G18" s="6">
        <f>HYPERLINK("https://map.naver.com/v5/search/33.2713275277764,126.337607111111","📍 네이버")</f>
        <v/>
      </c>
      <c r="H18" s="6">
        <f>HYPERLINK("https://map.kakao.com/link/map/삼각점모슬포403,33.2713275277764,126.337607111111","📍 카카오")</f>
        <v/>
      </c>
    </row>
    <row r="19">
      <c r="A19" s="17" t="inlineStr">
        <is>
          <t>#2</t>
        </is>
      </c>
      <c r="B19" s="17" t="inlineStr">
        <is>
          <t>통합기준점</t>
        </is>
      </c>
      <c r="C19" s="17" t="inlineStr">
        <is>
          <t>U모슬포24</t>
        </is>
      </c>
      <c r="D19" s="17" t="n">
        <v>4287</v>
      </c>
      <c r="E19" s="17" t="n">
        <v>33.2519149166653</v>
      </c>
      <c r="F19" s="17" t="n">
        <v>126.264212133333</v>
      </c>
      <c r="G19" s="18">
        <f>HYPERLINK("https://map.naver.com/v5/search/33.2519149166653,126.264212133333","📍 네이버")</f>
        <v/>
      </c>
      <c r="H19" s="18">
        <f>HYPERLINK("https://map.kakao.com/link/map/통합기준점U모슬포24,33.2519149166653,126.264212133333","📍 카카오")</f>
        <v/>
      </c>
    </row>
    <row r="21" ht="18" customHeight="1">
      <c r="A21" s="16" t="inlineStr">
        <is>
          <t>▶ P1 #3  (36.668°N, 126.258°E) / 국가점수 70.8점 / 기준점 7개</t>
        </is>
      </c>
    </row>
    <row r="22">
      <c r="A22" s="5" t="inlineStr">
        <is>
          <t>#3</t>
        </is>
      </c>
      <c r="B22" s="5" t="inlineStr">
        <is>
          <t>삼각점</t>
        </is>
      </c>
      <c r="C22" s="5" t="inlineStr">
        <is>
          <t>신온401</t>
        </is>
      </c>
      <c r="D22" s="5" t="n">
        <v>1589</v>
      </c>
      <c r="E22" s="5" t="n">
        <v>36.6763103888884</v>
      </c>
      <c r="F22" s="5" t="n">
        <v>126.272391083333</v>
      </c>
      <c r="G22" s="6">
        <f>HYPERLINK("https://map.naver.com/v5/search/36.6763103888884,126.272391083333","📍 네이버")</f>
        <v/>
      </c>
      <c r="H22" s="6">
        <f>HYPERLINK("https://map.kakao.com/link/map/삼각점신온401,36.6763103888884,126.272391083333","📍 카카오")</f>
        <v/>
      </c>
    </row>
    <row r="23">
      <c r="A23" s="5" t="inlineStr">
        <is>
          <t>#3</t>
        </is>
      </c>
      <c r="B23" s="5" t="inlineStr">
        <is>
          <t>삼각점</t>
        </is>
      </c>
      <c r="C23" s="5" t="inlineStr">
        <is>
          <t>신온301</t>
        </is>
      </c>
      <c r="D23" s="5" t="n">
        <v>2665</v>
      </c>
      <c r="E23" s="5" t="n">
        <v>36.6911066666662</v>
      </c>
      <c r="F23" s="5" t="n">
        <v>126.265567527777</v>
      </c>
      <c r="G23" s="6">
        <f>HYPERLINK("https://map.naver.com/v5/search/36.6911066666662,126.265567527777","📍 네이버")</f>
        <v/>
      </c>
      <c r="H23" s="6">
        <f>HYPERLINK("https://map.kakao.com/link/map/삼각점신온301,36.6911066666662,126.265567527777","📍 카카오")</f>
        <v/>
      </c>
    </row>
    <row r="24">
      <c r="A24" s="5" t="inlineStr">
        <is>
          <t>#3</t>
        </is>
      </c>
      <c r="B24" s="5" t="inlineStr">
        <is>
          <t>삼각점</t>
        </is>
      </c>
      <c r="C24" s="5" t="inlineStr">
        <is>
          <t>신온430</t>
        </is>
      </c>
      <c r="D24" s="5" t="n">
        <v>3467</v>
      </c>
      <c r="E24" s="5" t="n">
        <v>36.6680870555551</v>
      </c>
      <c r="F24" s="5" t="n">
        <v>126.296831444444</v>
      </c>
      <c r="G24" s="6">
        <f>HYPERLINK("https://map.naver.com/v5/search/36.6680870555551,126.296831444444","📍 네이버")</f>
        <v/>
      </c>
      <c r="H24" s="6">
        <f>HYPERLINK("https://map.kakao.com/link/map/삼각점신온430,36.6680870555551,126.296831444444","📍 카카오")</f>
        <v/>
      </c>
    </row>
    <row r="25">
      <c r="A25" s="17" t="inlineStr">
        <is>
          <t>#3</t>
        </is>
      </c>
      <c r="B25" s="17" t="inlineStr">
        <is>
          <t>통합기준점</t>
        </is>
      </c>
      <c r="C25" s="17" t="inlineStr">
        <is>
          <t>U신온22</t>
        </is>
      </c>
      <c r="D25" s="17" t="n">
        <v>4442</v>
      </c>
      <c r="E25" s="17" t="n">
        <v>36.7006015638884</v>
      </c>
      <c r="F25" s="17" t="n">
        <v>126.286651872222</v>
      </c>
      <c r="G25" s="18">
        <f>HYPERLINK("https://map.naver.com/v5/search/36.7006015638884,126.286651872222","📍 네이버")</f>
        <v/>
      </c>
      <c r="H25" s="18">
        <f>HYPERLINK("https://map.kakao.com/link/map/통합기준점U신온22,36.7006015638884,126.286651872222","📍 카카오")</f>
        <v/>
      </c>
    </row>
    <row r="26">
      <c r="A26" s="5" t="inlineStr">
        <is>
          <t>#3</t>
        </is>
      </c>
      <c r="B26" s="5" t="inlineStr">
        <is>
          <t>삼각점</t>
        </is>
      </c>
      <c r="C26" s="5" t="inlineStr">
        <is>
          <t>근흥410</t>
        </is>
      </c>
      <c r="D26" s="5" t="n">
        <v>4537</v>
      </c>
      <c r="E26" s="5" t="n">
        <v>36.7010522777773</v>
      </c>
      <c r="F26" s="5" t="n">
        <v>126.228372555555</v>
      </c>
      <c r="G26" s="6">
        <f>HYPERLINK("https://map.naver.com/v5/search/36.7010522777773,126.228372555555","📍 네이버")</f>
        <v/>
      </c>
      <c r="H26" s="6">
        <f>HYPERLINK("https://map.kakao.com/link/map/삼각점근흥410,36.7010522777773,126.228372555555","📍 카카오")</f>
        <v/>
      </c>
    </row>
    <row r="27">
      <c r="A27" s="5" t="inlineStr">
        <is>
          <t>#3</t>
        </is>
      </c>
      <c r="B27" s="5" t="inlineStr">
        <is>
          <t>삼각점</t>
        </is>
      </c>
      <c r="C27" s="5" t="inlineStr">
        <is>
          <t>신온429</t>
        </is>
      </c>
      <c r="D27" s="5" t="n">
        <v>4852</v>
      </c>
      <c r="E27" s="5" t="n">
        <v>36.6446148611106</v>
      </c>
      <c r="F27" s="5" t="n">
        <v>126.304015333333</v>
      </c>
      <c r="G27" s="6">
        <f>HYPERLINK("https://map.naver.com/v5/search/36.6446148611106,126.304015333333","📍 네이버")</f>
        <v/>
      </c>
      <c r="H27" s="6">
        <f>HYPERLINK("https://map.kakao.com/link/map/삼각점신온429,36.6446148611106,126.304015333333","📍 카카오")</f>
        <v/>
      </c>
    </row>
    <row r="28">
      <c r="A28" s="17" t="inlineStr">
        <is>
          <t>#3</t>
        </is>
      </c>
      <c r="B28" s="17" t="inlineStr">
        <is>
          <t>통합기준점</t>
        </is>
      </c>
      <c r="C28" s="17" t="inlineStr">
        <is>
          <t>U신온33</t>
        </is>
      </c>
      <c r="D28" s="17" t="n">
        <v>4894</v>
      </c>
      <c r="E28" s="17" t="n">
        <v>36.6579417527773</v>
      </c>
      <c r="F28" s="17" t="n">
        <v>126.311397888889</v>
      </c>
      <c r="G28" s="18">
        <f>HYPERLINK("https://map.naver.com/v5/search/36.6579417527773,126.311397888889","📍 네이버")</f>
        <v/>
      </c>
      <c r="H28" s="18">
        <f>HYPERLINK("https://map.kakao.com/link/map/통합기준점U신온33,36.6579417527773,126.311397888889","📍 카카오")</f>
        <v/>
      </c>
    </row>
    <row r="30" ht="18" customHeight="1">
      <c r="A30" s="16" t="inlineStr">
        <is>
          <t>▶ P1 #4  (34.326°N, 126.511°E) / 국가점수 68.9점 / 기준점 7개</t>
        </is>
      </c>
    </row>
    <row r="31">
      <c r="A31" s="17" t="inlineStr">
        <is>
          <t>#4</t>
        </is>
      </c>
      <c r="B31" s="17" t="inlineStr">
        <is>
          <t>통합기준점</t>
        </is>
      </c>
      <c r="C31" s="17" t="inlineStr">
        <is>
          <t>U완도13</t>
        </is>
      </c>
      <c r="D31" s="17" t="n">
        <v>1009</v>
      </c>
      <c r="E31" s="17" t="n">
        <v>34.3218529249989</v>
      </c>
      <c r="F31" s="17" t="n">
        <v>126.520724908333</v>
      </c>
      <c r="G31" s="18">
        <f>HYPERLINK("https://map.naver.com/v5/search/34.3218529249989,126.520724908333","📍 네이버")</f>
        <v/>
      </c>
      <c r="H31" s="18">
        <f>HYPERLINK("https://map.kakao.com/link/map/통합기준점U완도13,34.3218529249989,126.520724908333","📍 카카오")</f>
        <v/>
      </c>
    </row>
    <row r="32">
      <c r="A32" s="5" t="inlineStr">
        <is>
          <t>#4</t>
        </is>
      </c>
      <c r="B32" s="5" t="inlineStr">
        <is>
          <t>삼각점</t>
        </is>
      </c>
      <c r="C32" s="5" t="inlineStr">
        <is>
          <t>완도445</t>
        </is>
      </c>
      <c r="D32" s="5" t="n">
        <v>2714</v>
      </c>
      <c r="E32" s="5" t="n">
        <v>34.3487575277767</v>
      </c>
      <c r="F32" s="5" t="n">
        <v>126.52184025</v>
      </c>
      <c r="G32" s="6">
        <f>HYPERLINK("https://map.naver.com/v5/search/34.3487575277767,126.52184025","📍 네이버")</f>
        <v/>
      </c>
      <c r="H32" s="6">
        <f>HYPERLINK("https://map.kakao.com/link/map/삼각점완도445,34.3487575277767,126.52184025","📍 카카오")</f>
        <v/>
      </c>
    </row>
    <row r="33">
      <c r="A33" s="5" t="inlineStr">
        <is>
          <t>#4</t>
        </is>
      </c>
      <c r="B33" s="5" t="inlineStr">
        <is>
          <t>삼각점</t>
        </is>
      </c>
      <c r="C33" s="5" t="inlineStr">
        <is>
          <t>완도440</t>
        </is>
      </c>
      <c r="D33" s="5" t="n">
        <v>3118</v>
      </c>
      <c r="E33" s="5" t="n">
        <v>34.3440847777767</v>
      </c>
      <c r="F33" s="5" t="n">
        <v>126.536931527778</v>
      </c>
      <c r="G33" s="6">
        <f>HYPERLINK("https://map.naver.com/v5/search/34.3440847777767,126.536931527778","📍 네이버")</f>
        <v/>
      </c>
      <c r="H33" s="6">
        <f>HYPERLINK("https://map.kakao.com/link/map/삼각점완도440,34.3440847777767,126.536931527778","📍 카카오")</f>
        <v/>
      </c>
    </row>
    <row r="34">
      <c r="A34" s="17" t="inlineStr">
        <is>
          <t>#4</t>
        </is>
      </c>
      <c r="B34" s="17" t="inlineStr">
        <is>
          <t>통합기준점</t>
        </is>
      </c>
      <c r="C34" s="17" t="inlineStr">
        <is>
          <t>U1140</t>
        </is>
      </c>
      <c r="D34" s="17" t="n">
        <v>3458</v>
      </c>
      <c r="E34" s="17" t="n">
        <v>34.2978768638878</v>
      </c>
      <c r="F34" s="17" t="n">
        <v>126.527175052778</v>
      </c>
      <c r="G34" s="18">
        <f>HYPERLINK("https://map.naver.com/v5/search/34.2978768638878,126.527175052778","📍 네이버")</f>
        <v/>
      </c>
      <c r="H34" s="18">
        <f>HYPERLINK("https://map.kakao.com/link/map/통합기준점U1140,34.2978768638878,126.527175052778","📍 카카오")</f>
        <v/>
      </c>
    </row>
    <row r="35">
      <c r="A35" s="17" t="inlineStr">
        <is>
          <t>#4</t>
        </is>
      </c>
      <c r="B35" s="17" t="inlineStr">
        <is>
          <t>통합기준점</t>
        </is>
      </c>
      <c r="C35" s="17" t="inlineStr">
        <is>
          <t>U완도73</t>
        </is>
      </c>
      <c r="D35" s="17" t="n">
        <v>4232</v>
      </c>
      <c r="E35" s="17" t="n">
        <v>34.3208833499989</v>
      </c>
      <c r="F35" s="17" t="n">
        <v>126.556550183333</v>
      </c>
      <c r="G35" s="18">
        <f>HYPERLINK("https://map.naver.com/v5/search/34.3208833499989,126.556550183333","📍 네이버")</f>
        <v/>
      </c>
      <c r="H35" s="18">
        <f>HYPERLINK("https://map.kakao.com/link/map/통합기준점U완도73,34.3208833499989,126.556550183333","📍 카카오")</f>
        <v/>
      </c>
    </row>
    <row r="36">
      <c r="A36" s="17" t="inlineStr">
        <is>
          <t>#4</t>
        </is>
      </c>
      <c r="B36" s="17" t="inlineStr">
        <is>
          <t>통합기준점</t>
        </is>
      </c>
      <c r="C36" s="17" t="inlineStr">
        <is>
          <t>U1137</t>
        </is>
      </c>
      <c r="D36" s="17" t="n">
        <v>4696</v>
      </c>
      <c r="E36" s="17" t="n">
        <v>34.3683432833322</v>
      </c>
      <c r="F36" s="17" t="n">
        <v>126.509681052778</v>
      </c>
      <c r="G36" s="18">
        <f>HYPERLINK("https://map.naver.com/v5/search/34.3683432833322,126.509681052778","📍 네이버")</f>
        <v/>
      </c>
      <c r="H36" s="18">
        <f>HYPERLINK("https://map.kakao.com/link/map/통합기준점U1137,34.3683432833322,126.509681052778","📍 카카오")</f>
        <v/>
      </c>
    </row>
    <row r="37">
      <c r="A37" s="5" t="inlineStr">
        <is>
          <t>#4</t>
        </is>
      </c>
      <c r="B37" s="5" t="inlineStr">
        <is>
          <t>삼각점</t>
        </is>
      </c>
      <c r="C37" s="5" t="inlineStr">
        <is>
          <t>완도443</t>
        </is>
      </c>
      <c r="D37" s="5" t="n">
        <v>4756</v>
      </c>
      <c r="E37" s="5" t="n">
        <v>34.3669505277767</v>
      </c>
      <c r="F37" s="5" t="n">
        <v>126.5263865</v>
      </c>
      <c r="G37" s="6">
        <f>HYPERLINK("https://map.naver.com/v5/search/34.3669505277767,126.5263865","📍 네이버")</f>
        <v/>
      </c>
      <c r="H37" s="6">
        <f>HYPERLINK("https://map.kakao.com/link/map/삼각점완도443,34.3669505277767,126.5263865","📍 카카오")</f>
        <v/>
      </c>
    </row>
    <row r="39" ht="18" customHeight="1">
      <c r="A39" s="16" t="inlineStr">
        <is>
          <t>▶ P1 #5  (36.130°N, 126.600°E) / 국가점수 60.5점 / 기준점 10개</t>
        </is>
      </c>
    </row>
    <row r="40">
      <c r="A40" s="17" t="inlineStr">
        <is>
          <t>#5</t>
        </is>
      </c>
      <c r="B40" s="17" t="inlineStr">
        <is>
          <t>통합기준점</t>
        </is>
      </c>
      <c r="C40" s="17" t="inlineStr">
        <is>
          <t>U0610</t>
        </is>
      </c>
      <c r="D40" s="17" t="n">
        <v>1295</v>
      </c>
      <c r="E40" s="17" t="n">
        <v>36.1415127027771</v>
      </c>
      <c r="F40" s="17" t="n">
        <v>126.602628197222</v>
      </c>
      <c r="G40" s="18">
        <f>HYPERLINK("https://map.naver.com/v5/search/36.1415127027771,126.602628197222","📍 네이버")</f>
        <v/>
      </c>
      <c r="H40" s="18">
        <f>HYPERLINK("https://map.kakao.com/link/map/통합기준점U0610,36.1415127027771,126.602628197222","📍 카카오")</f>
        <v/>
      </c>
    </row>
    <row r="41">
      <c r="A41" s="5" t="inlineStr">
        <is>
          <t>#5</t>
        </is>
      </c>
      <c r="B41" s="5" t="inlineStr">
        <is>
          <t>삼각점</t>
        </is>
      </c>
      <c r="C41" s="5" t="inlineStr">
        <is>
          <t>서천438</t>
        </is>
      </c>
      <c r="D41" s="5" t="n">
        <v>1884</v>
      </c>
      <c r="E41" s="5" t="n">
        <v>36.1267185555549</v>
      </c>
      <c r="F41" s="5" t="n">
        <v>126.62049275</v>
      </c>
      <c r="G41" s="6">
        <f>HYPERLINK("https://map.naver.com/v5/search/36.1267185555549,126.62049275","📍 네이버")</f>
        <v/>
      </c>
      <c r="H41" s="6">
        <f>HYPERLINK("https://map.kakao.com/link/map/삼각점서천438,36.1267185555549,126.62049275","📍 카카오")</f>
        <v/>
      </c>
    </row>
    <row r="42">
      <c r="A42" s="5" t="inlineStr">
        <is>
          <t>#5</t>
        </is>
      </c>
      <c r="B42" s="5" t="inlineStr">
        <is>
          <t>삼각점</t>
        </is>
      </c>
      <c r="C42" s="5" t="inlineStr">
        <is>
          <t>서천307</t>
        </is>
      </c>
      <c r="D42" s="5" t="n">
        <v>2178</v>
      </c>
      <c r="E42" s="5" t="n">
        <v>36.1435678333327</v>
      </c>
      <c r="F42" s="5" t="n">
        <v>126.617507694444</v>
      </c>
      <c r="G42" s="6">
        <f>HYPERLINK("https://map.naver.com/v5/search/36.1435678333327,126.617507694444","📍 네이버")</f>
        <v/>
      </c>
      <c r="H42" s="6">
        <f>HYPERLINK("https://map.kakao.com/link/map/삼각점서천307,36.1435678333327,126.617507694444","📍 카카오")</f>
        <v/>
      </c>
    </row>
    <row r="43">
      <c r="A43" s="5" t="inlineStr">
        <is>
          <t>#5</t>
        </is>
      </c>
      <c r="B43" s="5" t="inlineStr">
        <is>
          <t>삼각점</t>
        </is>
      </c>
      <c r="C43" s="5" t="inlineStr">
        <is>
          <t>서천437</t>
        </is>
      </c>
      <c r="D43" s="5" t="n">
        <v>3089</v>
      </c>
      <c r="E43" s="5" t="n">
        <v>36.1207307222216</v>
      </c>
      <c r="F43" s="5" t="n">
        <v>126.63231425</v>
      </c>
      <c r="G43" s="6">
        <f>HYPERLINK("https://map.naver.com/v5/search/36.1207307222216,126.63231425","📍 네이버")</f>
        <v/>
      </c>
      <c r="H43" s="6">
        <f>HYPERLINK("https://map.kakao.com/link/map/삼각점서천437,36.1207307222216,126.63231425","📍 카카오")</f>
        <v/>
      </c>
    </row>
    <row r="44">
      <c r="A44" s="5" t="inlineStr">
        <is>
          <t>#5</t>
        </is>
      </c>
      <c r="B44" s="5" t="inlineStr">
        <is>
          <t>삼각점</t>
        </is>
      </c>
      <c r="C44" s="5" t="inlineStr">
        <is>
          <t>서천439</t>
        </is>
      </c>
      <c r="D44" s="5" t="n">
        <v>3294</v>
      </c>
      <c r="E44" s="5" t="n">
        <v>36.1559703888882</v>
      </c>
      <c r="F44" s="5" t="n">
        <v>126.582112944444</v>
      </c>
      <c r="G44" s="6">
        <f>HYPERLINK("https://map.naver.com/v5/search/36.1559703888882,126.582112944444","📍 네이버")</f>
        <v/>
      </c>
      <c r="H44" s="6">
        <f>HYPERLINK("https://map.kakao.com/link/map/삼각점서천439,36.1559703888882,126.582112944444","📍 카카오")</f>
        <v/>
      </c>
    </row>
    <row r="45">
      <c r="A45" s="5" t="inlineStr">
        <is>
          <t>#5</t>
        </is>
      </c>
      <c r="B45" s="5" t="inlineStr">
        <is>
          <t>삼각점</t>
        </is>
      </c>
      <c r="C45" s="5" t="inlineStr">
        <is>
          <t>서천308</t>
        </is>
      </c>
      <c r="D45" s="5" t="n">
        <v>3594</v>
      </c>
      <c r="E45" s="5" t="n">
        <v>36.0995296388882</v>
      </c>
      <c r="F45" s="5" t="n">
        <v>126.613410638889</v>
      </c>
      <c r="G45" s="6">
        <f>HYPERLINK("https://map.naver.com/v5/search/36.0995296388882,126.613410638889","📍 네이버")</f>
        <v/>
      </c>
      <c r="H45" s="6">
        <f>HYPERLINK("https://map.kakao.com/link/map/삼각점서천308,36.0995296388882,126.613410638889","📍 카카오")</f>
        <v/>
      </c>
    </row>
    <row r="46">
      <c r="A46" s="5" t="inlineStr">
        <is>
          <t>#5</t>
        </is>
      </c>
      <c r="B46" s="5" t="inlineStr">
        <is>
          <t>삼각점</t>
        </is>
      </c>
      <c r="C46" s="5" t="inlineStr">
        <is>
          <t>서천23</t>
        </is>
      </c>
      <c r="D46" s="5" t="n">
        <v>3648</v>
      </c>
      <c r="E46" s="5" t="n">
        <v>36.1348217777771</v>
      </c>
      <c r="F46" s="5" t="n">
        <v>126.559851055555</v>
      </c>
      <c r="G46" s="6">
        <f>HYPERLINK("https://map.naver.com/v5/search/36.1348217777771,126.559851055555","📍 네이버")</f>
        <v/>
      </c>
      <c r="H46" s="6">
        <f>HYPERLINK("https://map.kakao.com/link/map/삼각점서천23,36.1348217777771,126.559851055555","📍 카카오")</f>
        <v/>
      </c>
    </row>
    <row r="47">
      <c r="A47" s="5" t="inlineStr">
        <is>
          <t>#5</t>
        </is>
      </c>
      <c r="B47" s="5" t="inlineStr">
        <is>
          <t>삼각점</t>
        </is>
      </c>
      <c r="C47" s="5" t="inlineStr">
        <is>
          <t>서천435</t>
        </is>
      </c>
      <c r="D47" s="5" t="n">
        <v>4643</v>
      </c>
      <c r="E47" s="5" t="n">
        <v>36.1512561111105</v>
      </c>
      <c r="F47" s="5" t="n">
        <v>126.644440583333</v>
      </c>
      <c r="G47" s="6">
        <f>HYPERLINK("https://map.naver.com/v5/search/36.1512561111105,126.644440583333","📍 네이버")</f>
        <v/>
      </c>
      <c r="H47" s="6">
        <f>HYPERLINK("https://map.kakao.com/link/map/삼각점서천435,36.1512561111105,126.644440583333","📍 카카오")</f>
        <v/>
      </c>
    </row>
    <row r="48">
      <c r="A48" s="5" t="inlineStr">
        <is>
          <t>#5</t>
        </is>
      </c>
      <c r="B48" s="5" t="inlineStr">
        <is>
          <t>삼각점</t>
        </is>
      </c>
      <c r="C48" s="5" t="inlineStr">
        <is>
          <t>서천407</t>
        </is>
      </c>
      <c r="D48" s="5" t="n">
        <v>4644</v>
      </c>
      <c r="E48" s="5" t="n">
        <v>36.171906416666</v>
      </c>
      <c r="F48" s="5" t="n">
        <v>126.59974</v>
      </c>
      <c r="G48" s="6">
        <f>HYPERLINK("https://map.naver.com/v5/search/36.171906416666,126.59974","📍 네이버")</f>
        <v/>
      </c>
      <c r="H48" s="6">
        <f>HYPERLINK("https://map.kakao.com/link/map/삼각점서천407,36.171906416666,126.59974","📍 카카오")</f>
        <v/>
      </c>
    </row>
    <row r="49">
      <c r="A49" s="17" t="inlineStr">
        <is>
          <t>#5</t>
        </is>
      </c>
      <c r="B49" s="17" t="inlineStr">
        <is>
          <t>통합기준점</t>
        </is>
      </c>
      <c r="C49" s="17" t="inlineStr">
        <is>
          <t>U서천35</t>
        </is>
      </c>
      <c r="D49" s="17" t="n">
        <v>4898</v>
      </c>
      <c r="E49" s="17" t="n">
        <v>36.1727604833327</v>
      </c>
      <c r="F49" s="17" t="n">
        <v>126.613736272222</v>
      </c>
      <c r="G49" s="18">
        <f>HYPERLINK("https://map.naver.com/v5/search/36.1727604833327,126.613736272222","📍 네이버")</f>
        <v/>
      </c>
      <c r="H49" s="18">
        <f>HYPERLINK("https://map.kakao.com/link/map/통합기준점U서천35,36.1727604833327,126.613736272222","📍 카카오")</f>
        <v/>
      </c>
    </row>
    <row r="51" ht="18" customHeight="1">
      <c r="A51" s="16" t="inlineStr">
        <is>
          <t>▶ P1 #6  (36.221°N, 126.710°E) / 국가점수 58.6점 / 기준점 13개</t>
        </is>
      </c>
    </row>
    <row r="52">
      <c r="A52" s="5" t="inlineStr">
        <is>
          <t>#6</t>
        </is>
      </c>
      <c r="B52" s="5" t="inlineStr">
        <is>
          <t>삼각점</t>
        </is>
      </c>
      <c r="C52" s="5" t="inlineStr">
        <is>
          <t>서천423</t>
        </is>
      </c>
      <c r="D52" s="5" t="n">
        <v>878</v>
      </c>
      <c r="E52" s="5" t="n">
        <v>36.2278084999994</v>
      </c>
      <c r="F52" s="5" t="n">
        <v>126.715105138889</v>
      </c>
      <c r="G52" s="6">
        <f>HYPERLINK("https://map.naver.com/v5/search/36.2278084999994,126.715105138889","📍 네이버")</f>
        <v/>
      </c>
      <c r="H52" s="6">
        <f>HYPERLINK("https://map.kakao.com/link/map/삼각점서천423,36.2278084999994,126.715105138889","📍 카카오")</f>
        <v/>
      </c>
    </row>
    <row r="53">
      <c r="A53" s="5" t="inlineStr">
        <is>
          <t>#6</t>
        </is>
      </c>
      <c r="B53" s="5" t="inlineStr">
        <is>
          <t>삼각점</t>
        </is>
      </c>
      <c r="C53" s="5" t="inlineStr">
        <is>
          <t>서천421</t>
        </is>
      </c>
      <c r="D53" s="5" t="n">
        <v>2012</v>
      </c>
      <c r="E53" s="5" t="n">
        <v>36.2057938611105</v>
      </c>
      <c r="F53" s="5" t="n">
        <v>126.697915388889</v>
      </c>
      <c r="G53" s="6">
        <f>HYPERLINK("https://map.naver.com/v5/search/36.2057938611105,126.697915388889","📍 네이버")</f>
        <v/>
      </c>
      <c r="H53" s="6">
        <f>HYPERLINK("https://map.kakao.com/link/map/삼각점서천421,36.2057938611105,126.697915388889","📍 카카오")</f>
        <v/>
      </c>
    </row>
    <row r="54">
      <c r="A54" s="5" t="inlineStr">
        <is>
          <t>#6</t>
        </is>
      </c>
      <c r="B54" s="5" t="inlineStr">
        <is>
          <t>삼각점</t>
        </is>
      </c>
      <c r="C54" s="5" t="inlineStr">
        <is>
          <t>서천305</t>
        </is>
      </c>
      <c r="D54" s="5" t="n">
        <v>2694</v>
      </c>
      <c r="E54" s="5" t="n">
        <v>36.2093476388883</v>
      </c>
      <c r="F54" s="5" t="n">
        <v>126.736496972222</v>
      </c>
      <c r="G54" s="6">
        <f>HYPERLINK("https://map.naver.com/v5/search/36.2093476388883,126.736496972222","📍 네이버")</f>
        <v/>
      </c>
      <c r="H54" s="6">
        <f>HYPERLINK("https://map.kakao.com/link/map/삼각점서천305,36.2093476388883,126.736496972222","📍 카카오")</f>
        <v/>
      </c>
    </row>
    <row r="55">
      <c r="A55" s="5" t="inlineStr">
        <is>
          <t>#6</t>
        </is>
      </c>
      <c r="B55" s="5" t="inlineStr">
        <is>
          <t>삼각점</t>
        </is>
      </c>
      <c r="C55" s="5" t="inlineStr">
        <is>
          <t>서천419</t>
        </is>
      </c>
      <c r="D55" s="5" t="n">
        <v>2971</v>
      </c>
      <c r="E55" s="5" t="n">
        <v>36.2357607499994</v>
      </c>
      <c r="F55" s="5" t="n">
        <v>126.682625694444</v>
      </c>
      <c r="G55" s="6">
        <f>HYPERLINK("https://map.naver.com/v5/search/36.2357607499994,126.682625694444","📍 네이버")</f>
        <v/>
      </c>
      <c r="H55" s="6">
        <f>HYPERLINK("https://map.kakao.com/link/map/삼각점서천419,36.2357607499994,126.682625694444","📍 카카오")</f>
        <v/>
      </c>
    </row>
    <row r="56">
      <c r="A56" s="5" t="inlineStr">
        <is>
          <t>#6</t>
        </is>
      </c>
      <c r="B56" s="5" t="inlineStr">
        <is>
          <t>삼각점</t>
        </is>
      </c>
      <c r="C56" s="5" t="inlineStr">
        <is>
          <t>서천424</t>
        </is>
      </c>
      <c r="D56" s="5" t="n">
        <v>3293</v>
      </c>
      <c r="E56" s="5" t="n">
        <v>36.2425494999994</v>
      </c>
      <c r="F56" s="5" t="n">
        <v>126.735335555556</v>
      </c>
      <c r="G56" s="6">
        <f>HYPERLINK("https://map.naver.com/v5/search/36.2425494999994,126.735335555556","📍 네이버")</f>
        <v/>
      </c>
      <c r="H56" s="6">
        <f>HYPERLINK("https://map.kakao.com/link/map/삼각점서천424,36.2425494999994,126.735335555556","📍 카카오")</f>
        <v/>
      </c>
    </row>
    <row r="57">
      <c r="A57" s="5" t="inlineStr">
        <is>
          <t>#6</t>
        </is>
      </c>
      <c r="B57" s="5" t="inlineStr">
        <is>
          <t>삼각점</t>
        </is>
      </c>
      <c r="C57" s="5" t="inlineStr">
        <is>
          <t>서천418</t>
        </is>
      </c>
      <c r="D57" s="5" t="n">
        <v>3667</v>
      </c>
      <c r="E57" s="5" t="n">
        <v>36.198817666666</v>
      </c>
      <c r="F57" s="5" t="n">
        <v>126.679899833333</v>
      </c>
      <c r="G57" s="6">
        <f>HYPERLINK("https://map.naver.com/v5/search/36.198817666666,126.679899833333","📍 네이버")</f>
        <v/>
      </c>
      <c r="H57" s="6">
        <f>HYPERLINK("https://map.kakao.com/link/map/삼각점서천418,36.198817666666,126.679899833333","📍 카카오")</f>
        <v/>
      </c>
    </row>
    <row r="58">
      <c r="A58" s="17" t="inlineStr">
        <is>
          <t>#6</t>
        </is>
      </c>
      <c r="B58" s="17" t="inlineStr">
        <is>
          <t>통합기준점</t>
        </is>
      </c>
      <c r="C58" s="17" t="inlineStr">
        <is>
          <t>U서천17</t>
        </is>
      </c>
      <c r="D58" s="17" t="n">
        <v>3839</v>
      </c>
      <c r="E58" s="17" t="n">
        <v>36.2089084722216</v>
      </c>
      <c r="F58" s="17" t="n">
        <v>126.670147875</v>
      </c>
      <c r="G58" s="18">
        <f>HYPERLINK("https://map.naver.com/v5/search/36.2089084722216,126.670147875","📍 네이버")</f>
        <v/>
      </c>
      <c r="H58" s="18">
        <f>HYPERLINK("https://map.kakao.com/link/map/통합기준점U서천17,36.2089084722216,126.670147875","📍 카카오")</f>
        <v/>
      </c>
    </row>
    <row r="59">
      <c r="A59" s="5" t="inlineStr">
        <is>
          <t>#6</t>
        </is>
      </c>
      <c r="B59" s="5" t="inlineStr">
        <is>
          <t>삼각점</t>
        </is>
      </c>
      <c r="C59" s="5" t="inlineStr">
        <is>
          <t>서천425</t>
        </is>
      </c>
      <c r="D59" s="5" t="n">
        <v>3881</v>
      </c>
      <c r="E59" s="5" t="n">
        <v>36.1963272777771</v>
      </c>
      <c r="F59" s="5" t="n">
        <v>126.740833833333</v>
      </c>
      <c r="G59" s="6">
        <f>HYPERLINK("https://map.naver.com/v5/search/36.1963272777771,126.740833833333","📍 네이버")</f>
        <v/>
      </c>
      <c r="H59" s="6">
        <f>HYPERLINK("https://map.kakao.com/link/map/삼각점서천425,36.1963272777771,126.740833833333","📍 카카오")</f>
        <v/>
      </c>
    </row>
    <row r="60">
      <c r="A60" s="5" t="inlineStr">
        <is>
          <t>#6</t>
        </is>
      </c>
      <c r="B60" s="5" t="inlineStr">
        <is>
          <t>삼각점</t>
        </is>
      </c>
      <c r="C60" s="5" t="inlineStr">
        <is>
          <t>서천304</t>
        </is>
      </c>
      <c r="D60" s="5" t="n">
        <v>3937</v>
      </c>
      <c r="E60" s="5" t="n">
        <v>36.2134274722216</v>
      </c>
      <c r="F60" s="5" t="n">
        <v>126.667383666667</v>
      </c>
      <c r="G60" s="6">
        <f>HYPERLINK("https://map.naver.com/v5/search/36.2134274722216,126.667383666667","📍 네이버")</f>
        <v/>
      </c>
      <c r="H60" s="6">
        <f>HYPERLINK("https://map.kakao.com/link/map/삼각점서천304,36.2134274722216,126.667383666667","📍 카카오")</f>
        <v/>
      </c>
    </row>
    <row r="61">
      <c r="A61" s="17" t="inlineStr">
        <is>
          <t>#6</t>
        </is>
      </c>
      <c r="B61" s="17" t="inlineStr">
        <is>
          <t>통합기준점</t>
        </is>
      </c>
      <c r="C61" s="17" t="inlineStr">
        <is>
          <t>U0608</t>
        </is>
      </c>
      <c r="D61" s="17" t="n">
        <v>3981</v>
      </c>
      <c r="E61" s="17" t="n">
        <v>36.190091416666</v>
      </c>
      <c r="F61" s="17" t="n">
        <v>126.732737880556</v>
      </c>
      <c r="G61" s="18">
        <f>HYPERLINK("https://map.naver.com/v5/search/36.190091416666,126.732737880556","📍 네이버")</f>
        <v/>
      </c>
      <c r="H61" s="18">
        <f>HYPERLINK("https://map.kakao.com/link/map/통합기준점U0608,36.190091416666,126.732737880556","📍 카카오")</f>
        <v/>
      </c>
    </row>
    <row r="62">
      <c r="A62" s="5" t="inlineStr">
        <is>
          <t>#6</t>
        </is>
      </c>
      <c r="B62" s="5" t="inlineStr">
        <is>
          <t>삼각점</t>
        </is>
      </c>
      <c r="C62" s="5" t="inlineStr">
        <is>
          <t>보령27</t>
        </is>
      </c>
      <c r="D62" s="5" t="n">
        <v>4002</v>
      </c>
      <c r="E62" s="5" t="n">
        <v>36.2564296944438</v>
      </c>
      <c r="F62" s="5" t="n">
        <v>126.718366888889</v>
      </c>
      <c r="G62" s="6">
        <f>HYPERLINK("https://map.naver.com/v5/search/36.2564296944438,126.718366888889","📍 네이버")</f>
        <v/>
      </c>
      <c r="H62" s="6">
        <f>HYPERLINK("https://map.kakao.com/link/map/삼각점보령27,36.2564296944438,126.718366888889","📍 카카오")</f>
        <v/>
      </c>
    </row>
    <row r="63">
      <c r="A63" s="5" t="inlineStr">
        <is>
          <t>#6</t>
        </is>
      </c>
      <c r="B63" s="5" t="inlineStr">
        <is>
          <t>삼각점</t>
        </is>
      </c>
      <c r="C63" s="5" t="inlineStr">
        <is>
          <t>서천420</t>
        </is>
      </c>
      <c r="D63" s="5" t="n">
        <v>4118</v>
      </c>
      <c r="E63" s="5" t="n">
        <v>36.1887300555549</v>
      </c>
      <c r="F63" s="5" t="n">
        <v>126.687469527778</v>
      </c>
      <c r="G63" s="6">
        <f>HYPERLINK("https://map.naver.com/v5/search/36.1887300555549,126.687469527778","📍 네이버")</f>
        <v/>
      </c>
      <c r="H63" s="6">
        <f>HYPERLINK("https://map.kakao.com/link/map/삼각점서천420,36.1887300555549,126.687469527778","📍 카카오")</f>
        <v/>
      </c>
    </row>
    <row r="64">
      <c r="A64" s="5" t="inlineStr">
        <is>
          <t>#6</t>
        </is>
      </c>
      <c r="B64" s="5" t="inlineStr">
        <is>
          <t>삼각점</t>
        </is>
      </c>
      <c r="C64" s="5" t="inlineStr">
        <is>
          <t>한산402</t>
        </is>
      </c>
      <c r="D64" s="5" t="n">
        <v>4456</v>
      </c>
      <c r="E64" s="5" t="n">
        <v>36.2203637777772</v>
      </c>
      <c r="F64" s="5" t="n">
        <v>126.759751583333</v>
      </c>
      <c r="G64" s="6">
        <f>HYPERLINK("https://map.naver.com/v5/search/36.2203637777772,126.759751583333","📍 네이버")</f>
        <v/>
      </c>
      <c r="H64" s="6">
        <f>HYPERLINK("https://map.kakao.com/link/map/삼각점한산402,36.2203637777772,126.759751583333","📍 카카오")</f>
        <v/>
      </c>
    </row>
    <row r="66" ht="18" customHeight="1">
      <c r="A66" s="16" t="inlineStr">
        <is>
          <t>▶ P1 #8  (35.501°N, 126.938°E) / 국가점수 63.0점 / 기준점 17개</t>
        </is>
      </c>
    </row>
    <row r="67">
      <c r="A67" s="17" t="inlineStr">
        <is>
          <t>#8</t>
        </is>
      </c>
      <c r="B67" s="17" t="inlineStr">
        <is>
          <t>통합기준점</t>
        </is>
      </c>
      <c r="C67" s="17" t="inlineStr">
        <is>
          <t>U담양02</t>
        </is>
      </c>
      <c r="D67" s="17" t="n">
        <v>1801</v>
      </c>
      <c r="E67" s="17" t="n">
        <v>35.4880434333325</v>
      </c>
      <c r="F67" s="17" t="n">
        <v>126.925787827778</v>
      </c>
      <c r="G67" s="18">
        <f>HYPERLINK("https://map.naver.com/v5/search/35.4880434333325,126.925787827778","📍 네이버")</f>
        <v/>
      </c>
      <c r="H67" s="18">
        <f>HYPERLINK("https://map.kakao.com/link/map/통합기준점U담양02,35.4880434333325,126.925787827778","📍 카카오")</f>
        <v/>
      </c>
    </row>
    <row r="68">
      <c r="A68" s="5" t="inlineStr">
        <is>
          <t>#8</t>
        </is>
      </c>
      <c r="B68" s="5" t="inlineStr">
        <is>
          <t>삼각점</t>
        </is>
      </c>
      <c r="C68" s="5" t="inlineStr">
        <is>
          <t>담양411</t>
        </is>
      </c>
      <c r="D68" s="5" t="n">
        <v>1820</v>
      </c>
      <c r="E68" s="5" t="n">
        <v>35.4961292222214</v>
      </c>
      <c r="F68" s="5" t="n">
        <v>126.918637638889</v>
      </c>
      <c r="G68" s="6">
        <f>HYPERLINK("https://map.naver.com/v5/search/35.4961292222214,126.918637638889","📍 네이버")</f>
        <v/>
      </c>
      <c r="H68" s="6">
        <f>HYPERLINK("https://map.kakao.com/link/map/삼각점담양411,35.4961292222214,126.918637638889","📍 카카오")</f>
        <v/>
      </c>
    </row>
    <row r="69">
      <c r="A69" s="5" t="inlineStr">
        <is>
          <t>#8</t>
        </is>
      </c>
      <c r="B69" s="5" t="inlineStr">
        <is>
          <t>삼각점</t>
        </is>
      </c>
      <c r="C69" s="5" t="inlineStr">
        <is>
          <t>담양305</t>
        </is>
      </c>
      <c r="D69" s="5" t="n">
        <v>2170</v>
      </c>
      <c r="E69" s="5" t="n">
        <v>35.4946617222214</v>
      </c>
      <c r="F69" s="5" t="n">
        <v>126.960459638889</v>
      </c>
      <c r="G69" s="6">
        <f>HYPERLINK("https://map.naver.com/v5/search/35.4946617222214,126.960459638889","📍 네이버")</f>
        <v/>
      </c>
      <c r="H69" s="6">
        <f>HYPERLINK("https://map.kakao.com/link/map/삼각점담양305,35.4946617222214,126.960459638889","📍 카카오")</f>
        <v/>
      </c>
    </row>
    <row r="70">
      <c r="A70" s="5" t="inlineStr">
        <is>
          <t>#8</t>
        </is>
      </c>
      <c r="B70" s="5" t="inlineStr">
        <is>
          <t>삼각점</t>
        </is>
      </c>
      <c r="C70" s="5" t="inlineStr">
        <is>
          <t>정읍474</t>
        </is>
      </c>
      <c r="D70" s="5" t="n">
        <v>2501</v>
      </c>
      <c r="E70" s="5" t="n">
        <v>35.5234527222214</v>
      </c>
      <c r="F70" s="5" t="n">
        <v>126.935736416667</v>
      </c>
      <c r="G70" s="6">
        <f>HYPERLINK("https://map.naver.com/v5/search/35.5234527222214,126.935736416667","📍 네이버")</f>
        <v/>
      </c>
      <c r="H70" s="6">
        <f>HYPERLINK("https://map.kakao.com/link/map/삼각점정읍474,35.5234527222214,126.935736416667","📍 카카오")</f>
        <v/>
      </c>
    </row>
    <row r="71">
      <c r="A71" s="5" t="inlineStr">
        <is>
          <t>#8</t>
        </is>
      </c>
      <c r="B71" s="5" t="inlineStr">
        <is>
          <t>삼각점</t>
        </is>
      </c>
      <c r="C71" s="5" t="inlineStr">
        <is>
          <t>정읍471</t>
        </is>
      </c>
      <c r="D71" s="5" t="n">
        <v>2506</v>
      </c>
      <c r="E71" s="5" t="n">
        <v>35.5160838055547</v>
      </c>
      <c r="F71" s="5" t="n">
        <v>126.917272722222</v>
      </c>
      <c r="G71" s="6">
        <f>HYPERLINK("https://map.naver.com/v5/search/35.5160838055547,126.917272722222","📍 네이버")</f>
        <v/>
      </c>
      <c r="H71" s="6">
        <f>HYPERLINK("https://map.kakao.com/link/map/삼각점정읍471,35.5160838055547,126.917272722222","📍 카카오")</f>
        <v/>
      </c>
    </row>
    <row r="72">
      <c r="A72" s="17" t="inlineStr">
        <is>
          <t>#8</t>
        </is>
      </c>
      <c r="B72" s="17" t="inlineStr">
        <is>
          <t>통합기준점</t>
        </is>
      </c>
      <c r="C72" s="17" t="inlineStr">
        <is>
          <t>U정읍30</t>
        </is>
      </c>
      <c r="D72" s="17" t="n">
        <v>2770</v>
      </c>
      <c r="E72" s="17" t="n">
        <v>35.5256201249992</v>
      </c>
      <c r="F72" s="17" t="n">
        <v>126.942744880556</v>
      </c>
      <c r="G72" s="18">
        <f>HYPERLINK("https://map.naver.com/v5/search/35.5256201249992,126.942744880556","📍 네이버")</f>
        <v/>
      </c>
      <c r="H72" s="18">
        <f>HYPERLINK("https://map.kakao.com/link/map/통합기준점U정읍30,35.5256201249992,126.942744880556","📍 카카오")</f>
        <v/>
      </c>
    </row>
    <row r="73">
      <c r="A73" s="5" t="inlineStr">
        <is>
          <t>#8</t>
        </is>
      </c>
      <c r="B73" s="5" t="inlineStr">
        <is>
          <t>삼각점</t>
        </is>
      </c>
      <c r="C73" s="5" t="inlineStr">
        <is>
          <t>담양412</t>
        </is>
      </c>
      <c r="D73" s="5" t="n">
        <v>3381</v>
      </c>
      <c r="E73" s="5" t="n">
        <v>35.4746140833325</v>
      </c>
      <c r="F73" s="5" t="n">
        <v>126.956549083333</v>
      </c>
      <c r="G73" s="6">
        <f>HYPERLINK("https://map.naver.com/v5/search/35.4746140833325,126.956549083333","📍 네이버")</f>
        <v/>
      </c>
      <c r="H73" s="6">
        <f>HYPERLINK("https://map.kakao.com/link/map/삼각점담양412,35.4746140833325,126.956549083333","📍 카카오")</f>
        <v/>
      </c>
    </row>
    <row r="74">
      <c r="A74" s="5" t="inlineStr">
        <is>
          <t>#8</t>
        </is>
      </c>
      <c r="B74" s="5" t="inlineStr">
        <is>
          <t>삼각점</t>
        </is>
      </c>
      <c r="C74" s="5" t="inlineStr">
        <is>
          <t>정읍475</t>
        </is>
      </c>
      <c r="D74" s="5" t="n">
        <v>3419</v>
      </c>
      <c r="E74" s="5" t="n">
        <v>35.5194912222214</v>
      </c>
      <c r="F74" s="5" t="n">
        <v>126.967946694444</v>
      </c>
      <c r="G74" s="6">
        <f>HYPERLINK("https://map.naver.com/v5/search/35.5194912222214,126.967946694444","📍 네이버")</f>
        <v/>
      </c>
      <c r="H74" s="6">
        <f>HYPERLINK("https://map.kakao.com/link/map/삼각점정읍475,35.5194912222214,126.967946694444","📍 카카오")</f>
        <v/>
      </c>
    </row>
    <row r="75">
      <c r="A75" s="17" t="inlineStr">
        <is>
          <t>#8</t>
        </is>
      </c>
      <c r="B75" s="17" t="inlineStr">
        <is>
          <t>통합기준점</t>
        </is>
      </c>
      <c r="C75" s="17" t="inlineStr">
        <is>
          <t>U0773</t>
        </is>
      </c>
      <c r="D75" s="17" t="n">
        <v>3526</v>
      </c>
      <c r="E75" s="17" t="n">
        <v>35.5098818194436</v>
      </c>
      <c r="F75" s="17" t="n">
        <v>126.900491063889</v>
      </c>
      <c r="G75" s="18">
        <f>HYPERLINK("https://map.naver.com/v5/search/35.5098818194436,126.900491063889","📍 네이버")</f>
        <v/>
      </c>
      <c r="H75" s="18">
        <f>HYPERLINK("https://map.kakao.com/link/map/통합기준점U0773,35.5098818194436,126.900491063889","📍 카카오")</f>
        <v/>
      </c>
    </row>
    <row r="76">
      <c r="A76" s="5" t="inlineStr">
        <is>
          <t>#8</t>
        </is>
      </c>
      <c r="B76" s="5" t="inlineStr">
        <is>
          <t>삼각점</t>
        </is>
      </c>
      <c r="C76" s="5" t="inlineStr">
        <is>
          <t>담양409</t>
        </is>
      </c>
      <c r="D76" s="5" t="n">
        <v>3936</v>
      </c>
      <c r="E76" s="5" t="n">
        <v>35.4672148611103</v>
      </c>
      <c r="F76" s="5" t="n">
        <v>126.924404083333</v>
      </c>
      <c r="G76" s="6">
        <f>HYPERLINK("https://map.naver.com/v5/search/35.4672148611103,126.924404083333","📍 네이버")</f>
        <v/>
      </c>
      <c r="H76" s="6">
        <f>HYPERLINK("https://map.kakao.com/link/map/삼각점담양409,35.4672148611103,126.924404083333","📍 카카오")</f>
        <v/>
      </c>
    </row>
    <row r="77">
      <c r="A77" s="17" t="inlineStr">
        <is>
          <t>#8</t>
        </is>
      </c>
      <c r="B77" s="17" t="inlineStr">
        <is>
          <t>통합기준점</t>
        </is>
      </c>
      <c r="C77" s="17" t="inlineStr">
        <is>
          <t>U정읍32</t>
        </is>
      </c>
      <c r="D77" s="17" t="n">
        <v>4139</v>
      </c>
      <c r="E77" s="17" t="n">
        <v>35.5226385666658</v>
      </c>
      <c r="F77" s="17" t="n">
        <v>126.974975586111</v>
      </c>
      <c r="G77" s="18">
        <f>HYPERLINK("https://map.naver.com/v5/search/35.5226385666658,126.974975586111","📍 네이버")</f>
        <v/>
      </c>
      <c r="H77" s="18">
        <f>HYPERLINK("https://map.kakao.com/link/map/통합기준점U정읍32,35.5226385666658,126.974975586111","📍 카카오")</f>
        <v/>
      </c>
    </row>
    <row r="78">
      <c r="A78" s="17" t="inlineStr">
        <is>
          <t>#8</t>
        </is>
      </c>
      <c r="B78" s="17" t="inlineStr">
        <is>
          <t>통합기준점</t>
        </is>
      </c>
      <c r="C78" s="17" t="inlineStr">
        <is>
          <t>U담양04</t>
        </is>
      </c>
      <c r="D78" s="17" t="n">
        <v>4220</v>
      </c>
      <c r="E78" s="17" t="n">
        <v>35.472741563888</v>
      </c>
      <c r="F78" s="17" t="n">
        <v>126.968998283333</v>
      </c>
      <c r="G78" s="18">
        <f>HYPERLINK("https://map.naver.com/v5/search/35.472741563888,126.968998283333","📍 네이버")</f>
        <v/>
      </c>
      <c r="H78" s="18">
        <f>HYPERLINK("https://map.kakao.com/link/map/통합기준점U담양04,35.472741563888,126.968998283333","📍 카카오")</f>
        <v/>
      </c>
    </row>
    <row r="79">
      <c r="A79" s="5" t="inlineStr">
        <is>
          <t>#8</t>
        </is>
      </c>
      <c r="B79" s="5" t="inlineStr">
        <is>
          <t>삼각점</t>
        </is>
      </c>
      <c r="C79" s="5" t="inlineStr">
        <is>
          <t>정읍472</t>
        </is>
      </c>
      <c r="D79" s="5" t="n">
        <v>4343</v>
      </c>
      <c r="E79" s="5" t="n">
        <v>35.5373491111103</v>
      </c>
      <c r="F79" s="5" t="n">
        <v>126.920095722222</v>
      </c>
      <c r="G79" s="6">
        <f>HYPERLINK("https://map.naver.com/v5/search/35.5373491111103,126.920095722222","📍 네이버")</f>
        <v/>
      </c>
      <c r="H79" s="6">
        <f>HYPERLINK("https://map.kakao.com/link/map/삼각점정읍472,35.5373491111103,126.920095722222","📍 카카오")</f>
        <v/>
      </c>
    </row>
    <row r="80">
      <c r="A80" s="5" t="inlineStr">
        <is>
          <t>#8</t>
        </is>
      </c>
      <c r="B80" s="5" t="inlineStr">
        <is>
          <t>삼각점</t>
        </is>
      </c>
      <c r="C80" s="5" t="inlineStr">
        <is>
          <t>정읍316</t>
        </is>
      </c>
      <c r="D80" s="5" t="n">
        <v>4364</v>
      </c>
      <c r="E80" s="5" t="n">
        <v>35.5383570833325</v>
      </c>
      <c r="F80" s="5" t="n">
        <v>126.952803277778</v>
      </c>
      <c r="G80" s="6">
        <f>HYPERLINK("https://map.naver.com/v5/search/35.5383570833325,126.952803277778","📍 네이버")</f>
        <v/>
      </c>
      <c r="H80" s="6">
        <f>HYPERLINK("https://map.kakao.com/link/map/삼각점정읍316,35.5383570833325,126.952803277778","📍 카카오")</f>
        <v/>
      </c>
    </row>
    <row r="81">
      <c r="A81" s="17" t="inlineStr">
        <is>
          <t>#8</t>
        </is>
      </c>
      <c r="B81" s="17" t="inlineStr">
        <is>
          <t>통합기준점</t>
        </is>
      </c>
      <c r="C81" s="17" t="inlineStr">
        <is>
          <t>U담양03</t>
        </is>
      </c>
      <c r="D81" s="17" t="n">
        <v>4657</v>
      </c>
      <c r="E81" s="17" t="n">
        <v>35.4960314027769</v>
      </c>
      <c r="F81" s="17" t="n">
        <v>126.988796436111</v>
      </c>
      <c r="G81" s="18">
        <f>HYPERLINK("https://map.naver.com/v5/search/35.4960314027769,126.988796436111","📍 네이버")</f>
        <v/>
      </c>
      <c r="H81" s="18">
        <f>HYPERLINK("https://map.kakao.com/link/map/통합기준점U담양03,35.4960314027769,126.988796436111","📍 카카오")</f>
        <v/>
      </c>
    </row>
    <row r="82">
      <c r="A82" s="5" t="inlineStr">
        <is>
          <t>#8</t>
        </is>
      </c>
      <c r="B82" s="5" t="inlineStr">
        <is>
          <t>삼각점</t>
        </is>
      </c>
      <c r="C82" s="5" t="inlineStr">
        <is>
          <t>담양415</t>
        </is>
      </c>
      <c r="D82" s="5" t="n">
        <v>4669</v>
      </c>
      <c r="E82" s="5" t="n">
        <v>35.4880687777769</v>
      </c>
      <c r="F82" s="5" t="n">
        <v>126.986804111111</v>
      </c>
      <c r="G82" s="6">
        <f>HYPERLINK("https://map.naver.com/v5/search/35.4880687777769,126.986804111111","📍 네이버")</f>
        <v/>
      </c>
      <c r="H82" s="6">
        <f>HYPERLINK("https://map.kakao.com/link/map/삼각점담양415,35.4880687777769,126.986804111111","📍 카카오")</f>
        <v/>
      </c>
    </row>
    <row r="83">
      <c r="A83" s="5" t="inlineStr">
        <is>
          <t>#8</t>
        </is>
      </c>
      <c r="B83" s="5" t="inlineStr">
        <is>
          <t>삼각점</t>
        </is>
      </c>
      <c r="C83" s="5" t="inlineStr">
        <is>
          <t>정읍477</t>
        </is>
      </c>
      <c r="D83" s="5" t="n">
        <v>4972</v>
      </c>
      <c r="E83" s="5" t="n">
        <v>35.5139203611103</v>
      </c>
      <c r="F83" s="5" t="n">
        <v>126.990300888889</v>
      </c>
      <c r="G83" s="6">
        <f>HYPERLINK("https://map.naver.com/v5/search/35.5139203611103,126.990300888889","📍 네이버")</f>
        <v/>
      </c>
      <c r="H83" s="6">
        <f>HYPERLINK("https://map.kakao.com/link/map/삼각점정읍477,35.5139203611103,126.990300888889","📍 카카오")</f>
        <v/>
      </c>
    </row>
    <row r="85" ht="18" customHeight="1">
      <c r="A85" s="16" t="inlineStr">
        <is>
          <t>▶ P1 #9  (36.583°N, 126.930°E) / 국가점수 61.1점 / 기준점 13개</t>
        </is>
      </c>
    </row>
    <row r="86">
      <c r="A86" s="17" t="inlineStr">
        <is>
          <t>#9</t>
        </is>
      </c>
      <c r="B86" s="17" t="inlineStr">
        <is>
          <t>통합기준점</t>
        </is>
      </c>
      <c r="C86" s="17" t="inlineStr">
        <is>
          <t>U예산19</t>
        </is>
      </c>
      <c r="D86" s="17" t="n">
        <v>630</v>
      </c>
      <c r="E86" s="17" t="n">
        <v>36.5821865361106</v>
      </c>
      <c r="F86" s="17" t="n">
        <v>126.937061258333</v>
      </c>
      <c r="G86" s="18">
        <f>HYPERLINK("https://map.naver.com/v5/search/36.5821865361106,126.937061258333","📍 네이버")</f>
        <v/>
      </c>
      <c r="H86" s="18">
        <f>HYPERLINK("https://map.kakao.com/link/map/통합기준점U예산19,36.5821865361106,126.937061258333","📍 카카오")</f>
        <v/>
      </c>
    </row>
    <row r="87">
      <c r="A87" s="5" t="inlineStr">
        <is>
          <t>#9</t>
        </is>
      </c>
      <c r="B87" s="5" t="inlineStr">
        <is>
          <t>삼각점</t>
        </is>
      </c>
      <c r="C87" s="5" t="inlineStr">
        <is>
          <t>예산427</t>
        </is>
      </c>
      <c r="D87" s="5" t="n">
        <v>997</v>
      </c>
      <c r="E87" s="5" t="n">
        <v>36.5917839722217</v>
      </c>
      <c r="F87" s="5" t="n">
        <v>126.930974083333</v>
      </c>
      <c r="G87" s="6">
        <f>HYPERLINK("https://map.naver.com/v5/search/36.5917839722217,126.930974083333","📍 네이버")</f>
        <v/>
      </c>
      <c r="H87" s="6">
        <f>HYPERLINK("https://map.kakao.com/link/map/삼각점예산427,36.5917839722217,126.930974083333","📍 카카오")</f>
        <v/>
      </c>
    </row>
    <row r="88">
      <c r="A88" s="5" t="inlineStr">
        <is>
          <t>#9</t>
        </is>
      </c>
      <c r="B88" s="5" t="inlineStr">
        <is>
          <t>삼각점</t>
        </is>
      </c>
      <c r="C88" s="5" t="inlineStr">
        <is>
          <t>예산27</t>
        </is>
      </c>
      <c r="D88" s="5" t="n">
        <v>2780</v>
      </c>
      <c r="E88" s="5" t="n">
        <v>36.5578031666661</v>
      </c>
      <c r="F88" s="5" t="n">
        <v>126.928357916667</v>
      </c>
      <c r="G88" s="6">
        <f>HYPERLINK("https://map.naver.com/v5/search/36.5578031666661,126.928357916667","📍 네이버")</f>
        <v/>
      </c>
      <c r="H88" s="6">
        <f>HYPERLINK("https://map.kakao.com/link/map/삼각점예산27,36.5578031666661,126.928357916667","📍 카카오")</f>
        <v/>
      </c>
    </row>
    <row r="89">
      <c r="A89" s="17" t="inlineStr">
        <is>
          <t>#9</t>
        </is>
      </c>
      <c r="B89" s="17" t="inlineStr">
        <is>
          <t>통합기준점</t>
        </is>
      </c>
      <c r="C89" s="17" t="inlineStr">
        <is>
          <t>U예산17</t>
        </is>
      </c>
      <c r="D89" s="17" t="n">
        <v>3245</v>
      </c>
      <c r="E89" s="17" t="n">
        <v>36.6070869055551</v>
      </c>
      <c r="F89" s="17" t="n">
        <v>126.909787880556</v>
      </c>
      <c r="G89" s="18">
        <f>HYPERLINK("https://map.naver.com/v5/search/36.6070869055551,126.909787880556","📍 네이버")</f>
        <v/>
      </c>
      <c r="H89" s="18">
        <f>HYPERLINK("https://map.kakao.com/link/map/통합기준점U예산17,36.6070869055551,126.909787880556","📍 카카오")</f>
        <v/>
      </c>
    </row>
    <row r="90">
      <c r="A90" s="17" t="inlineStr">
        <is>
          <t>#9</t>
        </is>
      </c>
      <c r="B90" s="17" t="inlineStr">
        <is>
          <t>통합기준점</t>
        </is>
      </c>
      <c r="C90" s="17" t="inlineStr">
        <is>
          <t>U예산39</t>
        </is>
      </c>
      <c r="D90" s="17" t="n">
        <v>3804</v>
      </c>
      <c r="E90" s="17" t="n">
        <v>36.5907482166662</v>
      </c>
      <c r="F90" s="17" t="n">
        <v>126.971447202778</v>
      </c>
      <c r="G90" s="18">
        <f>HYPERLINK("https://map.naver.com/v5/search/36.5907482166662,126.971447202778","📍 네이버")</f>
        <v/>
      </c>
      <c r="H90" s="18">
        <f>HYPERLINK("https://map.kakao.com/link/map/통합기준점U예산39,36.5907482166662,126.971447202778","📍 카카오")</f>
        <v/>
      </c>
    </row>
    <row r="91">
      <c r="A91" s="5" t="inlineStr">
        <is>
          <t>#9</t>
        </is>
      </c>
      <c r="B91" s="5" t="inlineStr">
        <is>
          <t>삼각점</t>
        </is>
      </c>
      <c r="C91" s="5" t="inlineStr">
        <is>
          <t>예산309</t>
        </is>
      </c>
      <c r="D91" s="5" t="n">
        <v>4087</v>
      </c>
      <c r="E91" s="5" t="n">
        <v>36.6009879444439</v>
      </c>
      <c r="F91" s="5" t="n">
        <v>126.890309861111</v>
      </c>
      <c r="G91" s="6">
        <f>HYPERLINK("https://map.naver.com/v5/search/36.6009879444439,126.890309861111","📍 네이버")</f>
        <v/>
      </c>
      <c r="H91" s="6">
        <f>HYPERLINK("https://map.kakao.com/link/map/삼각점예산309,36.6009879444439,126.890309861111","📍 카카오")</f>
        <v/>
      </c>
    </row>
    <row r="92">
      <c r="A92" s="17" t="inlineStr">
        <is>
          <t>#9</t>
        </is>
      </c>
      <c r="B92" s="17" t="inlineStr">
        <is>
          <t>통합기준점</t>
        </is>
      </c>
      <c r="C92" s="17" t="inlineStr">
        <is>
          <t>U0458</t>
        </is>
      </c>
      <c r="D92" s="17" t="n">
        <v>4112</v>
      </c>
      <c r="E92" s="17" t="n">
        <v>36.5493185527773</v>
      </c>
      <c r="F92" s="17" t="n">
        <v>126.949715683333</v>
      </c>
      <c r="G92" s="18">
        <f>HYPERLINK("https://map.naver.com/v5/search/36.5493185527773,126.949715683333","📍 네이버")</f>
        <v/>
      </c>
      <c r="H92" s="18">
        <f>HYPERLINK("https://map.kakao.com/link/map/통합기준점U0458,36.5493185527773,126.949715683333","📍 카카오")</f>
        <v/>
      </c>
    </row>
    <row r="93">
      <c r="A93" s="5" t="inlineStr">
        <is>
          <t>#9</t>
        </is>
      </c>
      <c r="B93" s="5" t="inlineStr">
        <is>
          <t>삼각점</t>
        </is>
      </c>
      <c r="C93" s="5" t="inlineStr">
        <is>
          <t>예산428</t>
        </is>
      </c>
      <c r="D93" s="5" t="n">
        <v>4175</v>
      </c>
      <c r="E93" s="5" t="n">
        <v>36.6156722222217</v>
      </c>
      <c r="F93" s="5" t="n">
        <v>126.907265555556</v>
      </c>
      <c r="G93" s="6">
        <f>HYPERLINK("https://map.naver.com/v5/search/36.6156722222217,126.907265555556","📍 네이버")</f>
        <v/>
      </c>
      <c r="H93" s="6">
        <f>HYPERLINK("https://map.kakao.com/link/map/삼각점예산428,36.6156722222217,126.907265555556","📍 카카오")</f>
        <v/>
      </c>
    </row>
    <row r="94">
      <c r="A94" s="5" t="inlineStr">
        <is>
          <t>#9</t>
        </is>
      </c>
      <c r="B94" s="5" t="inlineStr">
        <is>
          <t>삼각점</t>
        </is>
      </c>
      <c r="C94" s="5" t="inlineStr">
        <is>
          <t>예산458</t>
        </is>
      </c>
      <c r="D94" s="5" t="n">
        <v>4346</v>
      </c>
      <c r="E94" s="5" t="n">
        <v>36.5625314722217</v>
      </c>
      <c r="F94" s="5" t="n">
        <v>126.971615166667</v>
      </c>
      <c r="G94" s="6">
        <f>HYPERLINK("https://map.naver.com/v5/search/36.5625314722217,126.971615166667","📍 네이버")</f>
        <v/>
      </c>
      <c r="H94" s="6">
        <f>HYPERLINK("https://map.kakao.com/link/map/삼각점예산458,36.5625314722217,126.971615166667","📍 카카오")</f>
        <v/>
      </c>
    </row>
    <row r="95">
      <c r="A95" s="5" t="inlineStr">
        <is>
          <t>#9</t>
        </is>
      </c>
      <c r="B95" s="5" t="inlineStr">
        <is>
          <t>삼각점</t>
        </is>
      </c>
      <c r="C95" s="5" t="inlineStr">
        <is>
          <t>예산318</t>
        </is>
      </c>
      <c r="D95" s="5" t="n">
        <v>4470</v>
      </c>
      <c r="E95" s="5" t="n">
        <v>36.5615621944439</v>
      </c>
      <c r="F95" s="5" t="n">
        <v>126.887641972222</v>
      </c>
      <c r="G95" s="6">
        <f>HYPERLINK("https://map.naver.com/v5/search/36.5615621944439,126.887641972222","📍 네이버")</f>
        <v/>
      </c>
      <c r="H95" s="6">
        <f>HYPERLINK("https://map.kakao.com/link/map/삼각점예산318,36.5615621944439,126.887641972222","📍 카카오")</f>
        <v/>
      </c>
    </row>
    <row r="96">
      <c r="A96" s="5" t="inlineStr">
        <is>
          <t>#9</t>
        </is>
      </c>
      <c r="B96" s="5" t="inlineStr">
        <is>
          <t>삼각점</t>
        </is>
      </c>
      <c r="C96" s="5" t="inlineStr">
        <is>
          <t>예산453</t>
        </is>
      </c>
      <c r="D96" s="5" t="n">
        <v>4679</v>
      </c>
      <c r="E96" s="5" t="n">
        <v>36.5455173888884</v>
      </c>
      <c r="F96" s="5" t="n">
        <v>126.905689638889</v>
      </c>
      <c r="G96" s="6">
        <f>HYPERLINK("https://map.naver.com/v5/search/36.5455173888884,126.905689638889","📍 네이버")</f>
        <v/>
      </c>
      <c r="H96" s="6">
        <f>HYPERLINK("https://map.kakao.com/link/map/삼각점예산453,36.5455173888884,126.905689638889","📍 카카오")</f>
        <v/>
      </c>
    </row>
    <row r="97">
      <c r="A97" s="17" t="inlineStr">
        <is>
          <t>#9</t>
        </is>
      </c>
      <c r="B97" s="17" t="inlineStr">
        <is>
          <t>통합기준점</t>
        </is>
      </c>
      <c r="C97" s="17" t="inlineStr">
        <is>
          <t>U예산15</t>
        </is>
      </c>
      <c r="D97" s="17" t="n">
        <v>4835</v>
      </c>
      <c r="E97" s="17" t="n">
        <v>36.6258424138884</v>
      </c>
      <c r="F97" s="17" t="n">
        <v>126.92135075</v>
      </c>
      <c r="G97" s="18">
        <f>HYPERLINK("https://map.naver.com/v5/search/36.6258424138884,126.92135075","📍 네이버")</f>
        <v/>
      </c>
      <c r="H97" s="18">
        <f>HYPERLINK("https://map.kakao.com/link/map/통합기준점U예산15,36.6258424138884,126.92135075","📍 카카오")</f>
        <v/>
      </c>
    </row>
    <row r="98">
      <c r="A98" s="5" t="inlineStr">
        <is>
          <t>#9</t>
        </is>
      </c>
      <c r="B98" s="5" t="inlineStr">
        <is>
          <t>삼각점</t>
        </is>
      </c>
      <c r="C98" s="5" t="inlineStr">
        <is>
          <t>예산457</t>
        </is>
      </c>
      <c r="D98" s="5" t="n">
        <v>4960</v>
      </c>
      <c r="E98" s="5" t="n">
        <v>36.5428533888884</v>
      </c>
      <c r="F98" s="5" t="n">
        <v>126.954906444444</v>
      </c>
      <c r="G98" s="6">
        <f>HYPERLINK("https://map.naver.com/v5/search/36.5428533888884,126.954906444444","📍 네이버")</f>
        <v/>
      </c>
      <c r="H98" s="6">
        <f>HYPERLINK("https://map.kakao.com/link/map/삼각점예산457,36.5428533888884,126.954906444444","📍 카카오")</f>
        <v/>
      </c>
    </row>
    <row r="100" ht="18" customHeight="1">
      <c r="A100" s="16" t="inlineStr">
        <is>
          <t>▶ P1 #12  (34.600°N, 127.053°E) / 국가점수 69.9점 / 기준점 3개</t>
        </is>
      </c>
    </row>
    <row r="101">
      <c r="A101" s="5" t="inlineStr">
        <is>
          <t>#12</t>
        </is>
      </c>
      <c r="B101" s="5" t="inlineStr">
        <is>
          <t>삼각점</t>
        </is>
      </c>
      <c r="C101" s="5" t="inlineStr">
        <is>
          <t>회천425</t>
        </is>
      </c>
      <c r="D101" s="5" t="n">
        <v>4257</v>
      </c>
      <c r="E101" s="5" t="n">
        <v>34.6173537777767</v>
      </c>
      <c r="F101" s="5" t="n">
        <v>127.011759361111</v>
      </c>
      <c r="G101" s="6">
        <f>HYPERLINK("https://map.naver.com/v5/search/34.6173537777767,127.011759361111","📍 네이버")</f>
        <v/>
      </c>
      <c r="H101" s="6">
        <f>HYPERLINK("https://map.kakao.com/link/map/삼각점회천425,34.6173537777767,127.011759361111","📍 카카오")</f>
        <v/>
      </c>
    </row>
    <row r="102">
      <c r="A102" s="17" t="inlineStr">
        <is>
          <t>#12</t>
        </is>
      </c>
      <c r="B102" s="17" t="inlineStr">
        <is>
          <t>통합기준점</t>
        </is>
      </c>
      <c r="C102" s="17" t="inlineStr">
        <is>
          <t>U회천43</t>
        </is>
      </c>
      <c r="D102" s="17" t="n">
        <v>4552</v>
      </c>
      <c r="E102" s="17" t="n">
        <v>34.6407411138878</v>
      </c>
      <c r="F102" s="17" t="n">
        <v>127.050906972222</v>
      </c>
      <c r="G102" s="18">
        <f>HYPERLINK("https://map.naver.com/v5/search/34.6407411138878,127.050906972222","📍 네이버")</f>
        <v/>
      </c>
      <c r="H102" s="18">
        <f>HYPERLINK("https://map.kakao.com/link/map/통합기준점U회천43,34.6407411138878,127.050906972222","📍 카카오")</f>
        <v/>
      </c>
    </row>
    <row r="103">
      <c r="A103" s="5" t="inlineStr">
        <is>
          <t>#12</t>
        </is>
      </c>
      <c r="B103" s="5" t="inlineStr">
        <is>
          <t>삼각점</t>
        </is>
      </c>
      <c r="C103" s="5" t="inlineStr">
        <is>
          <t>회천423</t>
        </is>
      </c>
      <c r="D103" s="5" t="n">
        <v>4963</v>
      </c>
      <c r="E103" s="5" t="n">
        <v>34.6441438333323</v>
      </c>
      <c r="F103" s="5" t="n">
        <v>127.046307194444</v>
      </c>
      <c r="G103" s="6">
        <f>HYPERLINK("https://map.naver.com/v5/search/34.6441438333323,127.046307194444","📍 네이버")</f>
        <v/>
      </c>
      <c r="H103" s="6">
        <f>HYPERLINK("https://map.kakao.com/link/map/삼각점회천423,34.6441438333323,127.046307194444","📍 카카오")</f>
        <v/>
      </c>
    </row>
    <row r="105" ht="18" customHeight="1">
      <c r="A105" s="16" t="inlineStr">
        <is>
          <t>▶ P1 #13  (36.583°N, 127.042°E) / 국가점수 60.0점 / 기준점 15개</t>
        </is>
      </c>
    </row>
    <row r="106">
      <c r="A106" s="5" t="inlineStr">
        <is>
          <t>#13</t>
        </is>
      </c>
      <c r="B106" s="5" t="inlineStr">
        <is>
          <t>삼각점</t>
        </is>
      </c>
      <c r="C106" s="5" t="inlineStr">
        <is>
          <t>전의443</t>
        </is>
      </c>
      <c r="D106" s="5" t="n">
        <v>369</v>
      </c>
      <c r="E106" s="5" t="n">
        <v>36.5807484722217</v>
      </c>
      <c r="F106" s="5" t="n">
        <v>127.039224166667</v>
      </c>
      <c r="G106" s="6">
        <f>HYPERLINK("https://map.naver.com/v5/search/36.5807484722217,127.039224166667","📍 네이버")</f>
        <v/>
      </c>
      <c r="H106" s="6">
        <f>HYPERLINK("https://map.kakao.com/link/map/삼각점전의443,36.5807484722217,127.039224166667","📍 카카오")</f>
        <v/>
      </c>
    </row>
    <row r="107">
      <c r="A107" s="17" t="inlineStr">
        <is>
          <t>#13</t>
        </is>
      </c>
      <c r="B107" s="17" t="inlineStr">
        <is>
          <t>통합기준점</t>
        </is>
      </c>
      <c r="C107" s="17" t="inlineStr">
        <is>
          <t>U전의28</t>
        </is>
      </c>
      <c r="D107" s="17" t="n">
        <v>1203</v>
      </c>
      <c r="E107" s="17" t="n">
        <v>36.5725591111106</v>
      </c>
      <c r="F107" s="17" t="n">
        <v>127.040125111111</v>
      </c>
      <c r="G107" s="18">
        <f>HYPERLINK("https://map.naver.com/v5/search/36.5725591111106,127.040125111111","📍 네이버")</f>
        <v/>
      </c>
      <c r="H107" s="18">
        <f>HYPERLINK("https://map.kakao.com/link/map/통합기준점U전의28,36.5725591111106,127.040125111111","📍 카카오")</f>
        <v/>
      </c>
    </row>
    <row r="108">
      <c r="A108" s="17" t="inlineStr">
        <is>
          <t>#13</t>
        </is>
      </c>
      <c r="B108" s="17" t="inlineStr">
        <is>
          <t>통합기준점</t>
        </is>
      </c>
      <c r="C108" s="17" t="inlineStr">
        <is>
          <t>U전의17</t>
        </is>
      </c>
      <c r="D108" s="17" t="n">
        <v>1454</v>
      </c>
      <c r="E108" s="17" t="n">
        <v>36.5955260222217</v>
      </c>
      <c r="F108" s="17" t="n">
        <v>127.04773955</v>
      </c>
      <c r="G108" s="18">
        <f>HYPERLINK("https://map.naver.com/v5/search/36.5955260222217,127.04773955","📍 네이버")</f>
        <v/>
      </c>
      <c r="H108" s="18">
        <f>HYPERLINK("https://map.kakao.com/link/map/통합기준점U전의17,36.5955260222217,127.04773955","📍 카카오")</f>
        <v/>
      </c>
    </row>
    <row r="109">
      <c r="A109" s="5" t="inlineStr">
        <is>
          <t>#13</t>
        </is>
      </c>
      <c r="B109" s="5" t="inlineStr">
        <is>
          <t>삼각점</t>
        </is>
      </c>
      <c r="C109" s="5" t="inlineStr">
        <is>
          <t>전의445</t>
        </is>
      </c>
      <c r="D109" s="5" t="n">
        <v>1808</v>
      </c>
      <c r="E109" s="5" t="n">
        <v>36.5680819722217</v>
      </c>
      <c r="F109" s="5" t="n">
        <v>127.049050472222</v>
      </c>
      <c r="G109" s="6">
        <f>HYPERLINK("https://map.naver.com/v5/search/36.5680819722217,127.049050472222","📍 네이버")</f>
        <v/>
      </c>
      <c r="H109" s="6">
        <f>HYPERLINK("https://map.kakao.com/link/map/삼각점전의445,36.5680819722217,127.049050472222","📍 카카오")</f>
        <v/>
      </c>
    </row>
    <row r="110">
      <c r="A110" s="5" t="inlineStr">
        <is>
          <t>#13</t>
        </is>
      </c>
      <c r="B110" s="5" t="inlineStr">
        <is>
          <t>삼각점</t>
        </is>
      </c>
      <c r="C110" s="5" t="inlineStr">
        <is>
          <t>전의26</t>
        </is>
      </c>
      <c r="D110" s="5" t="n">
        <v>2336</v>
      </c>
      <c r="E110" s="5" t="n">
        <v>36.6027706388884</v>
      </c>
      <c r="F110" s="5" t="n">
        <v>127.031883833333</v>
      </c>
      <c r="G110" s="6">
        <f>HYPERLINK("https://map.naver.com/v5/search/36.6027706388884,127.031883833333","📍 네이버")</f>
        <v/>
      </c>
      <c r="H110" s="6">
        <f>HYPERLINK("https://map.kakao.com/link/map/삼각점전의26,36.6027706388884,127.031883833333","📍 카카오")</f>
        <v/>
      </c>
    </row>
    <row r="111">
      <c r="A111" s="5" t="inlineStr">
        <is>
          <t>#13</t>
        </is>
      </c>
      <c r="B111" s="5" t="inlineStr">
        <is>
          <t>삼각점</t>
        </is>
      </c>
      <c r="C111" s="5" t="inlineStr">
        <is>
          <t>전의447</t>
        </is>
      </c>
      <c r="D111" s="5" t="n">
        <v>2818</v>
      </c>
      <c r="E111" s="5" t="n">
        <v>36.5701205833328</v>
      </c>
      <c r="F111" s="5" t="n">
        <v>127.068766444444</v>
      </c>
      <c r="G111" s="6">
        <f>HYPERLINK("https://map.naver.com/v5/search/36.5701205833328,127.068766444444","📍 네이버")</f>
        <v/>
      </c>
      <c r="H111" s="6">
        <f>HYPERLINK("https://map.kakao.com/link/map/삼각점전의447,36.5701205833328,127.068766444444","📍 카카오")</f>
        <v/>
      </c>
    </row>
    <row r="112">
      <c r="A112" s="5" t="inlineStr">
        <is>
          <t>#13</t>
        </is>
      </c>
      <c r="B112" s="5" t="inlineStr">
        <is>
          <t>삼각점</t>
        </is>
      </c>
      <c r="C112" s="5" t="inlineStr">
        <is>
          <t>전의315</t>
        </is>
      </c>
      <c r="D112" s="5" t="n">
        <v>2960</v>
      </c>
      <c r="E112" s="5" t="n">
        <v>36.5987600277773</v>
      </c>
      <c r="F112" s="5" t="n">
        <v>127.068824222222</v>
      </c>
      <c r="G112" s="6">
        <f>HYPERLINK("https://map.naver.com/v5/search/36.5987600277773,127.068824222222","📍 네이버")</f>
        <v/>
      </c>
      <c r="H112" s="6">
        <f>HYPERLINK("https://map.kakao.com/link/map/삼각점전의315,36.5987600277773,127.068824222222","📍 카카오")</f>
        <v/>
      </c>
    </row>
    <row r="113">
      <c r="A113" s="5" t="inlineStr">
        <is>
          <t>#13</t>
        </is>
      </c>
      <c r="B113" s="5" t="inlineStr">
        <is>
          <t>삼각점</t>
        </is>
      </c>
      <c r="C113" s="5" t="inlineStr">
        <is>
          <t>전의440</t>
        </is>
      </c>
      <c r="D113" s="5" t="n">
        <v>2967</v>
      </c>
      <c r="E113" s="5" t="n">
        <v>36.5586529999995</v>
      </c>
      <c r="F113" s="5" t="n">
        <v>127.028997055556</v>
      </c>
      <c r="G113" s="6">
        <f>HYPERLINK("https://map.naver.com/v5/search/36.5586529999995,127.028997055556","📍 네이버")</f>
        <v/>
      </c>
      <c r="H113" s="6">
        <f>HYPERLINK("https://map.kakao.com/link/map/삼각점전의440,36.5586529999995,127.028997055556","📍 카카오")</f>
        <v/>
      </c>
    </row>
    <row r="114">
      <c r="A114" s="5" t="inlineStr">
        <is>
          <t>#13</t>
        </is>
      </c>
      <c r="B114" s="5" t="inlineStr">
        <is>
          <t>삼각점</t>
        </is>
      </c>
      <c r="C114" s="5" t="inlineStr">
        <is>
          <t>전의439</t>
        </is>
      </c>
      <c r="D114" s="5" t="n">
        <v>3047</v>
      </c>
      <c r="E114" s="5" t="n">
        <v>36.586395055555</v>
      </c>
      <c r="F114" s="5" t="n">
        <v>127.008003805556</v>
      </c>
      <c r="G114" s="6">
        <f>HYPERLINK("https://map.naver.com/v5/search/36.586395055555,127.008003805556","📍 네이버")</f>
        <v/>
      </c>
      <c r="H114" s="6">
        <f>HYPERLINK("https://map.kakao.com/link/map/삼각점전의439,36.586395055555,127.008003805556","📍 카카오")</f>
        <v/>
      </c>
    </row>
    <row r="115">
      <c r="A115" s="17" t="inlineStr">
        <is>
          <t>#13</t>
        </is>
      </c>
      <c r="B115" s="17" t="inlineStr">
        <is>
          <t>통합기준점</t>
        </is>
      </c>
      <c r="C115" s="17" t="inlineStr">
        <is>
          <t>U전의23</t>
        </is>
      </c>
      <c r="D115" s="17" t="n">
        <v>3542</v>
      </c>
      <c r="E115" s="17" t="n">
        <v>36.5562727277773</v>
      </c>
      <c r="F115" s="17" t="n">
        <v>127.020790127778</v>
      </c>
      <c r="G115" s="18">
        <f>HYPERLINK("https://map.naver.com/v5/search/36.5562727277773,127.020790127778","📍 네이버")</f>
        <v/>
      </c>
      <c r="H115" s="18">
        <f>HYPERLINK("https://map.kakao.com/link/map/통합기준점U전의23,36.5562727277773,127.020790127778","📍 카카오")</f>
        <v/>
      </c>
    </row>
    <row r="116">
      <c r="A116" s="17" t="inlineStr">
        <is>
          <t>#13</t>
        </is>
      </c>
      <c r="B116" s="17" t="inlineStr">
        <is>
          <t>통합기준점</t>
        </is>
      </c>
      <c r="C116" s="17" t="inlineStr">
        <is>
          <t>U전의15</t>
        </is>
      </c>
      <c r="D116" s="17" t="n">
        <v>3826</v>
      </c>
      <c r="E116" s="17" t="n">
        <v>36.6122000083328</v>
      </c>
      <c r="F116" s="17" t="n">
        <v>127.018476794444</v>
      </c>
      <c r="G116" s="18">
        <f>HYPERLINK("https://map.naver.com/v5/search/36.6122000083328,127.018476794444","📍 네이버")</f>
        <v/>
      </c>
      <c r="H116" s="18">
        <f>HYPERLINK("https://map.kakao.com/link/map/통합기준점U전의15,36.6122000083328,127.018476794444","📍 카카오")</f>
        <v/>
      </c>
    </row>
    <row r="117">
      <c r="A117" s="5" t="inlineStr">
        <is>
          <t>#13</t>
        </is>
      </c>
      <c r="B117" s="5" t="inlineStr">
        <is>
          <t>삼각점</t>
        </is>
      </c>
      <c r="C117" s="5" t="inlineStr">
        <is>
          <t>전의436</t>
        </is>
      </c>
      <c r="D117" s="5" t="n">
        <v>3920</v>
      </c>
      <c r="E117" s="5" t="n">
        <v>36.6180976944439</v>
      </c>
      <c r="F117" s="5" t="n">
        <v>127.049553111111</v>
      </c>
      <c r="G117" s="6">
        <f>HYPERLINK("https://map.naver.com/v5/search/36.6180976944439,127.049553111111","📍 네이버")</f>
        <v/>
      </c>
      <c r="H117" s="6">
        <f>HYPERLINK("https://map.kakao.com/link/map/삼각점전의436,36.6180976944439,127.049553111111","📍 카카오")</f>
        <v/>
      </c>
    </row>
    <row r="118">
      <c r="A118" s="5" t="inlineStr">
        <is>
          <t>#13</t>
        </is>
      </c>
      <c r="B118" s="5" t="inlineStr">
        <is>
          <t>삼각점</t>
        </is>
      </c>
      <c r="C118" s="5" t="inlineStr">
        <is>
          <t>전의27</t>
        </is>
      </c>
      <c r="D118" s="5" t="n">
        <v>4153</v>
      </c>
      <c r="E118" s="5" t="n">
        <v>36.548503305555</v>
      </c>
      <c r="F118" s="5" t="n">
        <v>127.058949111111</v>
      </c>
      <c r="G118" s="6">
        <f>HYPERLINK("https://map.naver.com/v5/search/36.548503305555,127.058949111111","📍 네이버")</f>
        <v/>
      </c>
      <c r="H118" s="6">
        <f>HYPERLINK("https://map.kakao.com/link/map/삼각점전의27,36.548503305555,127.058949111111","📍 카카오")</f>
        <v/>
      </c>
    </row>
    <row r="119">
      <c r="A119" s="17" t="inlineStr">
        <is>
          <t>#13</t>
        </is>
      </c>
      <c r="B119" s="17" t="inlineStr">
        <is>
          <t>통합기준점</t>
        </is>
      </c>
      <c r="C119" s="17" t="inlineStr">
        <is>
          <t>U전의29</t>
        </is>
      </c>
      <c r="D119" s="17" t="n">
        <v>4731</v>
      </c>
      <c r="E119" s="17" t="n">
        <v>36.6241874999995</v>
      </c>
      <c r="F119" s="17" t="n">
        <v>127.056953416667</v>
      </c>
      <c r="G119" s="18">
        <f>HYPERLINK("https://map.naver.com/v5/search/36.6241874999995,127.056953416667","📍 네이버")</f>
        <v/>
      </c>
      <c r="H119" s="18">
        <f>HYPERLINK("https://map.kakao.com/link/map/통합기준점U전의29,36.6241874999995,127.056953416667","📍 카카오")</f>
        <v/>
      </c>
    </row>
    <row r="120">
      <c r="A120" s="5" t="inlineStr">
        <is>
          <t>#13</t>
        </is>
      </c>
      <c r="B120" s="5" t="inlineStr">
        <is>
          <t>삼각점</t>
        </is>
      </c>
      <c r="C120" s="5" t="inlineStr">
        <is>
          <t>예산463</t>
        </is>
      </c>
      <c r="D120" s="5" t="n">
        <v>4829</v>
      </c>
      <c r="E120" s="5" t="n">
        <v>36.5787918611106</v>
      </c>
      <c r="F120" s="5" t="n">
        <v>126.988165111111</v>
      </c>
      <c r="G120" s="6">
        <f>HYPERLINK("https://map.naver.com/v5/search/36.5787918611106,126.988165111111","📍 네이버")</f>
        <v/>
      </c>
      <c r="H120" s="6">
        <f>HYPERLINK("https://map.kakao.com/link/map/삼각점예산463,36.5787918611106,126.988165111111","📍 카카오")</f>
        <v/>
      </c>
    </row>
    <row r="122" ht="18" customHeight="1">
      <c r="A122" s="16" t="inlineStr">
        <is>
          <t>▶ P1 #14  (38.206°N, 127.032°E) / 국가점수 58.0점 / 기준점 9개</t>
        </is>
      </c>
    </row>
    <row r="123">
      <c r="A123" s="5" t="inlineStr">
        <is>
          <t>#14</t>
        </is>
      </c>
      <c r="B123" s="5" t="inlineStr">
        <is>
          <t>삼각점</t>
        </is>
      </c>
      <c r="C123" s="5" t="inlineStr">
        <is>
          <t>철원302</t>
        </is>
      </c>
      <c r="D123" s="5" t="n">
        <v>968</v>
      </c>
      <c r="E123" s="5" t="n">
        <v>38.2046644722223</v>
      </c>
      <c r="F123" s="5" t="n">
        <v>127.042835138889</v>
      </c>
      <c r="G123" s="6">
        <f>HYPERLINK("https://map.naver.com/v5/search/38.2046644722223,127.042835138889","📍 네이버")</f>
        <v/>
      </c>
      <c r="H123" s="6">
        <f>HYPERLINK("https://map.kakao.com/link/map/삼각점철원302,38.2046644722223,127.042835138889","📍 카카오")</f>
        <v/>
      </c>
    </row>
    <row r="124">
      <c r="A124" s="5" t="inlineStr">
        <is>
          <t>#14</t>
        </is>
      </c>
      <c r="B124" s="5" t="inlineStr">
        <is>
          <t>삼각점</t>
        </is>
      </c>
      <c r="C124" s="5" t="inlineStr">
        <is>
          <t>철원401</t>
        </is>
      </c>
      <c r="D124" s="5" t="n">
        <v>3091</v>
      </c>
      <c r="E124" s="5" t="n">
        <v>38.1778798611112</v>
      </c>
      <c r="F124" s="5" t="n">
        <v>127.031857833333</v>
      </c>
      <c r="G124" s="6">
        <f>HYPERLINK("https://map.naver.com/v5/search/38.1778798611112,127.031857833333","📍 네이버")</f>
        <v/>
      </c>
      <c r="H124" s="6">
        <f>HYPERLINK("https://map.kakao.com/link/map/삼각점철원401,38.1778798611112,127.031857833333","📍 카카오")</f>
        <v/>
      </c>
    </row>
    <row r="125">
      <c r="A125" s="5" t="inlineStr">
        <is>
          <t>#14</t>
        </is>
      </c>
      <c r="B125" s="5" t="inlineStr">
        <is>
          <t>삼각점</t>
        </is>
      </c>
      <c r="C125" s="5" t="inlineStr">
        <is>
          <t>철원405</t>
        </is>
      </c>
      <c r="D125" s="5" t="n">
        <v>3271</v>
      </c>
      <c r="E125" s="5" t="n">
        <v>38.2011056944445</v>
      </c>
      <c r="F125" s="5" t="n">
        <v>127.068755083333</v>
      </c>
      <c r="G125" s="6">
        <f>HYPERLINK("https://map.naver.com/v5/search/38.2011056944445,127.068755083333","📍 네이버")</f>
        <v/>
      </c>
      <c r="H125" s="6">
        <f>HYPERLINK("https://map.kakao.com/link/map/삼각점철원405,38.2011056944445,127.068755083333","📍 카카오")</f>
        <v/>
      </c>
    </row>
    <row r="126">
      <c r="A126" s="5" t="inlineStr">
        <is>
          <t>#14</t>
        </is>
      </c>
      <c r="B126" s="5" t="inlineStr">
        <is>
          <t>삼각점</t>
        </is>
      </c>
      <c r="C126" s="5" t="inlineStr">
        <is>
          <t>철원402</t>
        </is>
      </c>
      <c r="D126" s="5" t="n">
        <v>3455</v>
      </c>
      <c r="E126" s="5" t="n">
        <v>38.2332397500001</v>
      </c>
      <c r="F126" s="5" t="n">
        <v>127.050363694444</v>
      </c>
      <c r="G126" s="6">
        <f>HYPERLINK("https://map.naver.com/v5/search/38.2332397500001,127.050363694444","📍 네이버")</f>
        <v/>
      </c>
      <c r="H126" s="6">
        <f>HYPERLINK("https://map.kakao.com/link/map/삼각점철원402,38.2332397500001,127.050363694444","📍 카카오")</f>
        <v/>
      </c>
    </row>
    <row r="127">
      <c r="A127" s="5" t="inlineStr">
        <is>
          <t>#14</t>
        </is>
      </c>
      <c r="B127" s="5" t="inlineStr">
        <is>
          <t>삼각점</t>
        </is>
      </c>
      <c r="C127" s="5" t="inlineStr">
        <is>
          <t>철원21</t>
        </is>
      </c>
      <c r="D127" s="5" t="n">
        <v>3464</v>
      </c>
      <c r="E127" s="5" t="n">
        <v>38.1848776111112</v>
      </c>
      <c r="F127" s="5" t="n">
        <v>127.002438777778</v>
      </c>
      <c r="G127" s="6">
        <f>HYPERLINK("https://map.naver.com/v5/search/38.1848776111112,127.002438777778","📍 네이버")</f>
        <v/>
      </c>
      <c r="H127" s="6">
        <f>HYPERLINK("https://map.kakao.com/link/map/삼각점철원21,38.1848776111112,127.002438777778","📍 카카오")</f>
        <v/>
      </c>
    </row>
    <row r="128">
      <c r="A128" s="5" t="inlineStr">
        <is>
          <t>#14</t>
        </is>
      </c>
      <c r="B128" s="5" t="inlineStr">
        <is>
          <t>삼각점</t>
        </is>
      </c>
      <c r="C128" s="5" t="inlineStr">
        <is>
          <t>철원403</t>
        </is>
      </c>
      <c r="D128" s="5" t="n">
        <v>3693</v>
      </c>
      <c r="E128" s="5" t="n">
        <v>38.1840342777779</v>
      </c>
      <c r="F128" s="5" t="n">
        <v>127.063825083333</v>
      </c>
      <c r="G128" s="6">
        <f>HYPERLINK("https://map.naver.com/v5/search/38.1840342777779,127.063825083333","📍 네이버")</f>
        <v/>
      </c>
      <c r="H128" s="6">
        <f>HYPERLINK("https://map.kakao.com/link/map/삼각점철원403,38.1840342777779,127.063825083333","📍 카카오")</f>
        <v/>
      </c>
    </row>
    <row r="129">
      <c r="A129" s="5" t="inlineStr">
        <is>
          <t>#14</t>
        </is>
      </c>
      <c r="B129" s="5" t="inlineStr">
        <is>
          <t>삼각점</t>
        </is>
      </c>
      <c r="C129" s="5" t="inlineStr">
        <is>
          <t>철원404</t>
        </is>
      </c>
      <c r="D129" s="5" t="n">
        <v>3733</v>
      </c>
      <c r="E129" s="5" t="n">
        <v>38.2262364444446</v>
      </c>
      <c r="F129" s="5" t="n">
        <v>127.065673916667</v>
      </c>
      <c r="G129" s="6">
        <f>HYPERLINK("https://map.naver.com/v5/search/38.2262364444446,127.065673916667","📍 네이버")</f>
        <v/>
      </c>
      <c r="H129" s="6">
        <f>HYPERLINK("https://map.kakao.com/link/map/삼각점철원404,38.2262364444446,127.065673916667","📍 카카오")</f>
        <v/>
      </c>
    </row>
    <row r="130">
      <c r="A130" s="5" t="inlineStr">
        <is>
          <t>#14</t>
        </is>
      </c>
      <c r="B130" s="5" t="inlineStr">
        <is>
          <t>삼각점</t>
        </is>
      </c>
      <c r="C130" s="5" t="inlineStr">
        <is>
          <t>철원445</t>
        </is>
      </c>
      <c r="D130" s="5" t="n">
        <v>4833</v>
      </c>
      <c r="E130" s="5" t="n">
        <v>38.1654760277778</v>
      </c>
      <c r="F130" s="5" t="n">
        <v>127.010810694444</v>
      </c>
      <c r="G130" s="6">
        <f>HYPERLINK("https://map.naver.com/v5/search/38.1654760277778,127.010810694444","📍 네이버")</f>
        <v/>
      </c>
      <c r="H130" s="6">
        <f>HYPERLINK("https://map.kakao.com/link/map/삼각점철원445,38.1654760277778,127.010810694444","📍 카카오")</f>
        <v/>
      </c>
    </row>
    <row r="131">
      <c r="A131" s="5" t="inlineStr">
        <is>
          <t>#14</t>
        </is>
      </c>
      <c r="B131" s="5" t="inlineStr">
        <is>
          <t>삼각점</t>
        </is>
      </c>
      <c r="C131" s="5" t="inlineStr">
        <is>
          <t>철원441</t>
        </is>
      </c>
      <c r="D131" s="5" t="n">
        <v>4985</v>
      </c>
      <c r="E131" s="5" t="n">
        <v>38.1609685000001</v>
      </c>
      <c r="F131" s="5" t="n">
        <v>127.036626944444</v>
      </c>
      <c r="G131" s="6">
        <f>HYPERLINK("https://map.naver.com/v5/search/38.1609685000001,127.036626944444","📍 네이버")</f>
        <v/>
      </c>
      <c r="H131" s="6">
        <f>HYPERLINK("https://map.kakao.com/link/map/삼각점철원441,38.1609685000001,127.036626944444","📍 카카오")</f>
        <v/>
      </c>
    </row>
    <row r="133" ht="18" customHeight="1">
      <c r="A133" s="16" t="inlineStr">
        <is>
          <t>▶ P1 #15  (34.690°N, 127.162°E) / 국가점수 65.6점 / 기준점 5개</t>
        </is>
      </c>
    </row>
    <row r="134">
      <c r="A134" s="17" t="inlineStr">
        <is>
          <t>#15</t>
        </is>
      </c>
      <c r="B134" s="17" t="inlineStr">
        <is>
          <t>통합기준점</t>
        </is>
      </c>
      <c r="C134" s="17" t="inlineStr">
        <is>
          <t>U회천28</t>
        </is>
      </c>
      <c r="D134" s="17" t="n">
        <v>2123</v>
      </c>
      <c r="E134" s="17" t="n">
        <v>34.6961680222212</v>
      </c>
      <c r="F134" s="17" t="n">
        <v>127.183752466667</v>
      </c>
      <c r="G134" s="18">
        <f>HYPERLINK("https://map.naver.com/v5/search/34.6961680222212,127.183752466667","📍 네이버")</f>
        <v/>
      </c>
      <c r="H134" s="18">
        <f>HYPERLINK("https://map.kakao.com/link/map/통합기준점U회천28,34.6961680222212,127.183752466667","📍 카카오")</f>
        <v/>
      </c>
    </row>
    <row r="135">
      <c r="A135" s="5" t="inlineStr">
        <is>
          <t>#15</t>
        </is>
      </c>
      <c r="B135" s="5" t="inlineStr">
        <is>
          <t>삼각점</t>
        </is>
      </c>
      <c r="C135" s="5" t="inlineStr">
        <is>
          <t>회천22</t>
        </is>
      </c>
      <c r="D135" s="5" t="n">
        <v>2425</v>
      </c>
      <c r="E135" s="5" t="n">
        <v>34.7087041388879</v>
      </c>
      <c r="F135" s="5" t="n">
        <v>127.175920833333</v>
      </c>
      <c r="G135" s="6">
        <f>HYPERLINK("https://map.naver.com/v5/search/34.7087041388879,127.175920833333","📍 네이버")</f>
        <v/>
      </c>
      <c r="H135" s="6">
        <f>HYPERLINK("https://map.kakao.com/link/map/삼각점회천22,34.7087041388879,127.175920833333","📍 카카오")</f>
        <v/>
      </c>
    </row>
    <row r="136">
      <c r="A136" s="5" t="inlineStr">
        <is>
          <t>#15</t>
        </is>
      </c>
      <c r="B136" s="5" t="inlineStr">
        <is>
          <t>삼각점</t>
        </is>
      </c>
      <c r="C136" s="5" t="inlineStr">
        <is>
          <t>회천417</t>
        </is>
      </c>
      <c r="D136" s="5" t="n">
        <v>2540</v>
      </c>
      <c r="E136" s="5" t="n">
        <v>34.7077521944434</v>
      </c>
      <c r="F136" s="5" t="n">
        <v>127.143787944444</v>
      </c>
      <c r="G136" s="6">
        <f>HYPERLINK("https://map.naver.com/v5/search/34.7077521944434,127.143787944444","📍 네이버")</f>
        <v/>
      </c>
      <c r="H136" s="6">
        <f>HYPERLINK("https://map.kakao.com/link/map/삼각점회천417,34.7077521944434,127.143787944444","📍 카카오")</f>
        <v/>
      </c>
    </row>
    <row r="137">
      <c r="A137" s="17" t="inlineStr">
        <is>
          <t>#15</t>
        </is>
      </c>
      <c r="B137" s="17" t="inlineStr">
        <is>
          <t>통합기준점</t>
        </is>
      </c>
      <c r="C137" s="17" t="inlineStr">
        <is>
          <t>U회천16</t>
        </is>
      </c>
      <c r="D137" s="17" t="n">
        <v>3060</v>
      </c>
      <c r="E137" s="17" t="n">
        <v>34.7046524166656</v>
      </c>
      <c r="F137" s="17" t="n">
        <v>127.133191291667</v>
      </c>
      <c r="G137" s="18">
        <f>HYPERLINK("https://map.naver.com/v5/search/34.7046524166656,127.133191291667","📍 네이버")</f>
        <v/>
      </c>
      <c r="H137" s="18">
        <f>HYPERLINK("https://map.kakao.com/link/map/통합기준점U회천16,34.7046524166656,127.133191291667","📍 카카오")</f>
        <v/>
      </c>
    </row>
    <row r="138">
      <c r="A138" s="5" t="inlineStr">
        <is>
          <t>#15</t>
        </is>
      </c>
      <c r="B138" s="5" t="inlineStr">
        <is>
          <t>삼각점</t>
        </is>
      </c>
      <c r="C138" s="5" t="inlineStr">
        <is>
          <t>회천414</t>
        </is>
      </c>
      <c r="D138" s="5" t="n">
        <v>3833</v>
      </c>
      <c r="E138" s="5" t="n">
        <v>34.6987370555545</v>
      </c>
      <c r="F138" s="5" t="n">
        <v>127.121126722222</v>
      </c>
      <c r="G138" s="6">
        <f>HYPERLINK("https://map.naver.com/v5/search/34.6987370555545,127.121126722222","📍 네이버")</f>
        <v/>
      </c>
      <c r="H138" s="6">
        <f>HYPERLINK("https://map.kakao.com/link/map/삼각점회천414,34.6987370555545,127.121126722222","📍 카카오")</f>
        <v/>
      </c>
    </row>
    <row r="140" ht="18" customHeight="1">
      <c r="A140" s="16" t="inlineStr">
        <is>
          <t>▶ P1 #16  (35.592°N, 127.158°E) / 국가점수 60.1점 / 기준점 13개</t>
        </is>
      </c>
    </row>
    <row r="141">
      <c r="A141" s="5" t="inlineStr">
        <is>
          <t>#16</t>
        </is>
      </c>
      <c r="B141" s="5" t="inlineStr">
        <is>
          <t>삼각점</t>
        </is>
      </c>
      <c r="C141" s="5" t="inlineStr">
        <is>
          <t>갈담431</t>
        </is>
      </c>
      <c r="D141" s="5" t="n">
        <v>1623</v>
      </c>
      <c r="E141" s="5" t="n">
        <v>35.5917703055548</v>
      </c>
      <c r="F141" s="5" t="n">
        <v>127.140035472222</v>
      </c>
      <c r="G141" s="6">
        <f>HYPERLINK("https://map.naver.com/v5/search/35.5917703055548,127.140035472222","📍 네이버")</f>
        <v/>
      </c>
      <c r="H141" s="6">
        <f>HYPERLINK("https://map.kakao.com/link/map/삼각점갈담431,35.5917703055548,127.140035472222","📍 카카오")</f>
        <v/>
      </c>
    </row>
    <row r="142">
      <c r="A142" s="17" t="inlineStr">
        <is>
          <t>#16</t>
        </is>
      </c>
      <c r="B142" s="17" t="inlineStr">
        <is>
          <t>통합기준점</t>
        </is>
      </c>
      <c r="C142" s="17" t="inlineStr">
        <is>
          <t>U갈담19</t>
        </is>
      </c>
      <c r="D142" s="17" t="n">
        <v>1839</v>
      </c>
      <c r="E142" s="17" t="n">
        <v>35.6061545916659</v>
      </c>
      <c r="F142" s="17" t="n">
        <v>127.168441433333</v>
      </c>
      <c r="G142" s="18">
        <f>HYPERLINK("https://map.naver.com/v5/search/35.6061545916659,127.168441433333","📍 네이버")</f>
        <v/>
      </c>
      <c r="H142" s="18">
        <f>HYPERLINK("https://map.kakao.com/link/map/통합기준점U갈담19,35.6061545916659,127.168441433333","📍 카카오")</f>
        <v/>
      </c>
    </row>
    <row r="143">
      <c r="A143" s="5" t="inlineStr">
        <is>
          <t>#16</t>
        </is>
      </c>
      <c r="B143" s="5" t="inlineStr">
        <is>
          <t>삼각점</t>
        </is>
      </c>
      <c r="C143" s="5" t="inlineStr">
        <is>
          <t>갈담428</t>
        </is>
      </c>
      <c r="D143" s="5" t="n">
        <v>1866</v>
      </c>
      <c r="E143" s="5" t="n">
        <v>35.607974277777</v>
      </c>
      <c r="F143" s="5" t="n">
        <v>127.16428025</v>
      </c>
      <c r="G143" s="6">
        <f>HYPERLINK("https://map.naver.com/v5/search/35.607974277777,127.16428025","📍 네이버")</f>
        <v/>
      </c>
      <c r="H143" s="6">
        <f>HYPERLINK("https://map.kakao.com/link/map/삼각점갈담428,35.607974277777,127.16428025","📍 카카오")</f>
        <v/>
      </c>
    </row>
    <row r="144">
      <c r="A144" s="17" t="inlineStr">
        <is>
          <t>#16</t>
        </is>
      </c>
      <c r="B144" s="17" t="inlineStr">
        <is>
          <t>통합기준점</t>
        </is>
      </c>
      <c r="C144" s="17" t="inlineStr">
        <is>
          <t>U갈담34</t>
        </is>
      </c>
      <c r="D144" s="17" t="n">
        <v>2889</v>
      </c>
      <c r="E144" s="17" t="n">
        <v>35.5737192499992</v>
      </c>
      <c r="F144" s="17" t="n">
        <v>127.135184527778</v>
      </c>
      <c r="G144" s="18">
        <f>HYPERLINK("https://map.naver.com/v5/search/35.5737192499992,127.135184527778","📍 네이버")</f>
        <v/>
      </c>
      <c r="H144" s="18">
        <f>HYPERLINK("https://map.kakao.com/link/map/통합기준점U갈담34,35.5737192499992,127.135184527778","📍 카카오")</f>
        <v/>
      </c>
    </row>
    <row r="145">
      <c r="A145" s="5" t="inlineStr">
        <is>
          <t>#16</t>
        </is>
      </c>
      <c r="B145" s="5" t="inlineStr">
        <is>
          <t>삼각점</t>
        </is>
      </c>
      <c r="C145" s="5" t="inlineStr">
        <is>
          <t>갈담25</t>
        </is>
      </c>
      <c r="D145" s="5" t="n">
        <v>2900</v>
      </c>
      <c r="E145" s="5" t="n">
        <v>35.5673589999992</v>
      </c>
      <c r="F145" s="5" t="n">
        <v>127.168786333333</v>
      </c>
      <c r="G145" s="6">
        <f>HYPERLINK("https://map.naver.com/v5/search/35.5673589999992,127.168786333333","📍 네이버")</f>
        <v/>
      </c>
      <c r="H145" s="6">
        <f>HYPERLINK("https://map.kakao.com/link/map/삼각점갈담25,35.5673589999992,127.168786333333","📍 카카오")</f>
        <v/>
      </c>
    </row>
    <row r="146">
      <c r="A146" s="17" t="inlineStr">
        <is>
          <t>#16</t>
        </is>
      </c>
      <c r="B146" s="17" t="inlineStr">
        <is>
          <t>통합기준점</t>
        </is>
      </c>
      <c r="C146" s="17" t="inlineStr">
        <is>
          <t>U갈담21</t>
        </is>
      </c>
      <c r="D146" s="17" t="n">
        <v>3165</v>
      </c>
      <c r="E146" s="17" t="n">
        <v>35.5946084805547</v>
      </c>
      <c r="F146" s="17" t="n">
        <v>127.123166091667</v>
      </c>
      <c r="G146" s="18">
        <f>HYPERLINK("https://map.naver.com/v5/search/35.5946084805547,127.123166091667","📍 네이버")</f>
        <v/>
      </c>
      <c r="H146" s="18">
        <f>HYPERLINK("https://map.kakao.com/link/map/통합기준점U갈담21,35.5946084805547,127.123166091667","📍 카카오")</f>
        <v/>
      </c>
    </row>
    <row r="147">
      <c r="A147" s="17" t="inlineStr">
        <is>
          <t>#16</t>
        </is>
      </c>
      <c r="B147" s="17" t="inlineStr">
        <is>
          <t>통합기준점</t>
        </is>
      </c>
      <c r="C147" s="17" t="inlineStr">
        <is>
          <t>U갈담37</t>
        </is>
      </c>
      <c r="D147" s="17" t="n">
        <v>3587</v>
      </c>
      <c r="E147" s="17" t="n">
        <v>35.5794727416659</v>
      </c>
      <c r="F147" s="17" t="n">
        <v>127.194471511111</v>
      </c>
      <c r="G147" s="18">
        <f>HYPERLINK("https://map.naver.com/v5/search/35.5794727416659,127.194471511111","📍 네이버")</f>
        <v/>
      </c>
      <c r="H147" s="18">
        <f>HYPERLINK("https://map.kakao.com/link/map/통합기준점U갈담37,35.5794727416659,127.194471511111","📍 카카오")</f>
        <v/>
      </c>
    </row>
    <row r="148">
      <c r="A148" s="5" t="inlineStr">
        <is>
          <t>#16</t>
        </is>
      </c>
      <c r="B148" s="5" t="inlineStr">
        <is>
          <t>삼각점</t>
        </is>
      </c>
      <c r="C148" s="5" t="inlineStr">
        <is>
          <t>갈담458</t>
        </is>
      </c>
      <c r="D148" s="5" t="n">
        <v>3701</v>
      </c>
      <c r="E148" s="5" t="n">
        <v>35.5677205555547</v>
      </c>
      <c r="F148" s="5" t="n">
        <v>127.129882638889</v>
      </c>
      <c r="G148" s="6">
        <f>HYPERLINK("https://map.naver.com/v5/search/35.5677205555547,127.129882638889","📍 네이버")</f>
        <v/>
      </c>
      <c r="H148" s="6">
        <f>HYPERLINK("https://map.kakao.com/link/map/삼각점갈담458,35.5677205555547,127.129882638889","📍 카카오")</f>
        <v/>
      </c>
    </row>
    <row r="149">
      <c r="A149" s="5" t="inlineStr">
        <is>
          <t>#16</t>
        </is>
      </c>
      <c r="B149" s="5" t="inlineStr">
        <is>
          <t>삼각점</t>
        </is>
      </c>
      <c r="C149" s="5" t="inlineStr">
        <is>
          <t>갈담310</t>
        </is>
      </c>
      <c r="D149" s="5" t="n">
        <v>3704</v>
      </c>
      <c r="E149" s="5" t="n">
        <v>35.6117791111103</v>
      </c>
      <c r="F149" s="5" t="n">
        <v>127.125032027778</v>
      </c>
      <c r="G149" s="6">
        <f>HYPERLINK("https://map.naver.com/v5/search/35.6117791111103,127.125032027778","📍 네이버")</f>
        <v/>
      </c>
      <c r="H149" s="6">
        <f>HYPERLINK("https://map.kakao.com/link/map/삼각점갈담310,35.6117791111103,127.125032027778","📍 카카오")</f>
        <v/>
      </c>
    </row>
    <row r="150">
      <c r="A150" s="17" t="inlineStr">
        <is>
          <t>#16</t>
        </is>
      </c>
      <c r="B150" s="17" t="inlineStr">
        <is>
          <t>통합기준점</t>
        </is>
      </c>
      <c r="C150" s="17" t="inlineStr">
        <is>
          <t>U갈담35</t>
        </is>
      </c>
      <c r="D150" s="17" t="n">
        <v>4149</v>
      </c>
      <c r="E150" s="17" t="n">
        <v>35.5571089416659</v>
      </c>
      <c r="F150" s="17" t="n">
        <v>127.141297819444</v>
      </c>
      <c r="G150" s="18">
        <f>HYPERLINK("https://map.naver.com/v5/search/35.5571089416659,127.141297819444","📍 네이버")</f>
        <v/>
      </c>
      <c r="H150" s="18">
        <f>HYPERLINK("https://map.kakao.com/link/map/통합기준점U갈담35,35.5571089416659,127.141297819444","📍 카카오")</f>
        <v/>
      </c>
    </row>
    <row r="151">
      <c r="A151" s="17" t="inlineStr">
        <is>
          <t>#16</t>
        </is>
      </c>
      <c r="B151" s="17" t="inlineStr">
        <is>
          <t>통합기준점</t>
        </is>
      </c>
      <c r="C151" s="17" t="inlineStr">
        <is>
          <t>U갈담18</t>
        </is>
      </c>
      <c r="D151" s="17" t="n">
        <v>4213</v>
      </c>
      <c r="E151" s="17" t="n">
        <v>35.6097992166659</v>
      </c>
      <c r="F151" s="17" t="n">
        <v>127.199017572222</v>
      </c>
      <c r="G151" s="18">
        <f>HYPERLINK("https://map.naver.com/v5/search/35.6097992166659,127.199017572222","📍 네이버")</f>
        <v/>
      </c>
      <c r="H151" s="18">
        <f>HYPERLINK("https://map.kakao.com/link/map/통합기준점U갈담18,35.6097992166659,127.199017572222","📍 카카오")</f>
        <v/>
      </c>
    </row>
    <row r="152">
      <c r="A152" s="5" t="inlineStr">
        <is>
          <t>#16</t>
        </is>
      </c>
      <c r="B152" s="5" t="inlineStr">
        <is>
          <t>삼각점</t>
        </is>
      </c>
      <c r="C152" s="5" t="inlineStr">
        <is>
          <t>갈담464</t>
        </is>
      </c>
      <c r="D152" s="5" t="n">
        <v>4913</v>
      </c>
      <c r="E152" s="5" t="n">
        <v>35.5642111944436</v>
      </c>
      <c r="F152" s="5" t="n">
        <v>127.200212194444</v>
      </c>
      <c r="G152" s="6">
        <f>HYPERLINK("https://map.naver.com/v5/search/35.5642111944436,127.200212194444","📍 네이버")</f>
        <v/>
      </c>
      <c r="H152" s="6">
        <f>HYPERLINK("https://map.kakao.com/link/map/삼각점갈담464,35.5642111944436,127.200212194444","📍 카카오")</f>
        <v/>
      </c>
    </row>
    <row r="153">
      <c r="A153" s="5" t="inlineStr">
        <is>
          <t>#16</t>
        </is>
      </c>
      <c r="B153" s="5" t="inlineStr">
        <is>
          <t>삼각점</t>
        </is>
      </c>
      <c r="C153" s="5" t="inlineStr">
        <is>
          <t>갈담466</t>
        </is>
      </c>
      <c r="D153" s="5" t="n">
        <v>4959</v>
      </c>
      <c r="E153" s="5" t="n">
        <v>35.5807778055547</v>
      </c>
      <c r="F153" s="5" t="n">
        <v>127.210948111111</v>
      </c>
      <c r="G153" s="6">
        <f>HYPERLINK("https://map.naver.com/v5/search/35.5807778055547,127.210948111111","📍 네이버")</f>
        <v/>
      </c>
      <c r="H153" s="6">
        <f>HYPERLINK("https://map.kakao.com/link/map/삼각점갈담466,35.5807778055547,127.210948111111","📍 카카오")</f>
        <v/>
      </c>
    </row>
    <row r="155" ht="18" customHeight="1">
      <c r="A155" s="16" t="inlineStr">
        <is>
          <t>▶ P1 #17  (34.871°N, 127.270°E) / 국가점수 59.4점 / 기준점 10개</t>
        </is>
      </c>
    </row>
    <row r="156">
      <c r="A156" s="5" t="inlineStr">
        <is>
          <t>#17</t>
        </is>
      </c>
      <c r="B156" s="5" t="inlineStr">
        <is>
          <t>삼각점</t>
        </is>
      </c>
      <c r="C156" s="5" t="inlineStr">
        <is>
          <t>순천443</t>
        </is>
      </c>
      <c r="D156" s="5" t="n">
        <v>1045</v>
      </c>
      <c r="E156" s="5" t="n">
        <v>34.8747120555546</v>
      </c>
      <c r="F156" s="5" t="n">
        <v>127.280822194444</v>
      </c>
      <c r="G156" s="6">
        <f>HYPERLINK("https://map.naver.com/v5/search/34.8747120555546,127.280822194444","📍 네이버")</f>
        <v/>
      </c>
      <c r="H156" s="6">
        <f>HYPERLINK("https://map.kakao.com/link/map/삼각점순천443,34.8747120555546,127.280822194444","📍 카카오")</f>
        <v/>
      </c>
    </row>
    <row r="157">
      <c r="A157" s="5" t="inlineStr">
        <is>
          <t>#17</t>
        </is>
      </c>
      <c r="B157" s="5" t="inlineStr">
        <is>
          <t>삼각점</t>
        </is>
      </c>
      <c r="C157" s="5" t="inlineStr">
        <is>
          <t>순천445</t>
        </is>
      </c>
      <c r="D157" s="5" t="n">
        <v>1994</v>
      </c>
      <c r="E157" s="5" t="n">
        <v>34.8858633333323</v>
      </c>
      <c r="F157" s="5" t="n">
        <v>127.258341638889</v>
      </c>
      <c r="G157" s="6">
        <f>HYPERLINK("https://map.naver.com/v5/search/34.8858633333323,127.258341638889","📍 네이버")</f>
        <v/>
      </c>
      <c r="H157" s="6">
        <f>HYPERLINK("https://map.kakao.com/link/map/삼각점순천445,34.8858633333323,127.258341638889","📍 카카오")</f>
        <v/>
      </c>
    </row>
    <row r="158">
      <c r="A158" s="5" t="inlineStr">
        <is>
          <t>#17</t>
        </is>
      </c>
      <c r="B158" s="5" t="inlineStr">
        <is>
          <t>삼각점</t>
        </is>
      </c>
      <c r="C158" s="5" t="inlineStr">
        <is>
          <t>순천444</t>
        </is>
      </c>
      <c r="D158" s="5" t="n">
        <v>2188</v>
      </c>
      <c r="E158" s="5" t="n">
        <v>34.8520342777768</v>
      </c>
      <c r="F158" s="5" t="n">
        <v>127.277519361111</v>
      </c>
      <c r="G158" s="6">
        <f>HYPERLINK("https://map.naver.com/v5/search/34.8520342777768,127.277519361111","📍 네이버")</f>
        <v/>
      </c>
      <c r="H158" s="6">
        <f>HYPERLINK("https://map.kakao.com/link/map/삼각점순천444,34.8520342777768,127.277519361111","📍 카카오")</f>
        <v/>
      </c>
    </row>
    <row r="159">
      <c r="A159" s="5" t="inlineStr">
        <is>
          <t>#17</t>
        </is>
      </c>
      <c r="B159" s="5" t="inlineStr">
        <is>
          <t>삼각점</t>
        </is>
      </c>
      <c r="C159" s="5" t="inlineStr">
        <is>
          <t>순천313</t>
        </is>
      </c>
      <c r="D159" s="5" t="n">
        <v>3448</v>
      </c>
      <c r="E159" s="5" t="n">
        <v>34.9014844444435</v>
      </c>
      <c r="F159" s="5" t="n">
        <v>127.2638005</v>
      </c>
      <c r="G159" s="6">
        <f>HYPERLINK("https://map.naver.com/v5/search/34.9014844444435,127.2638005","📍 네이버")</f>
        <v/>
      </c>
      <c r="H159" s="6">
        <f>HYPERLINK("https://map.kakao.com/link/map/삼각점순천313,34.9014844444435,127.2638005","📍 카카오")</f>
        <v/>
      </c>
    </row>
    <row r="160">
      <c r="A160" s="17" t="inlineStr">
        <is>
          <t>#17</t>
        </is>
      </c>
      <c r="B160" s="17" t="inlineStr">
        <is>
          <t>통합기준점</t>
        </is>
      </c>
      <c r="C160" s="17" t="inlineStr">
        <is>
          <t>U복내50</t>
        </is>
      </c>
      <c r="D160" s="17" t="n">
        <v>3694</v>
      </c>
      <c r="E160" s="17" t="n">
        <v>34.8789982472212</v>
      </c>
      <c r="F160" s="17" t="n">
        <v>127.231181427778</v>
      </c>
      <c r="G160" s="18">
        <f>HYPERLINK("https://map.naver.com/v5/search/34.8789982472212,127.231181427778","📍 네이버")</f>
        <v/>
      </c>
      <c r="H160" s="18">
        <f>HYPERLINK("https://map.kakao.com/link/map/통합기준점U복내50,34.8789982472212,127.231181427778","📍 카카오")</f>
        <v/>
      </c>
    </row>
    <row r="161">
      <c r="A161" s="17" t="inlineStr">
        <is>
          <t>#17</t>
        </is>
      </c>
      <c r="B161" s="17" t="inlineStr">
        <is>
          <t>통합기준점</t>
        </is>
      </c>
      <c r="C161" s="17" t="inlineStr">
        <is>
          <t>U순천43</t>
        </is>
      </c>
      <c r="D161" s="17" t="n">
        <v>4080</v>
      </c>
      <c r="E161" s="17" t="n">
        <v>34.8756335305546</v>
      </c>
      <c r="F161" s="17" t="n">
        <v>127.314652338889</v>
      </c>
      <c r="G161" s="18">
        <f>HYPERLINK("https://map.naver.com/v5/search/34.8756335305546,127.314652338889","📍 네이버")</f>
        <v/>
      </c>
      <c r="H161" s="18">
        <f>HYPERLINK("https://map.kakao.com/link/map/통합기준점U순천43,34.8756335305546,127.314652338889","📍 카카오")</f>
        <v/>
      </c>
    </row>
    <row r="162">
      <c r="A162" s="5" t="inlineStr">
        <is>
          <t>#17</t>
        </is>
      </c>
      <c r="B162" s="5" t="inlineStr">
        <is>
          <t>삼각점</t>
        </is>
      </c>
      <c r="C162" s="5" t="inlineStr">
        <is>
          <t>순천448</t>
        </is>
      </c>
      <c r="D162" s="5" t="n">
        <v>4317</v>
      </c>
      <c r="E162" s="5" t="n">
        <v>34.833612999999</v>
      </c>
      <c r="F162" s="5" t="n">
        <v>127.256680972222</v>
      </c>
      <c r="G162" s="6">
        <f>HYPERLINK("https://map.naver.com/v5/search/34.833612999999,127.256680972222","📍 네이버")</f>
        <v/>
      </c>
      <c r="H162" s="6">
        <f>HYPERLINK("https://map.kakao.com/link/map/삼각점순천448,34.833612999999,127.256680972222","📍 카카오")</f>
        <v/>
      </c>
    </row>
    <row r="163">
      <c r="A163" s="5" t="inlineStr">
        <is>
          <t>#17</t>
        </is>
      </c>
      <c r="B163" s="5" t="inlineStr">
        <is>
          <t>삼각점</t>
        </is>
      </c>
      <c r="C163" s="5" t="inlineStr">
        <is>
          <t>순천23</t>
        </is>
      </c>
      <c r="D163" s="5" t="n">
        <v>4394</v>
      </c>
      <c r="E163" s="5" t="n">
        <v>34.9003593611101</v>
      </c>
      <c r="F163" s="5" t="n">
        <v>127.302504694444</v>
      </c>
      <c r="G163" s="6">
        <f>HYPERLINK("https://map.naver.com/v5/search/34.9003593611101,127.302504694444","📍 네이버")</f>
        <v/>
      </c>
      <c r="H163" s="6">
        <f>HYPERLINK("https://map.kakao.com/link/map/삼각점순천23,34.9003593611101,127.302504694444","📍 카카오")</f>
        <v/>
      </c>
    </row>
    <row r="164">
      <c r="A164" s="17" t="inlineStr">
        <is>
          <t>#17</t>
        </is>
      </c>
      <c r="B164" s="17" t="inlineStr">
        <is>
          <t>통합기준점</t>
        </is>
      </c>
      <c r="C164" s="17" t="inlineStr">
        <is>
          <t>U1030</t>
        </is>
      </c>
      <c r="D164" s="17" t="n">
        <v>4650</v>
      </c>
      <c r="E164" s="17" t="n">
        <v>34.9125750583324</v>
      </c>
      <c r="F164" s="17" t="n">
        <v>127.275659636111</v>
      </c>
      <c r="G164" s="18">
        <f>HYPERLINK("https://map.naver.com/v5/search/34.9125750583324,127.275659636111","📍 네이버")</f>
        <v/>
      </c>
      <c r="H164" s="18">
        <f>HYPERLINK("https://map.kakao.com/link/map/통합기준점U1030,34.9125750583324,127.275659636111","📍 카카오")</f>
        <v/>
      </c>
    </row>
    <row r="165">
      <c r="A165" s="5" t="inlineStr">
        <is>
          <t>#17</t>
        </is>
      </c>
      <c r="B165" s="5" t="inlineStr">
        <is>
          <t>삼각점</t>
        </is>
      </c>
      <c r="C165" s="5" t="inlineStr">
        <is>
          <t>순천441</t>
        </is>
      </c>
      <c r="D165" s="5" t="n">
        <v>4651</v>
      </c>
      <c r="E165" s="5" t="n">
        <v>34.8816647777768</v>
      </c>
      <c r="F165" s="5" t="n">
        <v>127.319558027778</v>
      </c>
      <c r="G165" s="6">
        <f>HYPERLINK("https://map.naver.com/v5/search/34.8816647777768,127.319558027778","📍 네이버")</f>
        <v/>
      </c>
      <c r="H165" s="6">
        <f>HYPERLINK("https://map.kakao.com/link/map/삼각점순천441,34.8816647777768,127.319558027778","📍 카카오")</f>
        <v/>
      </c>
    </row>
    <row r="167" ht="18" customHeight="1">
      <c r="A167" s="16" t="inlineStr">
        <is>
          <t>▶ P1 #18  (35.863°N, 127.268°E) / 국가점수 58.8점 / 기준점 19개</t>
        </is>
      </c>
    </row>
    <row r="168">
      <c r="A168" s="5" t="inlineStr">
        <is>
          <t>#18</t>
        </is>
      </c>
      <c r="B168" s="5" t="inlineStr">
        <is>
          <t>삼각점</t>
        </is>
      </c>
      <c r="C168" s="5" t="inlineStr">
        <is>
          <t>진안440</t>
        </is>
      </c>
      <c r="D168" s="5" t="n">
        <v>1015</v>
      </c>
      <c r="E168" s="5" t="n">
        <v>35.8542906944437</v>
      </c>
      <c r="F168" s="5" t="n">
        <v>127.263174027778</v>
      </c>
      <c r="G168" s="6">
        <f>HYPERLINK("https://map.naver.com/v5/search/35.8542906944437,127.263174027778","📍 네이버")</f>
        <v/>
      </c>
      <c r="H168" s="6">
        <f>HYPERLINK("https://map.kakao.com/link/map/삼각점진안440,35.8542906944437,127.263174027778","📍 카카오")</f>
        <v/>
      </c>
    </row>
    <row r="169">
      <c r="A169" s="5" t="inlineStr">
        <is>
          <t>#18</t>
        </is>
      </c>
      <c r="B169" s="5" t="inlineStr">
        <is>
          <t>삼각점</t>
        </is>
      </c>
      <c r="C169" s="5" t="inlineStr">
        <is>
          <t>진안439</t>
        </is>
      </c>
      <c r="D169" s="5" t="n">
        <v>1282</v>
      </c>
      <c r="E169" s="5" t="n">
        <v>35.8742618888882</v>
      </c>
      <c r="F169" s="5" t="n">
        <v>127.266784416667</v>
      </c>
      <c r="G169" s="6">
        <f>HYPERLINK("https://map.naver.com/v5/search/35.8742618888882,127.266784416667","📍 네이버")</f>
        <v/>
      </c>
      <c r="H169" s="6">
        <f>HYPERLINK("https://map.kakao.com/link/map/삼각점진안439,35.8742618888882,127.266784416667","📍 카카오")</f>
        <v/>
      </c>
    </row>
    <row r="170">
      <c r="A170" s="17" t="inlineStr">
        <is>
          <t>#18</t>
        </is>
      </c>
      <c r="B170" s="17" t="inlineStr">
        <is>
          <t>통합기준점</t>
        </is>
      </c>
      <c r="C170" s="17" t="inlineStr">
        <is>
          <t>U진안51</t>
        </is>
      </c>
      <c r="D170" s="17" t="n">
        <v>1448</v>
      </c>
      <c r="E170" s="17" t="n">
        <v>35.8503115944437</v>
      </c>
      <c r="F170" s="17" t="n">
        <v>127.262558311111</v>
      </c>
      <c r="G170" s="18">
        <f>HYPERLINK("https://map.naver.com/v5/search/35.8503115944437,127.262558311111","📍 네이버")</f>
        <v/>
      </c>
      <c r="H170" s="18">
        <f>HYPERLINK("https://map.kakao.com/link/map/통합기준점U진안51,35.8503115944437,127.262558311111","📍 카카오")</f>
        <v/>
      </c>
    </row>
    <row r="171">
      <c r="A171" s="5" t="inlineStr">
        <is>
          <t>#18</t>
        </is>
      </c>
      <c r="B171" s="5" t="inlineStr">
        <is>
          <t>삼각점</t>
        </is>
      </c>
      <c r="C171" s="5" t="inlineStr">
        <is>
          <t>진안437</t>
        </is>
      </c>
      <c r="D171" s="5" t="n">
        <v>1970</v>
      </c>
      <c r="E171" s="5" t="n">
        <v>35.8571302222215</v>
      </c>
      <c r="F171" s="5" t="n">
        <v>127.288255916667</v>
      </c>
      <c r="G171" s="6">
        <f>HYPERLINK("https://map.naver.com/v5/search/35.8571302222215,127.288255916667","📍 네이버")</f>
        <v/>
      </c>
      <c r="H171" s="6">
        <f>HYPERLINK("https://map.kakao.com/link/map/삼각점진안437,35.8571302222215,127.288255916667","📍 카카오")</f>
        <v/>
      </c>
    </row>
    <row r="172">
      <c r="A172" s="5" t="inlineStr">
        <is>
          <t>#18</t>
        </is>
      </c>
      <c r="B172" s="5" t="inlineStr">
        <is>
          <t>삼각점</t>
        </is>
      </c>
      <c r="C172" s="5" t="inlineStr">
        <is>
          <t>전주430</t>
        </is>
      </c>
      <c r="D172" s="5" t="n">
        <v>2541</v>
      </c>
      <c r="E172" s="5" t="n">
        <v>35.871084777777</v>
      </c>
      <c r="F172" s="5" t="n">
        <v>127.241342416667</v>
      </c>
      <c r="G172" s="6">
        <f>HYPERLINK("https://map.naver.com/v5/search/35.871084777777,127.241342416667","📍 네이버")</f>
        <v/>
      </c>
      <c r="H172" s="6">
        <f>HYPERLINK("https://map.kakao.com/link/map/삼각점전주430,35.871084777777,127.241342416667","📍 카카오")</f>
        <v/>
      </c>
    </row>
    <row r="173">
      <c r="A173" s="5" t="inlineStr">
        <is>
          <t>#18</t>
        </is>
      </c>
      <c r="B173" s="5" t="inlineStr">
        <is>
          <t>삼각점</t>
        </is>
      </c>
      <c r="C173" s="5" t="inlineStr">
        <is>
          <t>전주431</t>
        </is>
      </c>
      <c r="D173" s="5" t="n">
        <v>2932</v>
      </c>
      <c r="E173" s="5" t="n">
        <v>35.8603739999993</v>
      </c>
      <c r="F173" s="5" t="n">
        <v>127.235201805556</v>
      </c>
      <c r="G173" s="6">
        <f>HYPERLINK("https://map.naver.com/v5/search/35.8603739999993,127.235201805556","📍 네이버")</f>
        <v/>
      </c>
      <c r="H173" s="6">
        <f>HYPERLINK("https://map.kakao.com/link/map/삼각점전주431,35.8603739999993,127.235201805556","📍 카카오")</f>
        <v/>
      </c>
    </row>
    <row r="174">
      <c r="A174" s="5" t="inlineStr">
        <is>
          <t>#18</t>
        </is>
      </c>
      <c r="B174" s="5" t="inlineStr">
        <is>
          <t>삼각점</t>
        </is>
      </c>
      <c r="C174" s="5" t="inlineStr">
        <is>
          <t>진안311</t>
        </is>
      </c>
      <c r="D174" s="5" t="n">
        <v>3129</v>
      </c>
      <c r="E174" s="5" t="n">
        <v>35.8376922499993</v>
      </c>
      <c r="F174" s="5" t="n">
        <v>127.251554111111</v>
      </c>
      <c r="G174" s="6">
        <f>HYPERLINK("https://map.naver.com/v5/search/35.8376922499993,127.251554111111","📍 네이버")</f>
        <v/>
      </c>
      <c r="H174" s="6">
        <f>HYPERLINK("https://map.kakao.com/link/map/삼각점진안311,35.8376922499993,127.251554111111","📍 카카오")</f>
        <v/>
      </c>
    </row>
    <row r="175">
      <c r="A175" s="17" t="inlineStr">
        <is>
          <t>#18</t>
        </is>
      </c>
      <c r="B175" s="17" t="inlineStr">
        <is>
          <t>통합기준점</t>
        </is>
      </c>
      <c r="C175" s="17" t="inlineStr">
        <is>
          <t>U0694</t>
        </is>
      </c>
      <c r="D175" s="17" t="n">
        <v>3243</v>
      </c>
      <c r="E175" s="17" t="n">
        <v>35.8569794972215</v>
      </c>
      <c r="F175" s="17" t="n">
        <v>127.232326791667</v>
      </c>
      <c r="G175" s="18">
        <f>HYPERLINK("https://map.naver.com/v5/search/35.8569794972215,127.232326791667","📍 네이버")</f>
        <v/>
      </c>
      <c r="H175" s="18">
        <f>HYPERLINK("https://map.kakao.com/link/map/통합기준점U0694,35.8569794972215,127.232326791667","📍 카카오")</f>
        <v/>
      </c>
    </row>
    <row r="176">
      <c r="A176" s="5" t="inlineStr">
        <is>
          <t>#18</t>
        </is>
      </c>
      <c r="B176" s="5" t="inlineStr">
        <is>
          <t>삼각점</t>
        </is>
      </c>
      <c r="C176" s="5" t="inlineStr">
        <is>
          <t>진안436</t>
        </is>
      </c>
      <c r="D176" s="5" t="n">
        <v>3319</v>
      </c>
      <c r="E176" s="5" t="n">
        <v>35.8438496388882</v>
      </c>
      <c r="F176" s="5" t="n">
        <v>127.29607775</v>
      </c>
      <c r="G176" s="6">
        <f>HYPERLINK("https://map.naver.com/v5/search/35.8438496388882,127.29607775","📍 네이버")</f>
        <v/>
      </c>
      <c r="H176" s="6">
        <f>HYPERLINK("https://map.kakao.com/link/map/삼각점진안436,35.8438496388882,127.29607775","📍 카카오")</f>
        <v/>
      </c>
    </row>
    <row r="177">
      <c r="A177" s="5" t="inlineStr">
        <is>
          <t>#18</t>
        </is>
      </c>
      <c r="B177" s="5" t="inlineStr">
        <is>
          <t>삼각점</t>
        </is>
      </c>
      <c r="C177" s="5" t="inlineStr">
        <is>
          <t>진안444</t>
        </is>
      </c>
      <c r="D177" s="5" t="n">
        <v>3416</v>
      </c>
      <c r="E177" s="5" t="n">
        <v>35.8327584166659</v>
      </c>
      <c r="F177" s="5" t="n">
        <v>127.276315277778</v>
      </c>
      <c r="G177" s="6">
        <f>HYPERLINK("https://map.naver.com/v5/search/35.8327584166659,127.276315277778","📍 네이버")</f>
        <v/>
      </c>
      <c r="H177" s="6">
        <f>HYPERLINK("https://map.kakao.com/link/map/삼각점진안444,35.8327584166659,127.276315277778","📍 카카오")</f>
        <v/>
      </c>
    </row>
    <row r="178">
      <c r="A178" s="5" t="inlineStr">
        <is>
          <t>#18</t>
        </is>
      </c>
      <c r="B178" s="5" t="inlineStr">
        <is>
          <t>삼각점</t>
        </is>
      </c>
      <c r="C178" s="5" t="inlineStr">
        <is>
          <t>진안310</t>
        </is>
      </c>
      <c r="D178" s="5" t="n">
        <v>3491</v>
      </c>
      <c r="E178" s="5" t="n">
        <v>35.8862019444437</v>
      </c>
      <c r="F178" s="5" t="n">
        <v>127.293293861111</v>
      </c>
      <c r="G178" s="6">
        <f>HYPERLINK("https://map.naver.com/v5/search/35.8862019444437,127.293293861111","📍 네이버")</f>
        <v/>
      </c>
      <c r="H178" s="6">
        <f>HYPERLINK("https://map.kakao.com/link/map/삼각점진안310,35.8862019444437,127.293293861111","📍 카카오")</f>
        <v/>
      </c>
    </row>
    <row r="179">
      <c r="A179" s="5" t="inlineStr">
        <is>
          <t>#18</t>
        </is>
      </c>
      <c r="B179" s="5" t="inlineStr">
        <is>
          <t>삼각점</t>
        </is>
      </c>
      <c r="C179" s="5" t="inlineStr">
        <is>
          <t>진안438</t>
        </is>
      </c>
      <c r="D179" s="5" t="n">
        <v>3493</v>
      </c>
      <c r="E179" s="5" t="n">
        <v>35.8923707777771</v>
      </c>
      <c r="F179" s="5" t="n">
        <v>127.280603555556</v>
      </c>
      <c r="G179" s="6">
        <f>HYPERLINK("https://map.naver.com/v5/search/35.8923707777771,127.280603555556","📍 네이버")</f>
        <v/>
      </c>
      <c r="H179" s="6">
        <f>HYPERLINK("https://map.kakao.com/link/map/삼각점진안438,35.8923707777771,127.280603555556","📍 카카오")</f>
        <v/>
      </c>
    </row>
    <row r="180">
      <c r="A180" s="5" t="inlineStr">
        <is>
          <t>#18</t>
        </is>
      </c>
      <c r="B180" s="5" t="inlineStr">
        <is>
          <t>삼각점</t>
        </is>
      </c>
      <c r="C180" s="5" t="inlineStr">
        <is>
          <t>전주429</t>
        </is>
      </c>
      <c r="D180" s="5" t="n">
        <v>4228</v>
      </c>
      <c r="E180" s="5" t="n">
        <v>35.8975648611104</v>
      </c>
      <c r="F180" s="5" t="n">
        <v>127.24854775</v>
      </c>
      <c r="G180" s="6">
        <f>HYPERLINK("https://map.naver.com/v5/search/35.8975648611104,127.24854775","📍 네이버")</f>
        <v/>
      </c>
      <c r="H180" s="6">
        <f>HYPERLINK("https://map.kakao.com/link/map/삼각점전주429,35.8975648611104,127.24854775","📍 카카오")</f>
        <v/>
      </c>
    </row>
    <row r="181">
      <c r="A181" s="17" t="inlineStr">
        <is>
          <t>#18</t>
        </is>
      </c>
      <c r="B181" s="17" t="inlineStr">
        <is>
          <t>통합기준점</t>
        </is>
      </c>
      <c r="C181" s="17" t="inlineStr">
        <is>
          <t>U진안43</t>
        </is>
      </c>
      <c r="D181" s="17" t="n">
        <v>4332</v>
      </c>
      <c r="E181" s="17" t="n">
        <v>35.8796781805548</v>
      </c>
      <c r="F181" s="17" t="n">
        <v>127.310772333333</v>
      </c>
      <c r="G181" s="18">
        <f>HYPERLINK("https://map.naver.com/v5/search/35.8796781805548,127.310772333333","📍 네이버")</f>
        <v/>
      </c>
      <c r="H181" s="18">
        <f>HYPERLINK("https://map.kakao.com/link/map/통합기준점U진안43,35.8796781805548,127.310772333333","📍 카카오")</f>
        <v/>
      </c>
    </row>
    <row r="182">
      <c r="A182" s="5" t="inlineStr">
        <is>
          <t>#18</t>
        </is>
      </c>
      <c r="B182" s="5" t="inlineStr">
        <is>
          <t>삼각점</t>
        </is>
      </c>
      <c r="C182" s="5" t="inlineStr">
        <is>
          <t>전주432</t>
        </is>
      </c>
      <c r="D182" s="5" t="n">
        <v>4576</v>
      </c>
      <c r="E182" s="5" t="n">
        <v>35.8684254722215</v>
      </c>
      <c r="F182" s="5" t="n">
        <v>127.217349472222</v>
      </c>
      <c r="G182" s="6">
        <f>HYPERLINK("https://map.naver.com/v5/search/35.8684254722215,127.217349472222","📍 네이버")</f>
        <v/>
      </c>
      <c r="H182" s="6">
        <f>HYPERLINK("https://map.kakao.com/link/map/삼각점전주432,35.8684254722215,127.217349472222","📍 카카오")</f>
        <v/>
      </c>
    </row>
    <row r="183">
      <c r="A183" s="5" t="inlineStr">
        <is>
          <t>#18</t>
        </is>
      </c>
      <c r="B183" s="5" t="inlineStr">
        <is>
          <t>삼각점</t>
        </is>
      </c>
      <c r="C183" s="5" t="inlineStr">
        <is>
          <t>전주484</t>
        </is>
      </c>
      <c r="D183" s="5" t="n">
        <v>4710</v>
      </c>
      <c r="E183" s="5" t="n">
        <v>35.8300980555548</v>
      </c>
      <c r="F183" s="5" t="n">
        <v>127.2341545</v>
      </c>
      <c r="G183" s="6">
        <f>HYPERLINK("https://map.naver.com/v5/search/35.8300980555548,127.2341545","📍 네이버")</f>
        <v/>
      </c>
      <c r="H183" s="6">
        <f>HYPERLINK("https://map.kakao.com/link/map/삼각점전주484,35.8300980555548,127.2341545","📍 카카오")</f>
        <v/>
      </c>
    </row>
    <row r="184">
      <c r="A184" s="5" t="inlineStr">
        <is>
          <t>#18</t>
        </is>
      </c>
      <c r="B184" s="5" t="inlineStr">
        <is>
          <t>삼각점</t>
        </is>
      </c>
      <c r="C184" s="5" t="inlineStr">
        <is>
          <t>전주433</t>
        </is>
      </c>
      <c r="D184" s="5" t="n">
        <v>4835</v>
      </c>
      <c r="E184" s="5" t="n">
        <v>35.849085027777</v>
      </c>
      <c r="F184" s="5" t="n">
        <v>127.216687722222</v>
      </c>
      <c r="G184" s="6">
        <f>HYPERLINK("https://map.naver.com/v5/search/35.849085027777,127.216687722222","📍 네이버")</f>
        <v/>
      </c>
      <c r="H184" s="6">
        <f>HYPERLINK("https://map.kakao.com/link/map/삼각점전주433,35.849085027777,127.216687722222","📍 카카오")</f>
        <v/>
      </c>
    </row>
    <row r="185">
      <c r="A185" s="5" t="inlineStr">
        <is>
          <t>#18</t>
        </is>
      </c>
      <c r="B185" s="5" t="inlineStr">
        <is>
          <t>삼각점</t>
        </is>
      </c>
      <c r="C185" s="5" t="inlineStr">
        <is>
          <t>진안433</t>
        </is>
      </c>
      <c r="D185" s="5" t="n">
        <v>4850</v>
      </c>
      <c r="E185" s="5" t="n">
        <v>35.8681308611104</v>
      </c>
      <c r="F185" s="5" t="n">
        <v>127.320858388889</v>
      </c>
      <c r="G185" s="6">
        <f>HYPERLINK("https://map.naver.com/v5/search/35.8681308611104,127.320858388889","📍 네이버")</f>
        <v/>
      </c>
      <c r="H185" s="6">
        <f>HYPERLINK("https://map.kakao.com/link/map/삼각점진안433,35.8681308611104,127.320858388889","📍 카카오")</f>
        <v/>
      </c>
    </row>
    <row r="186">
      <c r="A186" s="17" t="inlineStr">
        <is>
          <t>#18</t>
        </is>
      </c>
      <c r="B186" s="17" t="inlineStr">
        <is>
          <t>통합기준점</t>
        </is>
      </c>
      <c r="C186" s="17" t="inlineStr">
        <is>
          <t>U전주40</t>
        </is>
      </c>
      <c r="D186" s="17" t="n">
        <v>4994</v>
      </c>
      <c r="E186" s="17" t="n">
        <v>35.9023084333326</v>
      </c>
      <c r="F186" s="17" t="n">
        <v>127.241193947222</v>
      </c>
      <c r="G186" s="18">
        <f>HYPERLINK("https://map.naver.com/v5/search/35.9023084333326,127.241193947222","📍 네이버")</f>
        <v/>
      </c>
      <c r="H186" s="18">
        <f>HYPERLINK("https://map.kakao.com/link/map/통합기준점U전주40,35.9023084333326,127.241193947222","📍 카카오")</f>
        <v/>
      </c>
    </row>
    <row r="188" ht="18" customHeight="1">
      <c r="A188" s="16" t="inlineStr">
        <is>
          <t>▶ P1 #33  (35.322°N, 127.599°E) / 국가점수 58.2점 / 기준점 1개</t>
        </is>
      </c>
    </row>
    <row r="189">
      <c r="A189" s="5" t="inlineStr">
        <is>
          <t>#33</t>
        </is>
      </c>
      <c r="B189" s="5" t="inlineStr">
        <is>
          <t>삼각점</t>
        </is>
      </c>
      <c r="C189" s="5" t="inlineStr">
        <is>
          <t>운봉26</t>
        </is>
      </c>
      <c r="D189" s="5" t="n">
        <v>1412</v>
      </c>
      <c r="E189" s="5" t="n">
        <v>35.3281138055547</v>
      </c>
      <c r="F189" s="5" t="n">
        <v>127.612738333333</v>
      </c>
      <c r="G189" s="6">
        <f>HYPERLINK("https://map.naver.com/v5/search/35.3281138055547,127.612738333333","📍 네이버")</f>
        <v/>
      </c>
      <c r="H189" s="6">
        <f>HYPERLINK("https://map.kakao.com/link/map/삼각점운봉26,35.3281138055547,127.612738333333","📍 카카오")</f>
        <v/>
      </c>
    </row>
    <row r="191" ht="18" customHeight="1">
      <c r="A191" s="16" t="inlineStr">
        <is>
          <t>▶ P1 #35  (35.592°N, 127.600°E) / 국가점수 58.4점 / 기준점 8개</t>
        </is>
      </c>
    </row>
    <row r="192">
      <c r="A192" s="5" t="inlineStr">
        <is>
          <t>#35</t>
        </is>
      </c>
      <c r="B192" s="5" t="inlineStr">
        <is>
          <t>삼각점</t>
        </is>
      </c>
      <c r="C192" s="5" t="inlineStr">
        <is>
          <t>함양315</t>
        </is>
      </c>
      <c r="D192" s="5" t="n">
        <v>1515</v>
      </c>
      <c r="E192" s="5" t="n">
        <v>35.5835530833325</v>
      </c>
      <c r="F192" s="5" t="n">
        <v>127.612229222222</v>
      </c>
      <c r="G192" s="6">
        <f>HYPERLINK("https://map.naver.com/v5/search/35.5835530833325,127.612229222222","📍 네이버")</f>
        <v/>
      </c>
      <c r="H192" s="6">
        <f>HYPERLINK("https://map.kakao.com/link/map/삼각점함양315,35.5835530833325,127.612229222222","📍 카카오")</f>
        <v/>
      </c>
    </row>
    <row r="193">
      <c r="A193" s="5" t="inlineStr">
        <is>
          <t>#35</t>
        </is>
      </c>
      <c r="B193" s="5" t="inlineStr">
        <is>
          <t>삼각점</t>
        </is>
      </c>
      <c r="C193" s="5" t="inlineStr">
        <is>
          <t>함양440</t>
        </is>
      </c>
      <c r="D193" s="5" t="n">
        <v>1838</v>
      </c>
      <c r="E193" s="5" t="n">
        <v>35.5911082499992</v>
      </c>
      <c r="F193" s="5" t="n">
        <v>127.579270472222</v>
      </c>
      <c r="G193" s="6">
        <f>HYPERLINK("https://map.naver.com/v5/search/35.5911082499992,127.579270472222","📍 네이버")</f>
        <v/>
      </c>
      <c r="H193" s="6">
        <f>HYPERLINK("https://map.kakao.com/link/map/삼각점함양440,35.5911082499992,127.579270472222","📍 카카오")</f>
        <v/>
      </c>
    </row>
    <row r="194">
      <c r="A194" s="17" t="inlineStr">
        <is>
          <t>#35</t>
        </is>
      </c>
      <c r="B194" s="17" t="inlineStr">
        <is>
          <t>통합기준점</t>
        </is>
      </c>
      <c r="C194" s="17" t="inlineStr">
        <is>
          <t>U함양63</t>
        </is>
      </c>
      <c r="D194" s="17" t="n">
        <v>2937</v>
      </c>
      <c r="E194" s="17" t="n">
        <v>35.5789204444436</v>
      </c>
      <c r="F194" s="17" t="n">
        <v>127.571608586111</v>
      </c>
      <c r="G194" s="18">
        <f>HYPERLINK("https://map.naver.com/v5/search/35.5789204444436,127.571608586111","📍 네이버")</f>
        <v/>
      </c>
      <c r="H194" s="18">
        <f>HYPERLINK("https://map.kakao.com/link/map/통합기준점U함양63,35.5789204444436,127.571608586111","📍 카카오")</f>
        <v/>
      </c>
    </row>
    <row r="195">
      <c r="A195" s="17" t="inlineStr">
        <is>
          <t>#35</t>
        </is>
      </c>
      <c r="B195" s="17" t="inlineStr">
        <is>
          <t>통합기준점</t>
        </is>
      </c>
      <c r="C195" s="17" t="inlineStr">
        <is>
          <t>U0791</t>
        </is>
      </c>
      <c r="D195" s="17" t="n">
        <v>3473</v>
      </c>
      <c r="E195" s="17" t="n">
        <v>35.5884083749992</v>
      </c>
      <c r="F195" s="17" t="n">
        <v>127.637519741667</v>
      </c>
      <c r="G195" s="18">
        <f>HYPERLINK("https://map.naver.com/v5/search/35.5884083749992,127.637519741667","📍 네이버")</f>
        <v/>
      </c>
      <c r="H195" s="18">
        <f>HYPERLINK("https://map.kakao.com/link/map/통합기준점U0791,35.5884083749992,127.637519741667","📍 카카오")</f>
        <v/>
      </c>
    </row>
    <row r="196">
      <c r="A196" s="17" t="inlineStr">
        <is>
          <t>#35</t>
        </is>
      </c>
      <c r="B196" s="17" t="inlineStr">
        <is>
          <t>통합기준점</t>
        </is>
      </c>
      <c r="C196" s="17" t="inlineStr">
        <is>
          <t>U함양45</t>
        </is>
      </c>
      <c r="D196" s="17" t="n">
        <v>4013</v>
      </c>
      <c r="E196" s="17" t="n">
        <v>35.626483702777</v>
      </c>
      <c r="F196" s="17" t="n">
        <v>127.614417727778</v>
      </c>
      <c r="G196" s="18">
        <f>HYPERLINK("https://map.naver.com/v5/search/35.626483702777,127.614417727778","📍 네이버")</f>
        <v/>
      </c>
      <c r="H196" s="18">
        <f>HYPERLINK("https://map.kakao.com/link/map/통합기준점U함양45,35.626483702777,127.614417727778","📍 카카오")</f>
        <v/>
      </c>
    </row>
    <row r="197">
      <c r="A197" s="5" t="inlineStr">
        <is>
          <t>#35</t>
        </is>
      </c>
      <c r="B197" s="5" t="inlineStr">
        <is>
          <t>삼각점</t>
        </is>
      </c>
      <c r="C197" s="5" t="inlineStr">
        <is>
          <t>함양11</t>
        </is>
      </c>
      <c r="D197" s="5" t="n">
        <v>4102</v>
      </c>
      <c r="E197" s="5" t="n">
        <v>35.6292127222214</v>
      </c>
      <c r="F197" s="5" t="n">
        <v>127.595045972222</v>
      </c>
      <c r="G197" s="6">
        <f>HYPERLINK("https://map.naver.com/v5/search/35.6292127222214,127.595045972222","📍 네이버")</f>
        <v/>
      </c>
      <c r="H197" s="6">
        <f>HYPERLINK("https://map.kakao.com/link/map/삼각점함양11,35.6292127222214,127.595045972222","📍 카카오")</f>
        <v/>
      </c>
    </row>
    <row r="198">
      <c r="A198" s="5" t="inlineStr">
        <is>
          <t>#35</t>
        </is>
      </c>
      <c r="B198" s="5" t="inlineStr">
        <is>
          <t>삼각점</t>
        </is>
      </c>
      <c r="C198" s="5" t="inlineStr">
        <is>
          <t>함양454</t>
        </is>
      </c>
      <c r="D198" s="5" t="n">
        <v>4239</v>
      </c>
      <c r="E198" s="5" t="n">
        <v>35.5598549722214</v>
      </c>
      <c r="F198" s="5" t="n">
        <v>127.624008555556</v>
      </c>
      <c r="G198" s="6">
        <f>HYPERLINK("https://map.naver.com/v5/search/35.5598549722214,127.624008555556","📍 네이버")</f>
        <v/>
      </c>
      <c r="H198" s="6">
        <f>HYPERLINK("https://map.kakao.com/link/map/삼각점함양454,35.5598549722214,127.624008555556","📍 카카오")</f>
        <v/>
      </c>
    </row>
    <row r="199">
      <c r="A199" s="5" t="inlineStr">
        <is>
          <t>#35</t>
        </is>
      </c>
      <c r="B199" s="5" t="inlineStr">
        <is>
          <t>삼각점</t>
        </is>
      </c>
      <c r="C199" s="5" t="inlineStr">
        <is>
          <t>함양308</t>
        </is>
      </c>
      <c r="D199" s="5" t="n">
        <v>4353</v>
      </c>
      <c r="E199" s="5" t="n">
        <v>35.6185152499992</v>
      </c>
      <c r="F199" s="5" t="n">
        <v>127.635393388889</v>
      </c>
      <c r="G199" s="6">
        <f>HYPERLINK("https://map.naver.com/v5/search/35.6185152499992,127.635393388889","📍 네이버")</f>
        <v/>
      </c>
      <c r="H199" s="6">
        <f>HYPERLINK("https://map.kakao.com/link/map/삼각점함양308,35.6185152499992,127.635393388889","📍 카카오")</f>
        <v/>
      </c>
    </row>
    <row r="201" ht="18" customHeight="1">
      <c r="A201" s="16" t="inlineStr">
        <is>
          <t>▶ P1 #38  (36.133°N, 127.600°E) / 국가점수 58.6점 / 기준점 18개</t>
        </is>
      </c>
    </row>
    <row r="202">
      <c r="A202" s="5" t="inlineStr">
        <is>
          <t>#38</t>
        </is>
      </c>
      <c r="B202" s="5" t="inlineStr">
        <is>
          <t>삼각점</t>
        </is>
      </c>
      <c r="C202" s="5" t="inlineStr">
        <is>
          <t>이원440</t>
        </is>
      </c>
      <c r="D202" s="5" t="n">
        <v>476</v>
      </c>
      <c r="E202" s="5" t="n">
        <v>36.1370699999994</v>
      </c>
      <c r="F202" s="5" t="n">
        <v>127.597487722222</v>
      </c>
      <c r="G202" s="6">
        <f>HYPERLINK("https://map.naver.com/v5/search/36.1370699999994,127.597487722222","📍 네이버")</f>
        <v/>
      </c>
      <c r="H202" s="6">
        <f>HYPERLINK("https://map.kakao.com/link/map/삼각점이원440,36.1370699999994,127.597487722222","📍 카카오")</f>
        <v/>
      </c>
    </row>
    <row r="203">
      <c r="A203" s="5" t="inlineStr">
        <is>
          <t>#38</t>
        </is>
      </c>
      <c r="B203" s="5" t="inlineStr">
        <is>
          <t>삼각점</t>
        </is>
      </c>
      <c r="C203" s="5" t="inlineStr">
        <is>
          <t>이원307</t>
        </is>
      </c>
      <c r="D203" s="5" t="n">
        <v>1797</v>
      </c>
      <c r="E203" s="5" t="n">
        <v>36.1187278611105</v>
      </c>
      <c r="F203" s="5" t="n">
        <v>127.608699805556</v>
      </c>
      <c r="G203" s="6">
        <f>HYPERLINK("https://map.naver.com/v5/search/36.1187278611105,127.608699805556","📍 네이버")</f>
        <v/>
      </c>
      <c r="H203" s="6">
        <f>HYPERLINK("https://map.kakao.com/link/map/삼각점이원307,36.1187278611105,127.608699805556","📍 카카오")</f>
        <v/>
      </c>
    </row>
    <row r="204">
      <c r="A204" s="5" t="inlineStr">
        <is>
          <t>#38</t>
        </is>
      </c>
      <c r="B204" s="5" t="inlineStr">
        <is>
          <t>삼각점</t>
        </is>
      </c>
      <c r="C204" s="5" t="inlineStr">
        <is>
          <t>이원442</t>
        </is>
      </c>
      <c r="D204" s="5" t="n">
        <v>1963</v>
      </c>
      <c r="E204" s="5" t="n">
        <v>36.1295337777771</v>
      </c>
      <c r="F204" s="5" t="n">
        <v>127.578881944444</v>
      </c>
      <c r="G204" s="6">
        <f>HYPERLINK("https://map.naver.com/v5/search/36.1295337777771,127.578881944444","📍 네이버")</f>
        <v/>
      </c>
      <c r="H204" s="6">
        <f>HYPERLINK("https://map.kakao.com/link/map/삼각점이원442,36.1295337777771,127.578881944444","📍 카카오")</f>
        <v/>
      </c>
    </row>
    <row r="205">
      <c r="A205" s="5" t="inlineStr">
        <is>
          <t>#38</t>
        </is>
      </c>
      <c r="B205" s="5" t="inlineStr">
        <is>
          <t>삼각점</t>
        </is>
      </c>
      <c r="C205" s="5" t="inlineStr">
        <is>
          <t>이원437</t>
        </is>
      </c>
      <c r="D205" s="5" t="n">
        <v>2044</v>
      </c>
      <c r="E205" s="5" t="n">
        <v>36.1325557222216</v>
      </c>
      <c r="F205" s="5" t="n">
        <v>127.622875277778</v>
      </c>
      <c r="G205" s="6">
        <f>HYPERLINK("https://map.naver.com/v5/search/36.1325557222216,127.622875277778","📍 네이버")</f>
        <v/>
      </c>
      <c r="H205" s="6">
        <f>HYPERLINK("https://map.kakao.com/link/map/삼각점이원437,36.1325557222216,127.622875277778","📍 카카오")</f>
        <v/>
      </c>
    </row>
    <row r="206">
      <c r="A206" s="17" t="inlineStr">
        <is>
          <t>#38</t>
        </is>
      </c>
      <c r="B206" s="17" t="inlineStr">
        <is>
          <t>통합기준점</t>
        </is>
      </c>
      <c r="C206" s="17" t="inlineStr">
        <is>
          <t>U이원54</t>
        </is>
      </c>
      <c r="D206" s="17" t="n">
        <v>2078</v>
      </c>
      <c r="E206" s="17" t="n">
        <v>36.1148981972216</v>
      </c>
      <c r="F206" s="17" t="n">
        <v>127.596379736111</v>
      </c>
      <c r="G206" s="18">
        <f>HYPERLINK("https://map.naver.com/v5/search/36.1148981972216,127.596379736111","📍 네이버")</f>
        <v/>
      </c>
      <c r="H206" s="18">
        <f>HYPERLINK("https://map.kakao.com/link/map/통합기준점U이원54,36.1148981972216,127.596379736111","📍 카카오")</f>
        <v/>
      </c>
    </row>
    <row r="207">
      <c r="A207" s="5" t="inlineStr">
        <is>
          <t>#38</t>
        </is>
      </c>
      <c r="B207" s="5" t="inlineStr">
        <is>
          <t>삼각점</t>
        </is>
      </c>
      <c r="C207" s="5" t="inlineStr">
        <is>
          <t>이원441</t>
        </is>
      </c>
      <c r="D207" s="5" t="n">
        <v>2672</v>
      </c>
      <c r="E207" s="5" t="n">
        <v>36.1096141111105</v>
      </c>
      <c r="F207" s="5" t="n">
        <v>127.595318194444</v>
      </c>
      <c r="G207" s="6">
        <f>HYPERLINK("https://map.naver.com/v5/search/36.1096141111105,127.595318194444","📍 네이버")</f>
        <v/>
      </c>
      <c r="H207" s="6">
        <f>HYPERLINK("https://map.kakao.com/link/map/삼각점이원441,36.1096141111105,127.595318194444","📍 카카오")</f>
        <v/>
      </c>
    </row>
    <row r="208">
      <c r="A208" s="5" t="inlineStr">
        <is>
          <t>#38</t>
        </is>
      </c>
      <c r="B208" s="5" t="inlineStr">
        <is>
          <t>삼각점</t>
        </is>
      </c>
      <c r="C208" s="5" t="inlineStr">
        <is>
          <t>이원308</t>
        </is>
      </c>
      <c r="D208" s="5" t="n">
        <v>2861</v>
      </c>
      <c r="E208" s="5" t="n">
        <v>36.1591695555549</v>
      </c>
      <c r="F208" s="5" t="n">
        <v>127.600099972222</v>
      </c>
      <c r="G208" s="6">
        <f>HYPERLINK("https://map.naver.com/v5/search/36.1591695555549,127.600099972222","📍 네이버")</f>
        <v/>
      </c>
      <c r="H208" s="6">
        <f>HYPERLINK("https://map.kakao.com/link/map/삼각점이원308,36.1591695555549,127.600099972222","📍 카카오")</f>
        <v/>
      </c>
    </row>
    <row r="209">
      <c r="A209" s="5" t="inlineStr">
        <is>
          <t>#38</t>
        </is>
      </c>
      <c r="B209" s="5" t="inlineStr">
        <is>
          <t>삼각점</t>
        </is>
      </c>
      <c r="C209" s="5" t="inlineStr">
        <is>
          <t>이원443</t>
        </is>
      </c>
      <c r="D209" s="5" t="n">
        <v>2907</v>
      </c>
      <c r="E209" s="5" t="n">
        <v>36.1206047777771</v>
      </c>
      <c r="F209" s="5" t="n">
        <v>127.571973138889</v>
      </c>
      <c r="G209" s="6">
        <f>HYPERLINK("https://map.naver.com/v5/search/36.1206047777771,127.571973138889","📍 네이버")</f>
        <v/>
      </c>
      <c r="H209" s="6">
        <f>HYPERLINK("https://map.kakao.com/link/map/삼각점이원443,36.1206047777771,127.571973138889","📍 카카오")</f>
        <v/>
      </c>
    </row>
    <row r="210">
      <c r="A210" s="5" t="inlineStr">
        <is>
          <t>#38</t>
        </is>
      </c>
      <c r="B210" s="5" t="inlineStr">
        <is>
          <t>삼각점</t>
        </is>
      </c>
      <c r="C210" s="5" t="inlineStr">
        <is>
          <t>이원444</t>
        </is>
      </c>
      <c r="D210" s="5" t="n">
        <v>3903</v>
      </c>
      <c r="E210" s="5" t="n">
        <v>36.1600111111105</v>
      </c>
      <c r="F210" s="5" t="n">
        <v>127.571829805556</v>
      </c>
      <c r="G210" s="6">
        <f>HYPERLINK("https://map.naver.com/v5/search/36.1600111111105,127.571829805556","📍 네이버")</f>
        <v/>
      </c>
      <c r="H210" s="6">
        <f>HYPERLINK("https://map.kakao.com/link/map/삼각점이원444,36.1600111111105,127.571829805556","📍 카카오")</f>
        <v/>
      </c>
    </row>
    <row r="211">
      <c r="A211" s="17" t="inlineStr">
        <is>
          <t>#38</t>
        </is>
      </c>
      <c r="B211" s="17" t="inlineStr">
        <is>
          <t>통합기준점</t>
        </is>
      </c>
      <c r="C211" s="17" t="inlineStr">
        <is>
          <t>U이원53</t>
        </is>
      </c>
      <c r="D211" s="17" t="n">
        <v>4030</v>
      </c>
      <c r="E211" s="17" t="n">
        <v>36.1095458388882</v>
      </c>
      <c r="F211" s="17" t="n">
        <v>127.566379388889</v>
      </c>
      <c r="G211" s="18">
        <f>HYPERLINK("https://map.naver.com/v5/search/36.1095458388882,127.566379388889","📍 네이버")</f>
        <v/>
      </c>
      <c r="H211" s="18">
        <f>HYPERLINK("https://map.kakao.com/link/map/통합기준점U이원53,36.1095458388882,127.566379388889","📍 카카오")</f>
        <v/>
      </c>
    </row>
    <row r="212">
      <c r="A212" s="17" t="inlineStr">
        <is>
          <t>#38</t>
        </is>
      </c>
      <c r="B212" s="17" t="inlineStr">
        <is>
          <t>통합기준점</t>
        </is>
      </c>
      <c r="C212" s="17" t="inlineStr">
        <is>
          <t>U이원36</t>
        </is>
      </c>
      <c r="D212" s="17" t="n">
        <v>4124</v>
      </c>
      <c r="E212" s="17" t="n">
        <v>36.1586959638882</v>
      </c>
      <c r="F212" s="17" t="n">
        <v>127.633749919444</v>
      </c>
      <c r="G212" s="18">
        <f>HYPERLINK("https://map.naver.com/v5/search/36.1586959638882,127.633749919444","📍 네이버")</f>
        <v/>
      </c>
      <c r="H212" s="18">
        <f>HYPERLINK("https://map.kakao.com/link/map/통합기준점U이원36,36.1586959638882,127.633749919444","📍 카카오")</f>
        <v/>
      </c>
    </row>
    <row r="213">
      <c r="A213" s="5" t="inlineStr">
        <is>
          <t>#38</t>
        </is>
      </c>
      <c r="B213" s="5" t="inlineStr">
        <is>
          <t>삼각점</t>
        </is>
      </c>
      <c r="C213" s="5" t="inlineStr">
        <is>
          <t>이원445</t>
        </is>
      </c>
      <c r="D213" s="5" t="n">
        <v>4199</v>
      </c>
      <c r="E213" s="5" t="n">
        <v>36.1405573888882</v>
      </c>
      <c r="F213" s="5" t="n">
        <v>127.554359166667</v>
      </c>
      <c r="G213" s="6">
        <f>HYPERLINK("https://map.naver.com/v5/search/36.1405573888882,127.554359166667","📍 네이버")</f>
        <v/>
      </c>
      <c r="H213" s="6">
        <f>HYPERLINK("https://map.kakao.com/link/map/삼각점이원445,36.1405573888882,127.554359166667","📍 카카오")</f>
        <v/>
      </c>
    </row>
    <row r="214">
      <c r="A214" s="17" t="inlineStr">
        <is>
          <t>#38</t>
        </is>
      </c>
      <c r="B214" s="17" t="inlineStr">
        <is>
          <t>통합기준점</t>
        </is>
      </c>
      <c r="C214" s="17" t="inlineStr">
        <is>
          <t>U이원46</t>
        </is>
      </c>
      <c r="D214" s="17" t="n">
        <v>4352</v>
      </c>
      <c r="E214" s="17" t="n">
        <v>36.1304573249994</v>
      </c>
      <c r="F214" s="17" t="n">
        <v>127.648414588889</v>
      </c>
      <c r="G214" s="18">
        <f>HYPERLINK("https://map.naver.com/v5/search/36.1304573249994,127.648414588889","📍 네이버")</f>
        <v/>
      </c>
      <c r="H214" s="18">
        <f>HYPERLINK("https://map.kakao.com/link/map/통합기준점U이원46,36.1304573249994,127.648414588889","📍 카카오")</f>
        <v/>
      </c>
    </row>
    <row r="215">
      <c r="A215" s="5" t="inlineStr">
        <is>
          <t>#38</t>
        </is>
      </c>
      <c r="B215" s="5" t="inlineStr">
        <is>
          <t>삼각점</t>
        </is>
      </c>
      <c r="C215" s="5" t="inlineStr">
        <is>
          <t>이원439</t>
        </is>
      </c>
      <c r="D215" s="5" t="n">
        <v>4573</v>
      </c>
      <c r="E215" s="5" t="n">
        <v>36.0921516944438</v>
      </c>
      <c r="F215" s="5" t="n">
        <v>127.599833555556</v>
      </c>
      <c r="G215" s="6">
        <f>HYPERLINK("https://map.naver.com/v5/search/36.0921516944438,127.599833555556","📍 네이버")</f>
        <v/>
      </c>
      <c r="H215" s="6">
        <f>HYPERLINK("https://map.kakao.com/link/map/삼각점이원439,36.0921516944438,127.599833555556","📍 카카오")</f>
        <v/>
      </c>
    </row>
    <row r="216">
      <c r="A216" s="5" t="inlineStr">
        <is>
          <t>#38</t>
        </is>
      </c>
      <c r="B216" s="5" t="inlineStr">
        <is>
          <t>삼각점</t>
        </is>
      </c>
      <c r="C216" s="5" t="inlineStr">
        <is>
          <t>이원436</t>
        </is>
      </c>
      <c r="D216" s="5" t="n">
        <v>4643</v>
      </c>
      <c r="E216" s="5" t="n">
        <v>36.1030278055549</v>
      </c>
      <c r="F216" s="5" t="n">
        <v>127.635710166667</v>
      </c>
      <c r="G216" s="6">
        <f>HYPERLINK("https://map.naver.com/v5/search/36.1030278055549,127.635710166667","📍 네이버")</f>
        <v/>
      </c>
      <c r="H216" s="6">
        <f>HYPERLINK("https://map.kakao.com/link/map/삼각점이원436,36.1030278055549,127.635710166667","📍 카카오")</f>
        <v/>
      </c>
    </row>
    <row r="217">
      <c r="A217" s="5" t="inlineStr">
        <is>
          <t>#38</t>
        </is>
      </c>
      <c r="B217" s="5" t="inlineStr">
        <is>
          <t>삼각점</t>
        </is>
      </c>
      <c r="C217" s="5" t="inlineStr">
        <is>
          <t>이원306</t>
        </is>
      </c>
      <c r="D217" s="5" t="n">
        <v>4681</v>
      </c>
      <c r="E217" s="5" t="n">
        <v>36.1216333888882</v>
      </c>
      <c r="F217" s="5" t="n">
        <v>127.650140916667</v>
      </c>
      <c r="G217" s="6">
        <f>HYPERLINK("https://map.naver.com/v5/search/36.1216333888882,127.650140916667","📍 네이버")</f>
        <v/>
      </c>
      <c r="H217" s="6">
        <f>HYPERLINK("https://map.kakao.com/link/map/삼각점이원306,36.1216333888882,127.650140916667","📍 카카오")</f>
        <v/>
      </c>
    </row>
    <row r="218">
      <c r="A218" s="5" t="inlineStr">
        <is>
          <t>#38</t>
        </is>
      </c>
      <c r="B218" s="5" t="inlineStr">
        <is>
          <t>삼각점</t>
        </is>
      </c>
      <c r="C218" s="5" t="inlineStr">
        <is>
          <t>이원435</t>
        </is>
      </c>
      <c r="D218" s="5" t="n">
        <v>4742</v>
      </c>
      <c r="E218" s="5" t="n">
        <v>36.157215166666</v>
      </c>
      <c r="F218" s="5" t="n">
        <v>127.643934361111</v>
      </c>
      <c r="G218" s="6">
        <f>HYPERLINK("https://map.naver.com/v5/search/36.157215166666,127.643934361111","📍 네이버")</f>
        <v/>
      </c>
      <c r="H218" s="6">
        <f>HYPERLINK("https://map.kakao.com/link/map/삼각점이원435,36.157215166666,127.643934361111","📍 카카오")</f>
        <v/>
      </c>
    </row>
    <row r="219">
      <c r="A219" s="5" t="inlineStr">
        <is>
          <t>#38</t>
        </is>
      </c>
      <c r="B219" s="5" t="inlineStr">
        <is>
          <t>삼각점</t>
        </is>
      </c>
      <c r="C219" s="5" t="inlineStr">
        <is>
          <t>이원24</t>
        </is>
      </c>
      <c r="D219" s="5" t="n">
        <v>4917</v>
      </c>
      <c r="E219" s="5" t="n">
        <v>36.103248166666</v>
      </c>
      <c r="F219" s="5" t="n">
        <v>127.560108722222</v>
      </c>
      <c r="G219" s="6">
        <f>HYPERLINK("https://map.naver.com/v5/search/36.103248166666,127.560108722222","📍 네이버")</f>
        <v/>
      </c>
      <c r="H219" s="6">
        <f>HYPERLINK("https://map.kakao.com/link/map/삼각점이원24,36.103248166666,127.560108722222","📍 카카오")</f>
        <v/>
      </c>
    </row>
    <row r="221" ht="18" customHeight="1">
      <c r="A221" s="16" t="inlineStr">
        <is>
          <t>▶ P1 #57  (35.953°N, 127.822°E) / 국가점수 58.6점 / 기준점 11개</t>
        </is>
      </c>
    </row>
    <row r="222">
      <c r="A222" s="5" t="inlineStr">
        <is>
          <t>#57</t>
        </is>
      </c>
      <c r="B222" s="5" t="inlineStr">
        <is>
          <t>삼각점</t>
        </is>
      </c>
      <c r="C222" s="5" t="inlineStr">
        <is>
          <t>무풍408</t>
        </is>
      </c>
      <c r="D222" s="5" t="n">
        <v>1503</v>
      </c>
      <c r="E222" s="5" t="n">
        <v>35.9498911111104</v>
      </c>
      <c r="F222" s="5" t="n">
        <v>127.838043722222</v>
      </c>
      <c r="G222" s="6">
        <f>HYPERLINK("https://map.naver.com/v5/search/35.9498911111104,127.838043722222","📍 네이버")</f>
        <v/>
      </c>
      <c r="H222" s="6">
        <f>HYPERLINK("https://map.kakao.com/link/map/삼각점무풍408,35.9498911111104,127.838043722222","📍 카카오")</f>
        <v/>
      </c>
    </row>
    <row r="223">
      <c r="A223" s="5" t="inlineStr">
        <is>
          <t>#57</t>
        </is>
      </c>
      <c r="B223" s="5" t="inlineStr">
        <is>
          <t>삼각점</t>
        </is>
      </c>
      <c r="C223" s="5" t="inlineStr">
        <is>
          <t>무풍302</t>
        </is>
      </c>
      <c r="D223" s="5" t="n">
        <v>2729</v>
      </c>
      <c r="E223" s="5" t="n">
        <v>35.9740311944437</v>
      </c>
      <c r="F223" s="5" t="n">
        <v>127.806714722222</v>
      </c>
      <c r="G223" s="6">
        <f>HYPERLINK("https://map.naver.com/v5/search/35.9740311944437,127.806714722222","📍 네이버")</f>
        <v/>
      </c>
      <c r="H223" s="6">
        <f>HYPERLINK("https://map.kakao.com/link/map/삼각점무풍302,35.9740311944437,127.806714722222","📍 카카오")</f>
        <v/>
      </c>
    </row>
    <row r="224">
      <c r="A224" s="5" t="inlineStr">
        <is>
          <t>#57</t>
        </is>
      </c>
      <c r="B224" s="5" t="inlineStr">
        <is>
          <t>삼각점</t>
        </is>
      </c>
      <c r="C224" s="5" t="inlineStr">
        <is>
          <t>무풍407</t>
        </is>
      </c>
      <c r="D224" s="5" t="n">
        <v>2736</v>
      </c>
      <c r="E224" s="5" t="n">
        <v>35.9748065555549</v>
      </c>
      <c r="F224" s="5" t="n">
        <v>127.835125722222</v>
      </c>
      <c r="G224" s="6">
        <f>HYPERLINK("https://map.naver.com/v5/search/35.9748065555549,127.835125722222","📍 네이버")</f>
        <v/>
      </c>
      <c r="H224" s="6">
        <f>HYPERLINK("https://map.kakao.com/link/map/삼각점무풍407,35.9748065555549,127.835125722222","📍 카카오")</f>
        <v/>
      </c>
    </row>
    <row r="225">
      <c r="A225" s="17" t="inlineStr">
        <is>
          <t>#57</t>
        </is>
      </c>
      <c r="B225" s="17" t="inlineStr">
        <is>
          <t>통합기준점</t>
        </is>
      </c>
      <c r="C225" s="17" t="inlineStr">
        <is>
          <t>U0709</t>
        </is>
      </c>
      <c r="D225" s="17" t="n">
        <v>2837</v>
      </c>
      <c r="E225" s="17" t="n">
        <v>35.9702413055549</v>
      </c>
      <c r="F225" s="17" t="n">
        <v>127.844600583333</v>
      </c>
      <c r="G225" s="18">
        <f>HYPERLINK("https://map.naver.com/v5/search/35.9702413055549,127.844600583333","📍 네이버")</f>
        <v/>
      </c>
      <c r="H225" s="18">
        <f>HYPERLINK("https://map.kakao.com/link/map/통합기준점U0709,35.9702413055549,127.844600583333","📍 카카오")</f>
        <v/>
      </c>
    </row>
    <row r="226">
      <c r="A226" s="5" t="inlineStr">
        <is>
          <t>#57</t>
        </is>
      </c>
      <c r="B226" s="5" t="inlineStr">
        <is>
          <t>삼각점</t>
        </is>
      </c>
      <c r="C226" s="5" t="inlineStr">
        <is>
          <t>무풍303</t>
        </is>
      </c>
      <c r="D226" s="5" t="n">
        <v>3127</v>
      </c>
      <c r="E226" s="5" t="n">
        <v>35.9257750833326</v>
      </c>
      <c r="F226" s="5" t="n">
        <v>127.811313833333</v>
      </c>
      <c r="G226" s="6">
        <f>HYPERLINK("https://map.naver.com/v5/search/35.9257750833326,127.811313833333","📍 네이버")</f>
        <v/>
      </c>
      <c r="H226" s="6">
        <f>HYPERLINK("https://map.kakao.com/link/map/삼각점무풍303,35.9257750833326,127.811313833333","📍 카카오")</f>
        <v/>
      </c>
    </row>
    <row r="227">
      <c r="A227" s="5" t="inlineStr">
        <is>
          <t>#57</t>
        </is>
      </c>
      <c r="B227" s="5" t="inlineStr">
        <is>
          <t>삼각점</t>
        </is>
      </c>
      <c r="C227" s="5" t="inlineStr">
        <is>
          <t>무풍412</t>
        </is>
      </c>
      <c r="D227" s="5" t="n">
        <v>3368</v>
      </c>
      <c r="E227" s="5" t="n">
        <v>35.9603808611104</v>
      </c>
      <c r="F227" s="5" t="n">
        <v>127.857858305556</v>
      </c>
      <c r="G227" s="6">
        <f>HYPERLINK("https://map.naver.com/v5/search/35.9603808611104,127.857858305556","📍 네이버")</f>
        <v/>
      </c>
      <c r="H227" s="6">
        <f>HYPERLINK("https://map.kakao.com/link/map/삼각점무풍412,35.9603808611104,127.857858305556","📍 카카오")</f>
        <v/>
      </c>
    </row>
    <row r="228">
      <c r="A228" s="5" t="inlineStr">
        <is>
          <t>#57</t>
        </is>
      </c>
      <c r="B228" s="5" t="inlineStr">
        <is>
          <t>삼각점</t>
        </is>
      </c>
      <c r="C228" s="5" t="inlineStr">
        <is>
          <t>무풍409</t>
        </is>
      </c>
      <c r="D228" s="5" t="n">
        <v>3463</v>
      </c>
      <c r="E228" s="5" t="n">
        <v>35.9307153333326</v>
      </c>
      <c r="F228" s="5" t="n">
        <v>127.849023111111</v>
      </c>
      <c r="G228" s="6">
        <f>HYPERLINK("https://map.naver.com/v5/search/35.9307153333326,127.849023111111","📍 네이버")</f>
        <v/>
      </c>
      <c r="H228" s="6">
        <f>HYPERLINK("https://map.kakao.com/link/map/삼각점무풍409,35.9307153333326,127.849023111111","📍 카카오")</f>
        <v/>
      </c>
    </row>
    <row r="229">
      <c r="A229" s="5" t="inlineStr">
        <is>
          <t>#57</t>
        </is>
      </c>
      <c r="B229" s="5" t="inlineStr">
        <is>
          <t>삼각점</t>
        </is>
      </c>
      <c r="C229" s="5" t="inlineStr">
        <is>
          <t>무풍301</t>
        </is>
      </c>
      <c r="D229" s="5" t="n">
        <v>3724</v>
      </c>
      <c r="E229" s="5" t="n">
        <v>35.9409925277771</v>
      </c>
      <c r="F229" s="5" t="n">
        <v>127.783020944444</v>
      </c>
      <c r="G229" s="6">
        <f>HYPERLINK("https://map.naver.com/v5/search/35.9409925277771,127.783020944444","📍 네이버")</f>
        <v/>
      </c>
      <c r="H229" s="6">
        <f>HYPERLINK("https://map.kakao.com/link/map/삼각점무풍301,35.9409925277771,127.783020944444","📍 카카오")</f>
        <v/>
      </c>
    </row>
    <row r="230">
      <c r="A230" s="17" t="inlineStr">
        <is>
          <t>#57</t>
        </is>
      </c>
      <c r="B230" s="17" t="inlineStr">
        <is>
          <t>통합기준점</t>
        </is>
      </c>
      <c r="C230" s="17" t="inlineStr">
        <is>
          <t>U무풍34</t>
        </is>
      </c>
      <c r="D230" s="17" t="n">
        <v>4272</v>
      </c>
      <c r="E230" s="17" t="n">
        <v>35.9173162972215</v>
      </c>
      <c r="F230" s="17" t="n">
        <v>127.840526797222</v>
      </c>
      <c r="G230" s="18">
        <f>HYPERLINK("https://map.naver.com/v5/search/35.9173162972215,127.840526797222","📍 네이버")</f>
        <v/>
      </c>
      <c r="H230" s="18">
        <f>HYPERLINK("https://map.kakao.com/link/map/통합기준점U무풍34,35.9173162972215,127.840526797222","📍 카카오")</f>
        <v/>
      </c>
    </row>
    <row r="231">
      <c r="A231" s="5" t="inlineStr">
        <is>
          <t>#57</t>
        </is>
      </c>
      <c r="B231" s="5" t="inlineStr">
        <is>
          <t>삼각점</t>
        </is>
      </c>
      <c r="C231" s="5" t="inlineStr">
        <is>
          <t>무풍406</t>
        </is>
      </c>
      <c r="D231" s="5" t="n">
        <v>4550</v>
      </c>
      <c r="E231" s="5" t="n">
        <v>35.9922684444438</v>
      </c>
      <c r="F231" s="5" t="n">
        <v>127.834906388889</v>
      </c>
      <c r="G231" s="6">
        <f>HYPERLINK("https://map.naver.com/v5/search/35.9922684444438,127.834906388889","📍 네이버")</f>
        <v/>
      </c>
      <c r="H231" s="6">
        <f>HYPERLINK("https://map.kakao.com/link/map/삼각점무풍406,35.9922684444438,127.834906388889","📍 카카오")</f>
        <v/>
      </c>
    </row>
    <row r="232">
      <c r="A232" s="5" t="inlineStr">
        <is>
          <t>#57</t>
        </is>
      </c>
      <c r="B232" s="5" t="inlineStr">
        <is>
          <t>삼각점</t>
        </is>
      </c>
      <c r="C232" s="5" t="inlineStr">
        <is>
          <t>무풍411</t>
        </is>
      </c>
      <c r="D232" s="5" t="n">
        <v>4606</v>
      </c>
      <c r="E232" s="5" t="n">
        <v>35.9740595277771</v>
      </c>
      <c r="F232" s="5" t="n">
        <v>127.865513805556</v>
      </c>
      <c r="G232" s="6">
        <f>HYPERLINK("https://map.naver.com/v5/search/35.9740595277771,127.865513805556","📍 네이버")</f>
        <v/>
      </c>
      <c r="H232" s="6">
        <f>HYPERLINK("https://map.kakao.com/link/map/삼각점무풍411,35.9740595277771,127.865513805556","📍 카카오")</f>
        <v/>
      </c>
    </row>
    <row r="234" ht="18" customHeight="1">
      <c r="A234" s="16" t="inlineStr">
        <is>
          <t>▶ P1 #59  (36.584°N, 127.824°E) / 국가점수 57.7점 / 기준점 10개</t>
        </is>
      </c>
    </row>
    <row r="235">
      <c r="A235" s="5" t="inlineStr">
        <is>
          <t>#59</t>
        </is>
      </c>
      <c r="B235" s="5" t="inlineStr">
        <is>
          <t>삼각점</t>
        </is>
      </c>
      <c r="C235" s="5" t="inlineStr">
        <is>
          <t>속리311</t>
        </is>
      </c>
      <c r="D235" s="5" t="n">
        <v>1397</v>
      </c>
      <c r="E235" s="5" t="n">
        <v>36.5713094166661</v>
      </c>
      <c r="F235" s="5" t="n">
        <v>127.826754194444</v>
      </c>
      <c r="G235" s="6">
        <f>HYPERLINK("https://map.naver.com/v5/search/36.5713094166661,127.826754194444","📍 네이버")</f>
        <v/>
      </c>
      <c r="H235" s="6">
        <f>HYPERLINK("https://map.kakao.com/link/map/삼각점속리311,36.5713094166661,127.826754194444","📍 카카오")</f>
        <v/>
      </c>
    </row>
    <row r="236">
      <c r="A236" s="5" t="inlineStr">
        <is>
          <t>#59</t>
        </is>
      </c>
      <c r="B236" s="5" t="inlineStr">
        <is>
          <t>삼각점</t>
        </is>
      </c>
      <c r="C236" s="5" t="inlineStr">
        <is>
          <t>속리433</t>
        </is>
      </c>
      <c r="D236" s="5" t="n">
        <v>1876</v>
      </c>
      <c r="E236" s="5" t="n">
        <v>36.5877878333328</v>
      </c>
      <c r="F236" s="5" t="n">
        <v>127.844692972222</v>
      </c>
      <c r="G236" s="6">
        <f>HYPERLINK("https://map.naver.com/v5/search/36.5877878333328,127.844692972222","📍 네이버")</f>
        <v/>
      </c>
      <c r="H236" s="6">
        <f>HYPERLINK("https://map.kakao.com/link/map/삼각점속리433,36.5877878333328,127.844692972222","📍 카카오")</f>
        <v/>
      </c>
    </row>
    <row r="237">
      <c r="A237" s="17" t="inlineStr">
        <is>
          <t>#59</t>
        </is>
      </c>
      <c r="B237" s="17" t="inlineStr">
        <is>
          <t>통합기준점</t>
        </is>
      </c>
      <c r="C237" s="17" t="inlineStr">
        <is>
          <t>U0485</t>
        </is>
      </c>
      <c r="D237" s="17" t="n">
        <v>2101</v>
      </c>
      <c r="E237" s="17" t="n">
        <v>36.6026704611106</v>
      </c>
      <c r="F237" s="17" t="n">
        <v>127.825286077778</v>
      </c>
      <c r="G237" s="18">
        <f>HYPERLINK("https://map.naver.com/v5/search/36.6026704611106,127.825286077778","📍 네이버")</f>
        <v/>
      </c>
      <c r="H237" s="18">
        <f>HYPERLINK("https://map.kakao.com/link/map/통합기준점U0485,36.6026704611106,127.825286077778","📍 카카오")</f>
        <v/>
      </c>
    </row>
    <row r="238">
      <c r="A238" s="5" t="inlineStr">
        <is>
          <t>#59</t>
        </is>
      </c>
      <c r="B238" s="5" t="inlineStr">
        <is>
          <t>삼각점</t>
        </is>
      </c>
      <c r="C238" s="5" t="inlineStr">
        <is>
          <t>속리435</t>
        </is>
      </c>
      <c r="D238" s="5" t="n">
        <v>2114</v>
      </c>
      <c r="E238" s="5" t="n">
        <v>36.6017013611106</v>
      </c>
      <c r="F238" s="5" t="n">
        <v>127.816403972222</v>
      </c>
      <c r="G238" s="6">
        <f>HYPERLINK("https://map.naver.com/v5/search/36.6017013611106,127.816403972222","📍 네이버")</f>
        <v/>
      </c>
      <c r="H238" s="6">
        <f>HYPERLINK("https://map.kakao.com/link/map/삼각점속리435,36.6017013611106,127.816403972222","📍 카카오")</f>
        <v/>
      </c>
    </row>
    <row r="239">
      <c r="A239" s="5" t="inlineStr">
        <is>
          <t>#59</t>
        </is>
      </c>
      <c r="B239" s="5" t="inlineStr">
        <is>
          <t>삼각점</t>
        </is>
      </c>
      <c r="C239" s="5" t="inlineStr">
        <is>
          <t>속리446</t>
        </is>
      </c>
      <c r="D239" s="5" t="n">
        <v>3405</v>
      </c>
      <c r="E239" s="5" t="n">
        <v>36.5617302499995</v>
      </c>
      <c r="F239" s="5" t="n">
        <v>127.797817416667</v>
      </c>
      <c r="G239" s="6">
        <f>HYPERLINK("https://map.naver.com/v5/search/36.5617302499995,127.797817416667","📍 네이버")</f>
        <v/>
      </c>
      <c r="H239" s="6">
        <f>HYPERLINK("https://map.kakao.com/link/map/삼각점속리446,36.5617302499995,127.797817416667","📍 카카오")</f>
        <v/>
      </c>
    </row>
    <row r="240">
      <c r="A240" s="5" t="inlineStr">
        <is>
          <t>#59</t>
        </is>
      </c>
      <c r="B240" s="5" t="inlineStr">
        <is>
          <t>삼각점</t>
        </is>
      </c>
      <c r="C240" s="5" t="inlineStr">
        <is>
          <t>속리437</t>
        </is>
      </c>
      <c r="D240" s="5" t="n">
        <v>3652</v>
      </c>
      <c r="E240" s="5" t="n">
        <v>36.5848335277773</v>
      </c>
      <c r="F240" s="5" t="n">
        <v>127.783529583333</v>
      </c>
      <c r="G240" s="6">
        <f>HYPERLINK("https://map.naver.com/v5/search/36.5848335277773,127.783529583333","📍 네이버")</f>
        <v/>
      </c>
      <c r="H240" s="6">
        <f>HYPERLINK("https://map.kakao.com/link/map/삼각점속리437,36.5848335277773,127.783529583333","📍 카카오")</f>
        <v/>
      </c>
    </row>
    <row r="241">
      <c r="A241" s="5" t="inlineStr">
        <is>
          <t>#59</t>
        </is>
      </c>
      <c r="B241" s="5" t="inlineStr">
        <is>
          <t>삼각점</t>
        </is>
      </c>
      <c r="C241" s="5" t="inlineStr">
        <is>
          <t>속리449</t>
        </is>
      </c>
      <c r="D241" s="5" t="n">
        <v>4176</v>
      </c>
      <c r="E241" s="5" t="n">
        <v>36.5466062499995</v>
      </c>
      <c r="F241" s="5" t="n">
        <v>127.831898166667</v>
      </c>
      <c r="G241" s="6">
        <f>HYPERLINK("https://map.naver.com/v5/search/36.5466062499995,127.831898166667","📍 네이버")</f>
        <v/>
      </c>
      <c r="H241" s="6">
        <f>HYPERLINK("https://map.kakao.com/link/map/삼각점속리449,36.5466062499995,127.831898166667","📍 카카오")</f>
        <v/>
      </c>
    </row>
    <row r="242">
      <c r="A242" s="5" t="inlineStr">
        <is>
          <t>#59</t>
        </is>
      </c>
      <c r="B242" s="5" t="inlineStr">
        <is>
          <t>삼각점</t>
        </is>
      </c>
      <c r="C242" s="5" t="inlineStr">
        <is>
          <t>속리308</t>
        </is>
      </c>
      <c r="D242" s="5" t="n">
        <v>4541</v>
      </c>
      <c r="E242" s="5" t="n">
        <v>36.6199779166662</v>
      </c>
      <c r="F242" s="5" t="n">
        <v>127.847972305556</v>
      </c>
      <c r="G242" s="6">
        <f>HYPERLINK("https://map.naver.com/v5/search/36.6199779166662,127.847972305556","📍 네이버")</f>
        <v/>
      </c>
      <c r="H242" s="6">
        <f>HYPERLINK("https://map.kakao.com/link/map/삼각점속리308,36.6199779166662,127.847972305556","📍 카카오")</f>
        <v/>
      </c>
    </row>
    <row r="243">
      <c r="A243" s="5" t="inlineStr">
        <is>
          <t>#59</t>
        </is>
      </c>
      <c r="B243" s="5" t="inlineStr">
        <is>
          <t>삼각점</t>
        </is>
      </c>
      <c r="C243" s="5" t="inlineStr">
        <is>
          <t>속리448</t>
        </is>
      </c>
      <c r="D243" s="5" t="n">
        <v>4651</v>
      </c>
      <c r="E243" s="5" t="n">
        <v>36.542764305555</v>
      </c>
      <c r="F243" s="5" t="n">
        <v>127.813348944444</v>
      </c>
      <c r="G243" s="6">
        <f>HYPERLINK("https://map.naver.com/v5/search/36.542764305555,127.813348944444","📍 네이버")</f>
        <v/>
      </c>
      <c r="H243" s="6">
        <f>HYPERLINK("https://map.kakao.com/link/map/삼각점속리448,36.542764305555,127.813348944444","📍 카카오")</f>
        <v/>
      </c>
    </row>
    <row r="244">
      <c r="A244" s="5" t="inlineStr">
        <is>
          <t>#59</t>
        </is>
      </c>
      <c r="B244" s="5" t="inlineStr">
        <is>
          <t>삼각점</t>
        </is>
      </c>
      <c r="C244" s="5" t="inlineStr">
        <is>
          <t>속리26</t>
        </is>
      </c>
      <c r="D244" s="5" t="n">
        <v>4759</v>
      </c>
      <c r="E244" s="5" t="n">
        <v>36.6137597777773</v>
      </c>
      <c r="F244" s="5" t="n">
        <v>127.786306138889</v>
      </c>
      <c r="G244" s="6">
        <f>HYPERLINK("https://map.naver.com/v5/search/36.6137597777773,127.786306138889","📍 네이버")</f>
        <v/>
      </c>
      <c r="H244" s="6">
        <f>HYPERLINK("https://map.kakao.com/link/map/삼각점속리26,36.6137597777773,127.786306138889","📍 카카오")</f>
        <v/>
      </c>
    </row>
    <row r="246" ht="18" customHeight="1">
      <c r="A246" s="16" t="inlineStr">
        <is>
          <t>▶ P1 #65  (34.870°N, 127.927°E) / 국가점수 64.5점 / 기준점 7개</t>
        </is>
      </c>
    </row>
    <row r="247">
      <c r="A247" s="5" t="inlineStr">
        <is>
          <t>#65</t>
        </is>
      </c>
      <c r="B247" s="5" t="inlineStr">
        <is>
          <t>삼각점</t>
        </is>
      </c>
      <c r="C247" s="5" t="inlineStr">
        <is>
          <t>남해418</t>
        </is>
      </c>
      <c r="D247" s="5" t="n">
        <v>2781</v>
      </c>
      <c r="E247" s="5" t="n">
        <v>34.8486716111101</v>
      </c>
      <c r="F247" s="5" t="n">
        <v>127.911540666667</v>
      </c>
      <c r="G247" s="6">
        <f>HYPERLINK("https://map.naver.com/v5/search/34.8486716111101,127.911540666667","📍 네이버")</f>
        <v/>
      </c>
      <c r="H247" s="6">
        <f>HYPERLINK("https://map.kakao.com/link/map/삼각점남해418,34.8486716111101,127.911540666667","📍 카카오")</f>
        <v/>
      </c>
    </row>
    <row r="248">
      <c r="A248" s="5" t="inlineStr">
        <is>
          <t>#65</t>
        </is>
      </c>
      <c r="B248" s="5" t="inlineStr">
        <is>
          <t>삼각점</t>
        </is>
      </c>
      <c r="C248" s="5" t="inlineStr">
        <is>
          <t>남해417</t>
        </is>
      </c>
      <c r="D248" s="5" t="n">
        <v>3339</v>
      </c>
      <c r="E248" s="5" t="n">
        <v>34.8993239722212</v>
      </c>
      <c r="F248" s="5" t="n">
        <v>127.917004777778</v>
      </c>
      <c r="G248" s="6">
        <f>HYPERLINK("https://map.naver.com/v5/search/34.8993239722212,127.917004777778","📍 네이버")</f>
        <v/>
      </c>
      <c r="H248" s="6">
        <f>HYPERLINK("https://map.kakao.com/link/map/삼각점남해417,34.8993239722212,127.917004777778","📍 카카오")</f>
        <v/>
      </c>
    </row>
    <row r="249">
      <c r="A249" s="5" t="inlineStr">
        <is>
          <t>#65</t>
        </is>
      </c>
      <c r="B249" s="5" t="inlineStr">
        <is>
          <t>삼각점</t>
        </is>
      </c>
      <c r="C249" s="5" t="inlineStr">
        <is>
          <t>남해419</t>
        </is>
      </c>
      <c r="D249" s="5" t="n">
        <v>3429</v>
      </c>
      <c r="E249" s="5" t="n">
        <v>34.8851895277768</v>
      </c>
      <c r="F249" s="5" t="n">
        <v>127.893962583333</v>
      </c>
      <c r="G249" s="6">
        <f>HYPERLINK("https://map.naver.com/v5/search/34.8851895277768,127.893962583333","📍 네이버")</f>
        <v/>
      </c>
      <c r="H249" s="6">
        <f>HYPERLINK("https://map.kakao.com/link/map/삼각점남해419,34.8851895277768,127.893962583333","📍 카카오")</f>
        <v/>
      </c>
    </row>
    <row r="250">
      <c r="A250" s="17" t="inlineStr">
        <is>
          <t>#65</t>
        </is>
      </c>
      <c r="B250" s="17" t="inlineStr">
        <is>
          <t>통합기준점</t>
        </is>
      </c>
      <c r="C250" s="17" t="inlineStr">
        <is>
          <t>U1046</t>
        </is>
      </c>
      <c r="D250" s="17" t="n">
        <v>3712</v>
      </c>
      <c r="E250" s="17" t="n">
        <v>34.8457454972212</v>
      </c>
      <c r="F250" s="17" t="n">
        <v>127.899310538889</v>
      </c>
      <c r="G250" s="18">
        <f>HYPERLINK("https://map.naver.com/v5/search/34.8457454972212,127.899310538889","📍 네이버")</f>
        <v/>
      </c>
      <c r="H250" s="18">
        <f>HYPERLINK("https://map.kakao.com/link/map/통합기준점U1046,34.8457454972212,127.899310538889","📍 카카오")</f>
        <v/>
      </c>
    </row>
    <row r="251">
      <c r="A251" s="5" t="inlineStr">
        <is>
          <t>#65</t>
        </is>
      </c>
      <c r="B251" s="5" t="inlineStr">
        <is>
          <t>삼각점</t>
        </is>
      </c>
      <c r="C251" s="5" t="inlineStr">
        <is>
          <t>남해420</t>
        </is>
      </c>
      <c r="D251" s="5" t="n">
        <v>3738</v>
      </c>
      <c r="E251" s="5" t="n">
        <v>34.8611153888879</v>
      </c>
      <c r="F251" s="5" t="n">
        <v>127.8875355</v>
      </c>
      <c r="G251" s="6">
        <f>HYPERLINK("https://map.naver.com/v5/search/34.8611153888879,127.8875355","📍 네이버")</f>
        <v/>
      </c>
      <c r="H251" s="6">
        <f>HYPERLINK("https://map.kakao.com/link/map/삼각점남해420,34.8611153888879,127.8875355","📍 카카오")</f>
        <v/>
      </c>
    </row>
    <row r="252">
      <c r="A252" s="17" t="inlineStr">
        <is>
          <t>#65</t>
        </is>
      </c>
      <c r="B252" s="17" t="inlineStr">
        <is>
          <t>통합기준점</t>
        </is>
      </c>
      <c r="C252" s="17" t="inlineStr">
        <is>
          <t>U남해37</t>
        </is>
      </c>
      <c r="D252" s="17" t="n">
        <v>4794</v>
      </c>
      <c r="E252" s="17" t="n">
        <v>34.9128881277768</v>
      </c>
      <c r="F252" s="17" t="n">
        <v>127.917663458333</v>
      </c>
      <c r="G252" s="18">
        <f>HYPERLINK("https://map.naver.com/v5/search/34.9128881277768,127.917663458333","📍 네이버")</f>
        <v/>
      </c>
      <c r="H252" s="18">
        <f>HYPERLINK("https://map.kakao.com/link/map/통합기준점U남해37,34.9128881277768,127.917663458333","📍 카카오")</f>
        <v/>
      </c>
    </row>
    <row r="253">
      <c r="A253" s="17" t="inlineStr">
        <is>
          <t>#65</t>
        </is>
      </c>
      <c r="B253" s="17" t="inlineStr">
        <is>
          <t>통합기준점</t>
        </is>
      </c>
      <c r="C253" s="17" t="inlineStr">
        <is>
          <t>U남해67</t>
        </is>
      </c>
      <c r="D253" s="17" t="n">
        <v>4861</v>
      </c>
      <c r="E253" s="17" t="n">
        <v>34.8285991583323</v>
      </c>
      <c r="F253" s="17" t="n">
        <v>127.910611041667</v>
      </c>
      <c r="G253" s="18">
        <f>HYPERLINK("https://map.naver.com/v5/search/34.8285991583323,127.910611041667","📍 네이버")</f>
        <v/>
      </c>
      <c r="H253" s="18">
        <f>HYPERLINK("https://map.kakao.com/link/map/통합기준점U남해67,34.8285991583323,127.910611041667","📍 카카오")</f>
        <v/>
      </c>
    </row>
    <row r="255" ht="18" customHeight="1">
      <c r="A255" s="16" t="inlineStr">
        <is>
          <t>▶ P1 #67  (35.952°N, 127.933°E) / 국가점수 59.8점 / 기준점 11개</t>
        </is>
      </c>
    </row>
    <row r="256">
      <c r="A256" s="5" t="inlineStr">
        <is>
          <t>#67</t>
        </is>
      </c>
      <c r="B256" s="5" t="inlineStr">
        <is>
          <t>삼각점</t>
        </is>
      </c>
      <c r="C256" s="5" t="inlineStr">
        <is>
          <t>무풍416</t>
        </is>
      </c>
      <c r="D256" s="5" t="n">
        <v>1125</v>
      </c>
      <c r="E256" s="5" t="n">
        <v>35.9620945277771</v>
      </c>
      <c r="F256" s="5" t="n">
        <v>127.929284444444</v>
      </c>
      <c r="G256" s="6">
        <f>HYPERLINK("https://map.naver.com/v5/search/35.9620945277771,127.929284444444","📍 네이버")</f>
        <v/>
      </c>
      <c r="H256" s="6">
        <f>HYPERLINK("https://map.kakao.com/link/map/삼각점무풍416,35.9620945277771,127.929284444444","📍 카카오")</f>
        <v/>
      </c>
    </row>
    <row r="257">
      <c r="A257" s="5" t="inlineStr">
        <is>
          <t>#67</t>
        </is>
      </c>
      <c r="B257" s="5" t="inlineStr">
        <is>
          <t>삼각점</t>
        </is>
      </c>
      <c r="C257" s="5" t="inlineStr">
        <is>
          <t>무풍414</t>
        </is>
      </c>
      <c r="D257" s="5" t="n">
        <v>2440</v>
      </c>
      <c r="E257" s="5" t="n">
        <v>35.9413983611104</v>
      </c>
      <c r="F257" s="5" t="n">
        <v>127.909121888889</v>
      </c>
      <c r="G257" s="6">
        <f>HYPERLINK("https://map.naver.com/v5/search/35.9413983611104,127.909121888889","📍 네이버")</f>
        <v/>
      </c>
      <c r="H257" s="6">
        <f>HYPERLINK("https://map.kakao.com/link/map/삼각점무풍414,35.9413983611104,127.909121888889","📍 카카오")</f>
        <v/>
      </c>
    </row>
    <row r="258">
      <c r="A258" s="5" t="inlineStr">
        <is>
          <t>#67</t>
        </is>
      </c>
      <c r="B258" s="5" t="inlineStr">
        <is>
          <t>삼각점</t>
        </is>
      </c>
      <c r="C258" s="5" t="inlineStr">
        <is>
          <t>무풍305</t>
        </is>
      </c>
      <c r="D258" s="5" t="n">
        <v>2627</v>
      </c>
      <c r="E258" s="5" t="n">
        <v>35.9705228333326</v>
      </c>
      <c r="F258" s="5" t="n">
        <v>127.95124725</v>
      </c>
      <c r="G258" s="6">
        <f>HYPERLINK("https://map.naver.com/v5/search/35.9705228333326,127.95124725","📍 네이버")</f>
        <v/>
      </c>
      <c r="H258" s="6">
        <f>HYPERLINK("https://map.kakao.com/link/map/삼각점무풍305,35.9705228333326,127.95124725","📍 카카오")</f>
        <v/>
      </c>
    </row>
    <row r="259">
      <c r="A259" s="5" t="inlineStr">
        <is>
          <t>#67</t>
        </is>
      </c>
      <c r="B259" s="5" t="inlineStr">
        <is>
          <t>삼각점</t>
        </is>
      </c>
      <c r="C259" s="5" t="inlineStr">
        <is>
          <t>무풍413</t>
        </is>
      </c>
      <c r="D259" s="5" t="n">
        <v>2896</v>
      </c>
      <c r="E259" s="5" t="n">
        <v>35.9603072777771</v>
      </c>
      <c r="F259" s="5" t="n">
        <v>127.902039444444</v>
      </c>
      <c r="G259" s="6">
        <f>HYPERLINK("https://map.naver.com/v5/search/35.9603072777771,127.902039444444","📍 네이버")</f>
        <v/>
      </c>
      <c r="H259" s="6">
        <f>HYPERLINK("https://map.kakao.com/link/map/삼각점무풍413,35.9603072777771,127.902039444444","📍 카카오")</f>
        <v/>
      </c>
    </row>
    <row r="260">
      <c r="A260" s="17" t="inlineStr">
        <is>
          <t>#67</t>
        </is>
      </c>
      <c r="B260" s="17" t="inlineStr">
        <is>
          <t>통합기준점</t>
        </is>
      </c>
      <c r="C260" s="17" t="inlineStr">
        <is>
          <t>U무풍27</t>
        </is>
      </c>
      <c r="D260" s="17" t="n">
        <v>3040</v>
      </c>
      <c r="E260" s="17" t="n">
        <v>35.9273133972215</v>
      </c>
      <c r="F260" s="17" t="n">
        <v>127.918819422222</v>
      </c>
      <c r="G260" s="18">
        <f>HYPERLINK("https://map.naver.com/v5/search/35.9273133972215,127.918819422222","📍 네이버")</f>
        <v/>
      </c>
      <c r="H260" s="18">
        <f>HYPERLINK("https://map.kakao.com/link/map/통합기준점U무풍27,35.9273133972215,127.918819422222","📍 카카오")</f>
        <v/>
      </c>
    </row>
    <row r="261">
      <c r="A261" s="17" t="inlineStr">
        <is>
          <t>#67</t>
        </is>
      </c>
      <c r="B261" s="17" t="inlineStr">
        <is>
          <t>통합기준점</t>
        </is>
      </c>
      <c r="C261" s="17" t="inlineStr">
        <is>
          <t>U무풍07</t>
        </is>
      </c>
      <c r="D261" s="17" t="n">
        <v>3280</v>
      </c>
      <c r="E261" s="17" t="n">
        <v>35.977179266666</v>
      </c>
      <c r="F261" s="17" t="n">
        <v>127.912903783333</v>
      </c>
      <c r="G261" s="18">
        <f>HYPERLINK("https://map.naver.com/v5/search/35.977179266666,127.912903783333","📍 네이버")</f>
        <v/>
      </c>
      <c r="H261" s="18">
        <f>HYPERLINK("https://map.kakao.com/link/map/통합기준점U무풍07,35.977179266666,127.912903783333","📍 카카오")</f>
        <v/>
      </c>
    </row>
    <row r="262">
      <c r="A262" s="5" t="inlineStr">
        <is>
          <t>#67</t>
        </is>
      </c>
      <c r="B262" s="5" t="inlineStr">
        <is>
          <t>삼각점</t>
        </is>
      </c>
      <c r="C262" s="5" t="inlineStr">
        <is>
          <t>무풍306</t>
        </is>
      </c>
      <c r="D262" s="5" t="n">
        <v>3318</v>
      </c>
      <c r="E262" s="5" t="n">
        <v>35.9278683333326</v>
      </c>
      <c r="F262" s="5" t="n">
        <v>127.953793361111</v>
      </c>
      <c r="G262" s="6">
        <f>HYPERLINK("https://map.naver.com/v5/search/35.9278683333326,127.953793361111","📍 네이버")</f>
        <v/>
      </c>
      <c r="H262" s="6">
        <f>HYPERLINK("https://map.kakao.com/link/map/삼각점무풍306,35.9278683333326,127.953793361111","📍 카카오")</f>
        <v/>
      </c>
    </row>
    <row r="263">
      <c r="A263" s="17" t="inlineStr">
        <is>
          <t>#67</t>
        </is>
      </c>
      <c r="B263" s="17" t="inlineStr">
        <is>
          <t>통합기준점</t>
        </is>
      </c>
      <c r="C263" s="17" t="inlineStr">
        <is>
          <t>U0638</t>
        </is>
      </c>
      <c r="D263" s="17" t="n">
        <v>3919</v>
      </c>
      <c r="E263" s="17" t="n">
        <v>35.9868445777771</v>
      </c>
      <c r="F263" s="17" t="n">
        <v>127.941863433333</v>
      </c>
      <c r="G263" s="18">
        <f>HYPERLINK("https://map.naver.com/v5/search/35.9868445777771,127.941863433333","📍 네이버")</f>
        <v/>
      </c>
      <c r="H263" s="18">
        <f>HYPERLINK("https://map.kakao.com/link/map/통합기준점U0638,35.9868445777771,127.941863433333","📍 카카오")</f>
        <v/>
      </c>
    </row>
    <row r="264">
      <c r="A264" s="5" t="inlineStr">
        <is>
          <t>#67</t>
        </is>
      </c>
      <c r="B264" s="5" t="inlineStr">
        <is>
          <t>삼각점</t>
        </is>
      </c>
      <c r="C264" s="5" t="inlineStr">
        <is>
          <t>무풍427</t>
        </is>
      </c>
      <c r="D264" s="5" t="n">
        <v>3935</v>
      </c>
      <c r="E264" s="5" t="n">
        <v>35.9187137499993</v>
      </c>
      <c r="F264" s="5" t="n">
        <v>127.918644694444</v>
      </c>
      <c r="G264" s="6">
        <f>HYPERLINK("https://map.naver.com/v5/search/35.9187137499993,127.918644694444","📍 네이버")</f>
        <v/>
      </c>
      <c r="H264" s="6">
        <f>HYPERLINK("https://map.kakao.com/link/map/삼각점무풍427,35.9187137499993,127.918644694444","📍 카카오")</f>
        <v/>
      </c>
    </row>
    <row r="265">
      <c r="A265" s="5" t="inlineStr">
        <is>
          <t>#67</t>
        </is>
      </c>
      <c r="B265" s="5" t="inlineStr">
        <is>
          <t>삼각점</t>
        </is>
      </c>
      <c r="C265" s="5" t="inlineStr">
        <is>
          <t>무풍419</t>
        </is>
      </c>
      <c r="D265" s="5" t="n">
        <v>4126</v>
      </c>
      <c r="E265" s="5" t="n">
        <v>35.950600166666</v>
      </c>
      <c r="F265" s="5" t="n">
        <v>127.978312305556</v>
      </c>
      <c r="G265" s="6">
        <f>HYPERLINK("https://map.naver.com/v5/search/35.950600166666,127.978312305556","📍 네이버")</f>
        <v/>
      </c>
      <c r="H265" s="6">
        <f>HYPERLINK("https://map.kakao.com/link/map/삼각점무풍419,35.950600166666,127.978312305556","📍 카카오")</f>
        <v/>
      </c>
    </row>
    <row r="266">
      <c r="A266" s="5" t="inlineStr">
        <is>
          <t>#67</t>
        </is>
      </c>
      <c r="B266" s="5" t="inlineStr">
        <is>
          <t>삼각점</t>
        </is>
      </c>
      <c r="C266" s="5" t="inlineStr">
        <is>
          <t>무풍415</t>
        </is>
      </c>
      <c r="D266" s="5" t="n">
        <v>4605</v>
      </c>
      <c r="E266" s="5" t="n">
        <v>35.9922916944438</v>
      </c>
      <c r="F266" s="5" t="n">
        <v>127.918809194444</v>
      </c>
      <c r="G266" s="6">
        <f>HYPERLINK("https://map.naver.com/v5/search/35.9922916944438,127.918809194444","📍 네이버")</f>
        <v/>
      </c>
      <c r="H266" s="6">
        <f>HYPERLINK("https://map.kakao.com/link/map/삼각점무풍415,35.9922916944438,127.918809194444","📍 카카오")</f>
        <v/>
      </c>
    </row>
    <row r="268" ht="18" customHeight="1">
      <c r="A268" s="16" t="inlineStr">
        <is>
          <t>▶ P1 #69  (36.313°N, 127.935°E) / 국가점수 59.5점 / 기준점 16개</t>
        </is>
      </c>
    </row>
    <row r="269">
      <c r="A269" s="5" t="inlineStr">
        <is>
          <t>#69</t>
        </is>
      </c>
      <c r="B269" s="5" t="inlineStr">
        <is>
          <t>삼각점</t>
        </is>
      </c>
      <c r="C269" s="5" t="inlineStr">
        <is>
          <t>관기464</t>
        </is>
      </c>
      <c r="D269" s="5" t="n">
        <v>1317</v>
      </c>
      <c r="E269" s="5" t="n">
        <v>36.3137165833327</v>
      </c>
      <c r="F269" s="5" t="n">
        <v>127.949233527778</v>
      </c>
      <c r="G269" s="6">
        <f>HYPERLINK("https://map.naver.com/v5/search/36.3137165833327,127.949233527778","📍 네이버")</f>
        <v/>
      </c>
      <c r="H269" s="6">
        <f>HYPERLINK("https://map.kakao.com/link/map/삼각점관기464,36.3137165833327,127.949233527778","📍 카카오")</f>
        <v/>
      </c>
    </row>
    <row r="270">
      <c r="A270" s="5" t="inlineStr">
        <is>
          <t>#69</t>
        </is>
      </c>
      <c r="B270" s="5" t="inlineStr">
        <is>
          <t>삼각점</t>
        </is>
      </c>
      <c r="C270" s="5" t="inlineStr">
        <is>
          <t>관기463</t>
        </is>
      </c>
      <c r="D270" s="5" t="n">
        <v>1701</v>
      </c>
      <c r="E270" s="5" t="n">
        <v>36.2976092222216</v>
      </c>
      <c r="F270" s="5" t="n">
        <v>127.934506194444</v>
      </c>
      <c r="G270" s="6">
        <f>HYPERLINK("https://map.naver.com/v5/search/36.2976092222216,127.934506194444","📍 네이버")</f>
        <v/>
      </c>
      <c r="H270" s="6">
        <f>HYPERLINK("https://map.kakao.com/link/map/삼각점관기463,36.2976092222216,127.934506194444","📍 카카오")</f>
        <v/>
      </c>
    </row>
    <row r="271">
      <c r="A271" s="17" t="inlineStr">
        <is>
          <t>#69</t>
        </is>
      </c>
      <c r="B271" s="17" t="inlineStr">
        <is>
          <t>통합기준점</t>
        </is>
      </c>
      <c r="C271" s="17" t="inlineStr">
        <is>
          <t>U관기79</t>
        </is>
      </c>
      <c r="D271" s="17" t="n">
        <v>2338</v>
      </c>
      <c r="E271" s="17" t="n">
        <v>36.3172450583327</v>
      </c>
      <c r="F271" s="17" t="n">
        <v>127.960084086111</v>
      </c>
      <c r="G271" s="18">
        <f>HYPERLINK("https://map.naver.com/v5/search/36.3172450583327,127.960084086111","📍 네이버")</f>
        <v/>
      </c>
      <c r="H271" s="18">
        <f>HYPERLINK("https://map.kakao.com/link/map/통합기준점U관기79,36.3172450583327,127.960084086111","📍 카카오")</f>
        <v/>
      </c>
    </row>
    <row r="272">
      <c r="A272" s="5" t="inlineStr">
        <is>
          <t>#69</t>
        </is>
      </c>
      <c r="B272" s="5" t="inlineStr">
        <is>
          <t>삼각점</t>
        </is>
      </c>
      <c r="C272" s="5" t="inlineStr">
        <is>
          <t>관기467</t>
        </is>
      </c>
      <c r="D272" s="5" t="n">
        <v>2817</v>
      </c>
      <c r="E272" s="5" t="n">
        <v>36.3290425277772</v>
      </c>
      <c r="F272" s="5" t="n">
        <v>127.958856194444</v>
      </c>
      <c r="G272" s="6">
        <f>HYPERLINK("https://map.naver.com/v5/search/36.3290425277772,127.958856194444","📍 네이버")</f>
        <v/>
      </c>
      <c r="H272" s="6">
        <f>HYPERLINK("https://map.kakao.com/link/map/삼각점관기467,36.3290425277772,127.958856194444","📍 카카오")</f>
        <v/>
      </c>
    </row>
    <row r="273">
      <c r="A273" s="5" t="inlineStr">
        <is>
          <t>#69</t>
        </is>
      </c>
      <c r="B273" s="5" t="inlineStr">
        <is>
          <t>삼각점</t>
        </is>
      </c>
      <c r="C273" s="5" t="inlineStr">
        <is>
          <t>관기11</t>
        </is>
      </c>
      <c r="D273" s="5" t="n">
        <v>2890</v>
      </c>
      <c r="E273" s="5" t="n">
        <v>36.3023169722216</v>
      </c>
      <c r="F273" s="5" t="n">
        <v>127.905202444444</v>
      </c>
      <c r="G273" s="6">
        <f>HYPERLINK("https://map.naver.com/v5/search/36.3023169722216,127.905202444444","📍 네이버")</f>
        <v/>
      </c>
      <c r="H273" s="6">
        <f>HYPERLINK("https://map.kakao.com/link/map/삼각점관기11,36.3023169722216,127.905202444444","📍 카카오")</f>
        <v/>
      </c>
    </row>
    <row r="274">
      <c r="A274" s="5" t="inlineStr">
        <is>
          <t>#69</t>
        </is>
      </c>
      <c r="B274" s="5" t="inlineStr">
        <is>
          <t>삼각점</t>
        </is>
      </c>
      <c r="C274" s="5" t="inlineStr">
        <is>
          <t>관기459</t>
        </is>
      </c>
      <c r="D274" s="5" t="n">
        <v>2958</v>
      </c>
      <c r="E274" s="5" t="n">
        <v>36.3295123611105</v>
      </c>
      <c r="F274" s="5" t="n">
        <v>127.908768888889</v>
      </c>
      <c r="G274" s="6">
        <f>HYPERLINK("https://map.naver.com/v5/search/36.3295123611105,127.908768888889","📍 네이버")</f>
        <v/>
      </c>
      <c r="H274" s="6">
        <f>HYPERLINK("https://map.kakao.com/link/map/삼각점관기459,36.3295123611105,127.908768888889","📍 카카오")</f>
        <v/>
      </c>
    </row>
    <row r="275">
      <c r="A275" s="5" t="inlineStr">
        <is>
          <t>#69</t>
        </is>
      </c>
      <c r="B275" s="5" t="inlineStr">
        <is>
          <t>삼각점</t>
        </is>
      </c>
      <c r="C275" s="5" t="inlineStr">
        <is>
          <t>관기428</t>
        </is>
      </c>
      <c r="D275" s="5" t="n">
        <v>3252</v>
      </c>
      <c r="E275" s="5" t="n">
        <v>36.3420203611105</v>
      </c>
      <c r="F275" s="5" t="n">
        <v>127.929999611111</v>
      </c>
      <c r="G275" s="6">
        <f>HYPERLINK("https://map.naver.com/v5/search/36.3420203611105,127.929999611111","📍 네이버")</f>
        <v/>
      </c>
      <c r="H275" s="6">
        <f>HYPERLINK("https://map.kakao.com/link/map/삼각점관기428,36.3420203611105,127.929999611111","📍 카카오")</f>
        <v/>
      </c>
    </row>
    <row r="276">
      <c r="A276" s="5" t="inlineStr">
        <is>
          <t>#69</t>
        </is>
      </c>
      <c r="B276" s="5" t="inlineStr">
        <is>
          <t>삼각점</t>
        </is>
      </c>
      <c r="C276" s="5" t="inlineStr">
        <is>
          <t>관기465</t>
        </is>
      </c>
      <c r="D276" s="5" t="n">
        <v>3263</v>
      </c>
      <c r="E276" s="5" t="n">
        <v>36.287667055555</v>
      </c>
      <c r="F276" s="5" t="n">
        <v>127.953191277778</v>
      </c>
      <c r="G276" s="6">
        <f>HYPERLINK("https://map.naver.com/v5/search/36.287667055555,127.953191277778","📍 네이버")</f>
        <v/>
      </c>
      <c r="H276" s="6">
        <f>HYPERLINK("https://map.kakao.com/link/map/삼각점관기465,36.287667055555,127.953191277778","📍 카카오")</f>
        <v/>
      </c>
    </row>
    <row r="277">
      <c r="A277" s="5" t="inlineStr">
        <is>
          <t>#69</t>
        </is>
      </c>
      <c r="B277" s="5" t="inlineStr">
        <is>
          <t>삼각점</t>
        </is>
      </c>
      <c r="C277" s="5" t="inlineStr">
        <is>
          <t>관기469</t>
        </is>
      </c>
      <c r="D277" s="5" t="n">
        <v>3712</v>
      </c>
      <c r="E277" s="5" t="n">
        <v>36.3059999444439</v>
      </c>
      <c r="F277" s="5" t="n">
        <v>127.975041</v>
      </c>
      <c r="G277" s="6">
        <f>HYPERLINK("https://map.naver.com/v5/search/36.3059999444439,127.975041","📍 네이버")</f>
        <v/>
      </c>
      <c r="H277" s="6">
        <f>HYPERLINK("https://map.kakao.com/link/map/삼각점관기469,36.3059999444439,127.975041","📍 카카오")</f>
        <v/>
      </c>
    </row>
    <row r="278">
      <c r="A278" s="17" t="inlineStr">
        <is>
          <t>#69</t>
        </is>
      </c>
      <c r="B278" s="17" t="inlineStr">
        <is>
          <t>통합기준점</t>
        </is>
      </c>
      <c r="C278" s="17" t="inlineStr">
        <is>
          <t>U관기67</t>
        </is>
      </c>
      <c r="D278" s="17" t="n">
        <v>3738</v>
      </c>
      <c r="E278" s="17" t="n">
        <v>36.3385887833328</v>
      </c>
      <c r="F278" s="17" t="n">
        <v>127.907572741667</v>
      </c>
      <c r="G278" s="18">
        <f>HYPERLINK("https://map.naver.com/v5/search/36.3385887833328,127.907572741667","📍 네이버")</f>
        <v/>
      </c>
      <c r="H278" s="18">
        <f>HYPERLINK("https://map.kakao.com/link/map/통합기준점U관기67,36.3385887833328,127.907572741667","📍 카카오")</f>
        <v/>
      </c>
    </row>
    <row r="279">
      <c r="A279" s="17" t="inlineStr">
        <is>
          <t>#69</t>
        </is>
      </c>
      <c r="B279" s="17" t="inlineStr">
        <is>
          <t>통합기준점</t>
        </is>
      </c>
      <c r="C279" s="17" t="inlineStr">
        <is>
          <t>U관기68</t>
        </is>
      </c>
      <c r="D279" s="17" t="n">
        <v>3791</v>
      </c>
      <c r="E279" s="17" t="n">
        <v>36.3469786194439</v>
      </c>
      <c r="F279" s="17" t="n">
        <v>127.938361863889</v>
      </c>
      <c r="G279" s="18">
        <f>HYPERLINK("https://map.naver.com/v5/search/36.3469786194439,127.938361863889","📍 네이버")</f>
        <v/>
      </c>
      <c r="H279" s="18">
        <f>HYPERLINK("https://map.kakao.com/link/map/통합기준점U관기68,36.3469786194439,127.938361863889","📍 카카오")</f>
        <v/>
      </c>
    </row>
    <row r="280">
      <c r="A280" s="5" t="inlineStr">
        <is>
          <t>#69</t>
        </is>
      </c>
      <c r="B280" s="5" t="inlineStr">
        <is>
          <t>삼각점</t>
        </is>
      </c>
      <c r="C280" s="5" t="inlineStr">
        <is>
          <t>관기462</t>
        </is>
      </c>
      <c r="D280" s="5" t="n">
        <v>3956</v>
      </c>
      <c r="E280" s="5" t="n">
        <v>36.2773589999994</v>
      </c>
      <c r="F280" s="5" t="n">
        <v>127.93156875</v>
      </c>
      <c r="G280" s="6">
        <f>HYPERLINK("https://map.naver.com/v5/search/36.2773589999994,127.93156875","📍 네이버")</f>
        <v/>
      </c>
      <c r="H280" s="6">
        <f>HYPERLINK("https://map.kakao.com/link/map/삼각점관기462,36.2773589999994,127.93156875","📍 카카오")</f>
        <v/>
      </c>
    </row>
    <row r="281">
      <c r="A281" s="17" t="inlineStr">
        <is>
          <t>#69</t>
        </is>
      </c>
      <c r="B281" s="17" t="inlineStr">
        <is>
          <t>통합기준점</t>
        </is>
      </c>
      <c r="C281" s="17" t="inlineStr">
        <is>
          <t>U0571</t>
        </is>
      </c>
      <c r="D281" s="17" t="n">
        <v>4041</v>
      </c>
      <c r="E281" s="17" t="n">
        <v>36.342640005555</v>
      </c>
      <c r="F281" s="17" t="n">
        <v>127.960654219444</v>
      </c>
      <c r="G281" s="18">
        <f>HYPERLINK("https://map.naver.com/v5/search/36.342640005555,127.960654219444","📍 네이버")</f>
        <v/>
      </c>
      <c r="H281" s="18">
        <f>HYPERLINK("https://map.kakao.com/link/map/통합기준점U0571,36.342640005555,127.960654219444","📍 카카오")</f>
        <v/>
      </c>
    </row>
    <row r="282">
      <c r="A282" s="5" t="inlineStr">
        <is>
          <t>#69</t>
        </is>
      </c>
      <c r="B282" s="5" t="inlineStr">
        <is>
          <t>삼각점</t>
        </is>
      </c>
      <c r="C282" s="5" t="inlineStr">
        <is>
          <t>관기458</t>
        </is>
      </c>
      <c r="D282" s="5" t="n">
        <v>4600</v>
      </c>
      <c r="E282" s="5" t="n">
        <v>36.3097738333327</v>
      </c>
      <c r="F282" s="5" t="n">
        <v>127.883498638889</v>
      </c>
      <c r="G282" s="6">
        <f>HYPERLINK("https://map.naver.com/v5/search/36.3097738333327,127.883498638889","📍 네이버")</f>
        <v/>
      </c>
      <c r="H282" s="6">
        <f>HYPERLINK("https://map.kakao.com/link/map/삼각점관기458,36.3097738333327,127.883498638889","📍 카카오")</f>
        <v/>
      </c>
    </row>
    <row r="283">
      <c r="A283" s="17" t="inlineStr">
        <is>
          <t>#69</t>
        </is>
      </c>
      <c r="B283" s="17" t="inlineStr">
        <is>
          <t>통합기준점</t>
        </is>
      </c>
      <c r="C283" s="17" t="inlineStr">
        <is>
          <t>U관기90</t>
        </is>
      </c>
      <c r="D283" s="17" t="n">
        <v>4649</v>
      </c>
      <c r="E283" s="17" t="n">
        <v>36.2926783722216</v>
      </c>
      <c r="F283" s="17" t="n">
        <v>127.979920038889</v>
      </c>
      <c r="G283" s="18">
        <f>HYPERLINK("https://map.naver.com/v5/search/36.2926783722216,127.979920038889","📍 네이버")</f>
        <v/>
      </c>
      <c r="H283" s="18">
        <f>HYPERLINK("https://map.kakao.com/link/map/통합기준점U관기90,36.2926783722216,127.979920038889","📍 카카오")</f>
        <v/>
      </c>
    </row>
    <row r="284">
      <c r="A284" s="5" t="inlineStr">
        <is>
          <t>#69</t>
        </is>
      </c>
      <c r="B284" s="5" t="inlineStr">
        <is>
          <t>삼각점</t>
        </is>
      </c>
      <c r="C284" s="5" t="inlineStr">
        <is>
          <t>관기305</t>
        </is>
      </c>
      <c r="D284" s="5" t="n">
        <v>4911</v>
      </c>
      <c r="E284" s="5" t="n">
        <v>36.3380791944439</v>
      </c>
      <c r="F284" s="5" t="n">
        <v>127.979630694444</v>
      </c>
      <c r="G284" s="6">
        <f>HYPERLINK("https://map.naver.com/v5/search/36.3380791944439,127.979630694444","📍 네이버")</f>
        <v/>
      </c>
      <c r="H284" s="6">
        <f>HYPERLINK("https://map.kakao.com/link/map/삼각점관기305,36.3380791944439,127.979630694444","📍 카카오")</f>
        <v/>
      </c>
    </row>
    <row r="286" ht="18" customHeight="1">
      <c r="A286" s="16" t="inlineStr">
        <is>
          <t>▶ P1 #70  (36.493°N, 127.936°E) / 국가점수 57.8점 / 기준점 12개</t>
        </is>
      </c>
    </row>
    <row r="287">
      <c r="A287" s="5" t="inlineStr">
        <is>
          <t>#70</t>
        </is>
      </c>
      <c r="B287" s="5" t="inlineStr">
        <is>
          <t>삼각점</t>
        </is>
      </c>
      <c r="C287" s="5" t="inlineStr">
        <is>
          <t>관기23</t>
        </is>
      </c>
      <c r="D287" s="5" t="n">
        <v>649</v>
      </c>
      <c r="E287" s="5" t="n">
        <v>36.4909159444439</v>
      </c>
      <c r="F287" s="5" t="n">
        <v>127.942254083333</v>
      </c>
      <c r="G287" s="6">
        <f>HYPERLINK("https://map.naver.com/v5/search/36.4909159444439,127.942254083333","📍 네이버")</f>
        <v/>
      </c>
      <c r="H287" s="6">
        <f>HYPERLINK("https://map.kakao.com/link/map/삼각점관기23,36.4909159444439,127.942254083333","📍 카카오")</f>
        <v/>
      </c>
    </row>
    <row r="288">
      <c r="A288" s="17" t="inlineStr">
        <is>
          <t>#70</t>
        </is>
      </c>
      <c r="B288" s="17" t="inlineStr">
        <is>
          <t>통합기준점</t>
        </is>
      </c>
      <c r="C288" s="17" t="inlineStr">
        <is>
          <t>U관기08</t>
        </is>
      </c>
      <c r="D288" s="17" t="n">
        <v>1401</v>
      </c>
      <c r="E288" s="17" t="n">
        <v>36.4809024722217</v>
      </c>
      <c r="F288" s="17" t="n">
        <v>127.932244969444</v>
      </c>
      <c r="G288" s="18">
        <f>HYPERLINK("https://map.naver.com/v5/search/36.4809024722217,127.932244969444","📍 네이버")</f>
        <v/>
      </c>
      <c r="H288" s="18">
        <f>HYPERLINK("https://map.kakao.com/link/map/통합기준점U관기08,36.4809024722217,127.932244969444","📍 카카오")</f>
        <v/>
      </c>
    </row>
    <row r="289">
      <c r="A289" s="5" t="inlineStr">
        <is>
          <t>#70</t>
        </is>
      </c>
      <c r="B289" s="5" t="inlineStr">
        <is>
          <t>삼각점</t>
        </is>
      </c>
      <c r="C289" s="5" t="inlineStr">
        <is>
          <t>관기416</t>
        </is>
      </c>
      <c r="D289" s="5" t="n">
        <v>2943</v>
      </c>
      <c r="E289" s="5" t="n">
        <v>36.482998055555</v>
      </c>
      <c r="F289" s="5" t="n">
        <v>127.965915722222</v>
      </c>
      <c r="G289" s="6">
        <f>HYPERLINK("https://map.naver.com/v5/search/36.482998055555,127.965915722222","📍 네이버")</f>
        <v/>
      </c>
      <c r="H289" s="6">
        <f>HYPERLINK("https://map.kakao.com/link/map/삼각점관기416,36.482998055555,127.965915722222","📍 카카오")</f>
        <v/>
      </c>
    </row>
    <row r="290">
      <c r="A290" s="17" t="inlineStr">
        <is>
          <t>#70</t>
        </is>
      </c>
      <c r="B290" s="17" t="inlineStr">
        <is>
          <t>통합기준점</t>
        </is>
      </c>
      <c r="C290" s="17" t="inlineStr">
        <is>
          <t>U관기17</t>
        </is>
      </c>
      <c r="D290" s="17" t="n">
        <v>3199</v>
      </c>
      <c r="E290" s="17" t="n">
        <v>36.473334155555</v>
      </c>
      <c r="F290" s="17" t="n">
        <v>127.909753641667</v>
      </c>
      <c r="G290" s="18">
        <f>HYPERLINK("https://map.naver.com/v5/search/36.473334155555,127.909753641667","📍 네이버")</f>
        <v/>
      </c>
      <c r="H290" s="18">
        <f>HYPERLINK("https://map.kakao.com/link/map/통합기준점U관기17,36.473334155555,127.909753641667","📍 카카오")</f>
        <v/>
      </c>
    </row>
    <row r="291">
      <c r="A291" s="5" t="inlineStr">
        <is>
          <t>#70</t>
        </is>
      </c>
      <c r="B291" s="5" t="inlineStr">
        <is>
          <t>삼각점</t>
        </is>
      </c>
      <c r="C291" s="5" t="inlineStr">
        <is>
          <t>관기303</t>
        </is>
      </c>
      <c r="D291" s="5" t="n">
        <v>3308</v>
      </c>
      <c r="E291" s="5" t="n">
        <v>36.4636309444439</v>
      </c>
      <c r="F291" s="5" t="n">
        <v>127.939989611111</v>
      </c>
      <c r="G291" s="6">
        <f>HYPERLINK("https://map.naver.com/v5/search/36.4636309444439,127.939989611111","📍 네이버")</f>
        <v/>
      </c>
      <c r="H291" s="6">
        <f>HYPERLINK("https://map.kakao.com/link/map/삼각점관기303,36.4636309444439,127.939989611111","📍 카카오")</f>
        <v/>
      </c>
    </row>
    <row r="292">
      <c r="A292" s="17" t="inlineStr">
        <is>
          <t>#70</t>
        </is>
      </c>
      <c r="B292" s="17" t="inlineStr">
        <is>
          <t>통합기준점</t>
        </is>
      </c>
      <c r="C292" s="17" t="inlineStr">
        <is>
          <t>U속리99</t>
        </is>
      </c>
      <c r="D292" s="17" t="n">
        <v>3817</v>
      </c>
      <c r="E292" s="17" t="n">
        <v>36.5216881972217</v>
      </c>
      <c r="F292" s="17" t="n">
        <v>127.959587061111</v>
      </c>
      <c r="G292" s="18">
        <f>HYPERLINK("https://map.naver.com/v5/search/36.5216881972217,127.959587061111","📍 네이버")</f>
        <v/>
      </c>
      <c r="H292" s="18">
        <f>HYPERLINK("https://map.kakao.com/link/map/통합기준점U속리99,36.5216881972217,127.959587061111","📍 카카오")</f>
        <v/>
      </c>
    </row>
    <row r="293">
      <c r="A293" s="5" t="inlineStr">
        <is>
          <t>#70</t>
        </is>
      </c>
      <c r="B293" s="5" t="inlineStr">
        <is>
          <t>삼각점</t>
        </is>
      </c>
      <c r="C293" s="5" t="inlineStr">
        <is>
          <t>관기413</t>
        </is>
      </c>
      <c r="D293" s="5" t="n">
        <v>3884</v>
      </c>
      <c r="E293" s="5" t="n">
        <v>36.468747055555</v>
      </c>
      <c r="F293" s="5" t="n">
        <v>127.9046225</v>
      </c>
      <c r="G293" s="6">
        <f>HYPERLINK("https://map.naver.com/v5/search/36.468747055555,127.9046225","📍 네이버")</f>
        <v/>
      </c>
      <c r="H293" s="6">
        <f>HYPERLINK("https://map.kakao.com/link/map/삼각점관기413,36.468747055555,127.9046225","📍 카카오")</f>
        <v/>
      </c>
    </row>
    <row r="294">
      <c r="A294" s="5" t="inlineStr">
        <is>
          <t>#70</t>
        </is>
      </c>
      <c r="B294" s="5" t="inlineStr">
        <is>
          <t>삼각점</t>
        </is>
      </c>
      <c r="C294" s="5" t="inlineStr">
        <is>
          <t>속리453</t>
        </is>
      </c>
      <c r="D294" s="5" t="n">
        <v>4148</v>
      </c>
      <c r="E294" s="5" t="n">
        <v>36.5260223611106</v>
      </c>
      <c r="F294" s="5" t="n">
        <v>127.913318694444</v>
      </c>
      <c r="G294" s="6">
        <f>HYPERLINK("https://map.naver.com/v5/search/36.5260223611106,127.913318694444","📍 네이버")</f>
        <v/>
      </c>
      <c r="H294" s="6">
        <f>HYPERLINK("https://map.kakao.com/link/map/삼각점속리453,36.5260223611106,127.913318694444","📍 카카오")</f>
        <v/>
      </c>
    </row>
    <row r="295">
      <c r="A295" s="5" t="inlineStr">
        <is>
          <t>#70</t>
        </is>
      </c>
      <c r="B295" s="5" t="inlineStr">
        <is>
          <t>삼각점</t>
        </is>
      </c>
      <c r="C295" s="5" t="inlineStr">
        <is>
          <t>속리315</t>
        </is>
      </c>
      <c r="D295" s="5" t="n">
        <v>4303</v>
      </c>
      <c r="E295" s="5" t="n">
        <v>36.5133076666661</v>
      </c>
      <c r="F295" s="5" t="n">
        <v>127.976718916667</v>
      </c>
      <c r="G295" s="6">
        <f>HYPERLINK("https://map.naver.com/v5/search/36.5133076666661,127.976718916667","📍 네이버")</f>
        <v/>
      </c>
      <c r="H295" s="6">
        <f>HYPERLINK("https://map.kakao.com/link/map/삼각점속리315,36.5133076666661,127.976718916667","📍 카카오")</f>
        <v/>
      </c>
    </row>
    <row r="296">
      <c r="A296" s="17" t="inlineStr">
        <is>
          <t>#70</t>
        </is>
      </c>
      <c r="B296" s="17" t="inlineStr">
        <is>
          <t>통합기준점</t>
        </is>
      </c>
      <c r="C296" s="17" t="inlineStr">
        <is>
          <t>U관기06</t>
        </is>
      </c>
      <c r="D296" s="17" t="n">
        <v>4475</v>
      </c>
      <c r="E296" s="17" t="n">
        <v>36.4875604222217</v>
      </c>
      <c r="F296" s="17" t="n">
        <v>127.886133813889</v>
      </c>
      <c r="G296" s="18">
        <f>HYPERLINK("https://map.naver.com/v5/search/36.4875604222217,127.886133813889","📍 네이버")</f>
        <v/>
      </c>
      <c r="H296" s="18">
        <f>HYPERLINK("https://map.kakao.com/link/map/통합기준점U관기06,36.4875604222217,127.886133813889","📍 카카오")</f>
        <v/>
      </c>
    </row>
    <row r="297">
      <c r="A297" s="5" t="inlineStr">
        <is>
          <t>#70</t>
        </is>
      </c>
      <c r="B297" s="5" t="inlineStr">
        <is>
          <t>삼각점</t>
        </is>
      </c>
      <c r="C297" s="5" t="inlineStr">
        <is>
          <t>관기411</t>
        </is>
      </c>
      <c r="D297" s="5" t="n">
        <v>4797</v>
      </c>
      <c r="E297" s="5" t="n">
        <v>36.4931964999995</v>
      </c>
      <c r="F297" s="5" t="n">
        <v>127.882041277778</v>
      </c>
      <c r="G297" s="6">
        <f>HYPERLINK("https://map.naver.com/v5/search/36.4931964999995,127.882041277778","📍 네이버")</f>
        <v/>
      </c>
      <c r="H297" s="6">
        <f>HYPERLINK("https://map.kakao.com/link/map/삼각점관기411,36.4931964999995,127.882041277778","📍 카카오")</f>
        <v/>
      </c>
    </row>
    <row r="298">
      <c r="A298" s="5" t="inlineStr">
        <is>
          <t>#70</t>
        </is>
      </c>
      <c r="B298" s="5" t="inlineStr">
        <is>
          <t>삼각점</t>
        </is>
      </c>
      <c r="C298" s="5" t="inlineStr">
        <is>
          <t>관기419</t>
        </is>
      </c>
      <c r="D298" s="5" t="n">
        <v>4849</v>
      </c>
      <c r="E298" s="5" t="n">
        <v>36.4959573333328</v>
      </c>
      <c r="F298" s="5" t="n">
        <v>127.989630722222</v>
      </c>
      <c r="G298" s="6">
        <f>HYPERLINK("https://map.naver.com/v5/search/36.4959573333328,127.989630722222","📍 네이버")</f>
        <v/>
      </c>
      <c r="H298" s="6">
        <f>HYPERLINK("https://map.kakao.com/link/map/삼각점관기419,36.4959573333328,127.989630722222","📍 카카오")</f>
        <v/>
      </c>
    </row>
    <row r="300" ht="18" customHeight="1">
      <c r="A300" s="16" t="inlineStr">
        <is>
          <t>▶ P1 #71  (36.674°N, 127.937°E) / 국가점수 58.9점 / 기준점 15개</t>
        </is>
      </c>
    </row>
    <row r="301">
      <c r="A301" s="5" t="inlineStr">
        <is>
          <t>#71</t>
        </is>
      </c>
      <c r="B301" s="5" t="inlineStr">
        <is>
          <t>삼각점</t>
        </is>
      </c>
      <c r="C301" s="5" t="inlineStr">
        <is>
          <t>속리305</t>
        </is>
      </c>
      <c r="D301" s="5" t="n">
        <v>796</v>
      </c>
      <c r="E301" s="5" t="n">
        <v>36.6691961111106</v>
      </c>
      <c r="F301" s="5" t="n">
        <v>127.929518611111</v>
      </c>
      <c r="G301" s="6">
        <f>HYPERLINK("https://map.naver.com/v5/search/36.6691961111106,127.929518611111","📍 네이버")</f>
        <v/>
      </c>
      <c r="H301" s="6">
        <f>HYPERLINK("https://map.kakao.com/link/map/삼각점속리305,36.6691961111106,127.929518611111","📍 카카오")</f>
        <v/>
      </c>
    </row>
    <row r="302">
      <c r="A302" s="17" t="inlineStr">
        <is>
          <t>#71</t>
        </is>
      </c>
      <c r="B302" s="17" t="inlineStr">
        <is>
          <t>통합기준점</t>
        </is>
      </c>
      <c r="C302" s="17" t="inlineStr">
        <is>
          <t>U속리28</t>
        </is>
      </c>
      <c r="D302" s="17" t="n">
        <v>2033</v>
      </c>
      <c r="E302" s="17" t="n">
        <v>36.6898784916662</v>
      </c>
      <c r="F302" s="17" t="n">
        <v>127.92629735</v>
      </c>
      <c r="G302" s="18">
        <f>HYPERLINK("https://map.naver.com/v5/search/36.6898784916662,127.92629735","📍 네이버")</f>
        <v/>
      </c>
      <c r="H302" s="18">
        <f>HYPERLINK("https://map.kakao.com/link/map/통합기준점U속리28,36.6898784916662,127.92629735","📍 카카오")</f>
        <v/>
      </c>
    </row>
    <row r="303">
      <c r="A303" s="5" t="inlineStr">
        <is>
          <t>#71</t>
        </is>
      </c>
      <c r="B303" s="5" t="inlineStr">
        <is>
          <t>삼각점</t>
        </is>
      </c>
      <c r="C303" s="5" t="inlineStr">
        <is>
          <t>속리417</t>
        </is>
      </c>
      <c r="D303" s="5" t="n">
        <v>2165</v>
      </c>
      <c r="E303" s="5" t="n">
        <v>36.6918637499995</v>
      </c>
      <c r="F303" s="5" t="n">
        <v>127.928257166667</v>
      </c>
      <c r="G303" s="6">
        <f>HYPERLINK("https://map.naver.com/v5/search/36.6918637499995,127.928257166667","📍 네이버")</f>
        <v/>
      </c>
      <c r="H303" s="6">
        <f>HYPERLINK("https://map.kakao.com/link/map/삼각점속리417,36.6918637499995,127.928257166667","📍 카카오")</f>
        <v/>
      </c>
    </row>
    <row r="304">
      <c r="A304" s="5" t="inlineStr">
        <is>
          <t>#71</t>
        </is>
      </c>
      <c r="B304" s="5" t="inlineStr">
        <is>
          <t>삼각점</t>
        </is>
      </c>
      <c r="C304" s="5" t="inlineStr">
        <is>
          <t>속리423</t>
        </is>
      </c>
      <c r="D304" s="5" t="n">
        <v>2375</v>
      </c>
      <c r="E304" s="5" t="n">
        <v>36.6634639999995</v>
      </c>
      <c r="F304" s="5" t="n">
        <v>127.960065555556</v>
      </c>
      <c r="G304" s="6">
        <f>HYPERLINK("https://map.naver.com/v5/search/36.6634639999995,127.960065555556","📍 네이버")</f>
        <v/>
      </c>
      <c r="H304" s="6">
        <f>HYPERLINK("https://map.kakao.com/link/map/삼각점속리423,36.6634639999995,127.960065555556","📍 카카오")</f>
        <v/>
      </c>
    </row>
    <row r="305">
      <c r="A305" s="5" t="inlineStr">
        <is>
          <t>#71</t>
        </is>
      </c>
      <c r="B305" s="5" t="inlineStr">
        <is>
          <t>삼각점</t>
        </is>
      </c>
      <c r="C305" s="5" t="inlineStr">
        <is>
          <t>속리425</t>
        </is>
      </c>
      <c r="D305" s="5" t="n">
        <v>3175</v>
      </c>
      <c r="E305" s="5" t="n">
        <v>36.6569615277773</v>
      </c>
      <c r="F305" s="5" t="n">
        <v>127.907648888889</v>
      </c>
      <c r="G305" s="6">
        <f>HYPERLINK("https://map.naver.com/v5/search/36.6569615277773,127.907648888889","📍 네이버")</f>
        <v/>
      </c>
      <c r="H305" s="6">
        <f>HYPERLINK("https://map.kakao.com/link/map/삼각점속리425,36.6569615277773,127.907648888889","📍 카카오")</f>
        <v/>
      </c>
    </row>
    <row r="306">
      <c r="A306" s="5" t="inlineStr">
        <is>
          <t>#71</t>
        </is>
      </c>
      <c r="B306" s="5" t="inlineStr">
        <is>
          <t>삼각점</t>
        </is>
      </c>
      <c r="C306" s="5" t="inlineStr">
        <is>
          <t>속리418</t>
        </is>
      </c>
      <c r="D306" s="5" t="n">
        <v>3237</v>
      </c>
      <c r="E306" s="5" t="n">
        <v>36.6882223888884</v>
      </c>
      <c r="F306" s="5" t="n">
        <v>127.96791975</v>
      </c>
      <c r="G306" s="6">
        <f>HYPERLINK("https://map.naver.com/v5/search/36.6882223888884,127.96791975","📍 네이버")</f>
        <v/>
      </c>
      <c r="H306" s="6">
        <f>HYPERLINK("https://map.kakao.com/link/map/삼각점속리418,36.6882223888884,127.96791975","📍 카카오")</f>
        <v/>
      </c>
    </row>
    <row r="307">
      <c r="A307" s="5" t="inlineStr">
        <is>
          <t>#71</t>
        </is>
      </c>
      <c r="B307" s="5" t="inlineStr">
        <is>
          <t>삼각점</t>
        </is>
      </c>
      <c r="C307" s="5" t="inlineStr">
        <is>
          <t>속리416</t>
        </is>
      </c>
      <c r="D307" s="5" t="n">
        <v>3272</v>
      </c>
      <c r="E307" s="5" t="n">
        <v>36.6731191388884</v>
      </c>
      <c r="F307" s="5" t="n">
        <v>127.899992194444</v>
      </c>
      <c r="G307" s="6">
        <f>HYPERLINK("https://map.naver.com/v5/search/36.6731191388884,127.899992194444","📍 네이버")</f>
        <v/>
      </c>
      <c r="H307" s="6">
        <f>HYPERLINK("https://map.kakao.com/link/map/삼각점속리416,36.6731191388884,127.899992194444","📍 카카오")</f>
        <v/>
      </c>
    </row>
    <row r="308">
      <c r="A308" s="5" t="inlineStr">
        <is>
          <t>#71</t>
        </is>
      </c>
      <c r="B308" s="5" t="inlineStr">
        <is>
          <t>삼각점</t>
        </is>
      </c>
      <c r="C308" s="5" t="inlineStr">
        <is>
          <t>속리24</t>
        </is>
      </c>
      <c r="D308" s="5" t="n">
        <v>3597</v>
      </c>
      <c r="E308" s="5" t="n">
        <v>36.7023033611106</v>
      </c>
      <c r="F308" s="5" t="n">
        <v>127.955194611111</v>
      </c>
      <c r="G308" s="6">
        <f>HYPERLINK("https://map.naver.com/v5/search/36.7023033611106,127.955194611111","📍 네이버")</f>
        <v/>
      </c>
      <c r="H308" s="6">
        <f>HYPERLINK("https://map.kakao.com/link/map/삼각점속리24,36.7023033611106,127.955194611111","📍 카카오")</f>
        <v/>
      </c>
    </row>
    <row r="309">
      <c r="A309" s="5" t="inlineStr">
        <is>
          <t>#71</t>
        </is>
      </c>
      <c r="B309" s="5" t="inlineStr">
        <is>
          <t>삼각점</t>
        </is>
      </c>
      <c r="C309" s="5" t="inlineStr">
        <is>
          <t>속리303</t>
        </is>
      </c>
      <c r="D309" s="5" t="n">
        <v>3960</v>
      </c>
      <c r="E309" s="5" t="n">
        <v>36.651399444444</v>
      </c>
      <c r="F309" s="5" t="n">
        <v>127.971370388889</v>
      </c>
      <c r="G309" s="6">
        <f>HYPERLINK("https://map.naver.com/v5/search/36.651399444444,127.971370388889","📍 네이버")</f>
        <v/>
      </c>
      <c r="H309" s="6">
        <f>HYPERLINK("https://map.kakao.com/link/map/삼각점속리303,36.651399444444,127.971370388889","📍 카카오")</f>
        <v/>
      </c>
    </row>
    <row r="310">
      <c r="A310" s="17" t="inlineStr">
        <is>
          <t>#71</t>
        </is>
      </c>
      <c r="B310" s="17" t="inlineStr">
        <is>
          <t>통합기준점</t>
        </is>
      </c>
      <c r="C310" s="17" t="inlineStr">
        <is>
          <t>U속리27</t>
        </is>
      </c>
      <c r="D310" s="17" t="n">
        <v>4040</v>
      </c>
      <c r="E310" s="17" t="n">
        <v>36.6929016388884</v>
      </c>
      <c r="F310" s="17" t="n">
        <v>127.898317927778</v>
      </c>
      <c r="G310" s="18">
        <f>HYPERLINK("https://map.naver.com/v5/search/36.6929016388884,127.898317927778","📍 네이버")</f>
        <v/>
      </c>
      <c r="H310" s="18">
        <f>HYPERLINK("https://map.kakao.com/link/map/통합기준점U속리27,36.6929016388884,127.898317927778","📍 카카오")</f>
        <v/>
      </c>
    </row>
    <row r="311">
      <c r="A311" s="17" t="inlineStr">
        <is>
          <t>#71</t>
        </is>
      </c>
      <c r="B311" s="17" t="inlineStr">
        <is>
          <t>통합기준점</t>
        </is>
      </c>
      <c r="C311" s="17" t="inlineStr">
        <is>
          <t>U속리17</t>
        </is>
      </c>
      <c r="D311" s="17" t="n">
        <v>4111</v>
      </c>
      <c r="E311" s="17" t="n">
        <v>36.7061373805551</v>
      </c>
      <c r="F311" s="17" t="n">
        <v>127.914722841667</v>
      </c>
      <c r="G311" s="18">
        <f>HYPERLINK("https://map.naver.com/v5/search/36.7061373805551,127.914722841667","📍 네이버")</f>
        <v/>
      </c>
      <c r="H311" s="18">
        <f>HYPERLINK("https://map.kakao.com/link/map/통합기준점U속리17,36.7061373805551,127.914722841667","📍 카카오")</f>
        <v/>
      </c>
    </row>
    <row r="312">
      <c r="A312" s="5" t="inlineStr">
        <is>
          <t>#71</t>
        </is>
      </c>
      <c r="B312" s="5" t="inlineStr">
        <is>
          <t>삼각점</t>
        </is>
      </c>
      <c r="C312" s="5" t="inlineStr">
        <is>
          <t>속리419</t>
        </is>
      </c>
      <c r="D312" s="5" t="n">
        <v>4361</v>
      </c>
      <c r="E312" s="5" t="n">
        <v>36.6729553888884</v>
      </c>
      <c r="F312" s="5" t="n">
        <v>127.985410166667</v>
      </c>
      <c r="G312" s="6">
        <f>HYPERLINK("https://map.naver.com/v5/search/36.6729553888884,127.985410166667","📍 네이버")</f>
        <v/>
      </c>
      <c r="H312" s="6">
        <f>HYPERLINK("https://map.kakao.com/link/map/삼각점속리419,36.6729553888884,127.985410166667","📍 카카오")</f>
        <v/>
      </c>
    </row>
    <row r="313">
      <c r="A313" s="5" t="inlineStr">
        <is>
          <t>#71</t>
        </is>
      </c>
      <c r="B313" s="5" t="inlineStr">
        <is>
          <t>삼각점</t>
        </is>
      </c>
      <c r="C313" s="5" t="inlineStr">
        <is>
          <t>속리415</t>
        </is>
      </c>
      <c r="D313" s="5" t="n">
        <v>4569</v>
      </c>
      <c r="E313" s="5" t="n">
        <v>36.7030845555551</v>
      </c>
      <c r="F313" s="5" t="n">
        <v>127.900969638889</v>
      </c>
      <c r="G313" s="6">
        <f>HYPERLINK("https://map.naver.com/v5/search/36.7030845555551,127.900969638889","📍 네이버")</f>
        <v/>
      </c>
      <c r="H313" s="6">
        <f>HYPERLINK("https://map.kakao.com/link/map/삼각점속리415,36.7030845555551,127.900969638889","📍 카카오")</f>
        <v/>
      </c>
    </row>
    <row r="314">
      <c r="A314" s="5" t="inlineStr">
        <is>
          <t>#71</t>
        </is>
      </c>
      <c r="B314" s="5" t="inlineStr">
        <is>
          <t>삼각점</t>
        </is>
      </c>
      <c r="C314" s="5" t="inlineStr">
        <is>
          <t>속리414</t>
        </is>
      </c>
      <c r="D314" s="5" t="n">
        <v>4846</v>
      </c>
      <c r="E314" s="5" t="n">
        <v>36.6837993611106</v>
      </c>
      <c r="F314" s="5" t="n">
        <v>127.883887277778</v>
      </c>
      <c r="G314" s="6">
        <f>HYPERLINK("https://map.naver.com/v5/search/36.6837993611106,127.883887277778","📍 네이버")</f>
        <v/>
      </c>
      <c r="H314" s="6">
        <f>HYPERLINK("https://map.kakao.com/link/map/삼각점속리414,36.6837993611106,127.883887277778","📍 카카오")</f>
        <v/>
      </c>
    </row>
    <row r="315">
      <c r="A315" s="5" t="inlineStr">
        <is>
          <t>#71</t>
        </is>
      </c>
      <c r="B315" s="5" t="inlineStr">
        <is>
          <t>삼각점</t>
        </is>
      </c>
      <c r="C315" s="5" t="inlineStr">
        <is>
          <t>속리429</t>
        </is>
      </c>
      <c r="D315" s="5" t="n">
        <v>4959</v>
      </c>
      <c r="E315" s="5" t="n">
        <v>36.6717278888884</v>
      </c>
      <c r="F315" s="5" t="n">
        <v>127.881156583333</v>
      </c>
      <c r="G315" s="6">
        <f>HYPERLINK("https://map.naver.com/v5/search/36.6717278888884,127.881156583333","📍 네이버")</f>
        <v/>
      </c>
      <c r="H315" s="6">
        <f>HYPERLINK("https://map.kakao.com/link/map/삼각점속리429,36.6717278888884,127.881156583333","📍 카카오")</f>
        <v/>
      </c>
    </row>
    <row r="317" ht="18" customHeight="1">
      <c r="A317" s="16" t="inlineStr">
        <is>
          <t>▶ P1 #77  (34.690°N, 128.035°E) / 국가점수 66.5점 / 기준점 4개</t>
        </is>
      </c>
    </row>
    <row r="318">
      <c r="A318" s="5" t="inlineStr">
        <is>
          <t>#77</t>
        </is>
      </c>
      <c r="B318" s="5" t="inlineStr">
        <is>
          <t>삼각점</t>
        </is>
      </c>
      <c r="C318" s="5" t="inlineStr">
        <is>
          <t>두미21</t>
        </is>
      </c>
      <c r="D318" s="5" t="n">
        <v>1282</v>
      </c>
      <c r="E318" s="5" t="n">
        <v>34.6877141111101</v>
      </c>
      <c r="F318" s="5" t="n">
        <v>128.048928361111</v>
      </c>
      <c r="G318" s="6">
        <f>HYPERLINK("https://map.naver.com/v5/search/34.6877141111101,128.048928361111","📍 네이버")</f>
        <v/>
      </c>
      <c r="H318" s="6">
        <f>HYPERLINK("https://map.kakao.com/link/map/삼각점두미21,34.6877141111101,128.048928361111","📍 카카오")</f>
        <v/>
      </c>
    </row>
    <row r="319">
      <c r="A319" s="5" t="inlineStr">
        <is>
          <t>#77</t>
        </is>
      </c>
      <c r="B319" s="5" t="inlineStr">
        <is>
          <t>삼각점</t>
        </is>
      </c>
      <c r="C319" s="5" t="inlineStr">
        <is>
          <t>두미403</t>
        </is>
      </c>
      <c r="D319" s="5" t="n">
        <v>1842</v>
      </c>
      <c r="E319" s="5" t="n">
        <v>34.6972352777767</v>
      </c>
      <c r="F319" s="5" t="n">
        <v>128.052935083333</v>
      </c>
      <c r="G319" s="6">
        <f>HYPERLINK("https://map.naver.com/v5/search/34.6972352777767,128.052935083333","📍 네이버")</f>
        <v/>
      </c>
      <c r="H319" s="6">
        <f>HYPERLINK("https://map.kakao.com/link/map/삼각점두미403,34.6972352777767,128.052935083333","📍 카카오")</f>
        <v/>
      </c>
    </row>
    <row r="320">
      <c r="A320" s="5" t="inlineStr">
        <is>
          <t>#77</t>
        </is>
      </c>
      <c r="B320" s="5" t="inlineStr">
        <is>
          <t>삼각점</t>
        </is>
      </c>
      <c r="C320" s="5" t="inlineStr">
        <is>
          <t>두미402</t>
        </is>
      </c>
      <c r="D320" s="5" t="n">
        <v>2706</v>
      </c>
      <c r="E320" s="5" t="n">
        <v>34.7139461388879</v>
      </c>
      <c r="F320" s="5" t="n">
        <v>128.034758</v>
      </c>
      <c r="G320" s="6">
        <f>HYPERLINK("https://map.naver.com/v5/search/34.7139461388879,128.034758","📍 네이버")</f>
        <v/>
      </c>
      <c r="H320" s="6">
        <f>HYPERLINK("https://map.kakao.com/link/map/삼각점두미402,34.7139461388879,128.034758","📍 카카오")</f>
        <v/>
      </c>
    </row>
    <row r="321">
      <c r="A321" s="17" t="inlineStr">
        <is>
          <t>#77</t>
        </is>
      </c>
      <c r="B321" s="17" t="inlineStr">
        <is>
          <t>통합기준점</t>
        </is>
      </c>
      <c r="C321" s="17" t="inlineStr">
        <is>
          <t>U1119</t>
        </is>
      </c>
      <c r="D321" s="17" t="n">
        <v>2960</v>
      </c>
      <c r="E321" s="17" t="n">
        <v>34.7160083388879</v>
      </c>
      <c r="F321" s="17" t="n">
        <v>128.039400375</v>
      </c>
      <c r="G321" s="18">
        <f>HYPERLINK("https://map.naver.com/v5/search/34.7160083388879,128.039400375","📍 네이버")</f>
        <v/>
      </c>
      <c r="H321" s="18">
        <f>HYPERLINK("https://map.kakao.com/link/map/통합기준점U1119,34.7160083388879,128.039400375","📍 카카오")</f>
        <v/>
      </c>
    </row>
    <row r="323" ht="18" customHeight="1">
      <c r="A323" s="16" t="inlineStr">
        <is>
          <t>▶ P1 #78  (35.772°N, 128.042°E) / 국가점수 60.3점 / 기준점 11개</t>
        </is>
      </c>
    </row>
    <row r="324">
      <c r="A324" s="5" t="inlineStr">
        <is>
          <t>#78</t>
        </is>
      </c>
      <c r="B324" s="5" t="inlineStr">
        <is>
          <t>삼각점</t>
        </is>
      </c>
      <c r="C324" s="5" t="inlineStr">
        <is>
          <t>가야449</t>
        </is>
      </c>
      <c r="D324" s="5" t="n">
        <v>1591</v>
      </c>
      <c r="E324" s="5" t="n">
        <v>35.7859006944437</v>
      </c>
      <c r="F324" s="5" t="n">
        <v>128.041674805556</v>
      </c>
      <c r="G324" s="6">
        <f>HYPERLINK("https://map.naver.com/v5/search/35.7859006944437,128.041674805556","📍 네이버")</f>
        <v/>
      </c>
      <c r="H324" s="6">
        <f>HYPERLINK("https://map.kakao.com/link/map/삼각점가야449,35.7859006944437,128.041674805556","📍 카카오")</f>
        <v/>
      </c>
    </row>
    <row r="325">
      <c r="A325" s="5" t="inlineStr">
        <is>
          <t>#78</t>
        </is>
      </c>
      <c r="B325" s="5" t="inlineStr">
        <is>
          <t>삼각점</t>
        </is>
      </c>
      <c r="C325" s="5" t="inlineStr">
        <is>
          <t>가야448</t>
        </is>
      </c>
      <c r="D325" s="5" t="n">
        <v>2318</v>
      </c>
      <c r="E325" s="5" t="n">
        <v>35.7805703888881</v>
      </c>
      <c r="F325" s="5" t="n">
        <v>128.019125777778</v>
      </c>
      <c r="G325" s="6">
        <f>HYPERLINK("https://map.naver.com/v5/search/35.7805703888881,128.019125777778","📍 네이버")</f>
        <v/>
      </c>
      <c r="H325" s="6">
        <f>HYPERLINK("https://map.kakao.com/link/map/삼각점가야448,35.7805703888881,128.019125777778","📍 카카오")</f>
        <v/>
      </c>
    </row>
    <row r="326">
      <c r="A326" s="17" t="inlineStr">
        <is>
          <t>#78</t>
        </is>
      </c>
      <c r="B326" s="17" t="inlineStr">
        <is>
          <t>통합기준점</t>
        </is>
      </c>
      <c r="C326" s="17" t="inlineStr">
        <is>
          <t>U가야83</t>
        </is>
      </c>
      <c r="D326" s="17" t="n">
        <v>2900</v>
      </c>
      <c r="E326" s="17" t="n">
        <v>35.7917498111104</v>
      </c>
      <c r="F326" s="17" t="n">
        <v>128.062656558333</v>
      </c>
      <c r="G326" s="18">
        <f>HYPERLINK("https://map.naver.com/v5/search/35.7917498111104,128.062656558333","📍 네이버")</f>
        <v/>
      </c>
      <c r="H326" s="18">
        <f>HYPERLINK("https://map.kakao.com/link/map/통합기준점U가야83,35.7917498111104,128.062656558333","📍 카카오")</f>
        <v/>
      </c>
    </row>
    <row r="327">
      <c r="A327" s="5" t="inlineStr">
        <is>
          <t>#78</t>
        </is>
      </c>
      <c r="B327" s="5" t="inlineStr">
        <is>
          <t>삼각점</t>
        </is>
      </c>
      <c r="C327" s="5" t="inlineStr">
        <is>
          <t>가야453</t>
        </is>
      </c>
      <c r="D327" s="5" t="n">
        <v>2917</v>
      </c>
      <c r="E327" s="5" t="n">
        <v>35.7827147499993</v>
      </c>
      <c r="F327" s="5" t="n">
        <v>128.071485861111</v>
      </c>
      <c r="G327" s="6">
        <f>HYPERLINK("https://map.naver.com/v5/search/35.7827147499993,128.071485861111","📍 네이버")</f>
        <v/>
      </c>
      <c r="H327" s="6">
        <f>HYPERLINK("https://map.kakao.com/link/map/삼각점가야453,35.7827147499993,128.071485861111","📍 카카오")</f>
        <v/>
      </c>
    </row>
    <row r="328">
      <c r="A328" s="5" t="inlineStr">
        <is>
          <t>#78</t>
        </is>
      </c>
      <c r="B328" s="5" t="inlineStr">
        <is>
          <t>삼각점</t>
        </is>
      </c>
      <c r="C328" s="5" t="inlineStr">
        <is>
          <t>가야446</t>
        </is>
      </c>
      <c r="D328" s="5" t="n">
        <v>2989</v>
      </c>
      <c r="E328" s="5" t="n">
        <v>35.7611194999992</v>
      </c>
      <c r="F328" s="5" t="n">
        <v>128.011777833333</v>
      </c>
      <c r="G328" s="6">
        <f>HYPERLINK("https://map.naver.com/v5/search/35.7611194999992,128.011777833333","📍 네이버")</f>
        <v/>
      </c>
      <c r="H328" s="6">
        <f>HYPERLINK("https://map.kakao.com/link/map/삼각점가야446,35.7611194999992,128.011777833333","📍 카카오")</f>
        <v/>
      </c>
    </row>
    <row r="329">
      <c r="A329" s="17" t="inlineStr">
        <is>
          <t>#78</t>
        </is>
      </c>
      <c r="B329" s="17" t="inlineStr">
        <is>
          <t>통합기준점</t>
        </is>
      </c>
      <c r="C329" s="17" t="inlineStr">
        <is>
          <t>U0720</t>
        </is>
      </c>
      <c r="D329" s="17" t="n">
        <v>3600</v>
      </c>
      <c r="E329" s="17" t="n">
        <v>35.8004062722215</v>
      </c>
      <c r="F329" s="17" t="n">
        <v>128.023989436111</v>
      </c>
      <c r="G329" s="18">
        <f>HYPERLINK("https://map.naver.com/v5/search/35.8004062722215,128.023989436111","📍 네이버")</f>
        <v/>
      </c>
      <c r="H329" s="18">
        <f>HYPERLINK("https://map.kakao.com/link/map/통합기준점U0720,35.8004062722215,128.023989436111","📍 카카오")</f>
        <v/>
      </c>
    </row>
    <row r="330">
      <c r="A330" s="5" t="inlineStr">
        <is>
          <t>#78</t>
        </is>
      </c>
      <c r="B330" s="5" t="inlineStr">
        <is>
          <t>삼각점</t>
        </is>
      </c>
      <c r="C330" s="5" t="inlineStr">
        <is>
          <t>가야311</t>
        </is>
      </c>
      <c r="D330" s="5" t="n">
        <v>3831</v>
      </c>
      <c r="E330" s="5" t="n">
        <v>35.7964554722215</v>
      </c>
      <c r="F330" s="5" t="n">
        <v>128.012872027778</v>
      </c>
      <c r="G330" s="6">
        <f>HYPERLINK("https://map.naver.com/v5/search/35.7964554722215,128.012872027778","📍 네이버")</f>
        <v/>
      </c>
      <c r="H330" s="6">
        <f>HYPERLINK("https://map.kakao.com/link/map/삼각점가야311,35.7964554722215,128.012872027778","📍 카카오")</f>
        <v/>
      </c>
    </row>
    <row r="331">
      <c r="A331" s="5" t="inlineStr">
        <is>
          <t>#78</t>
        </is>
      </c>
      <c r="B331" s="5" t="inlineStr">
        <is>
          <t>삼각점</t>
        </is>
      </c>
      <c r="C331" s="5" t="inlineStr">
        <is>
          <t>합천403</t>
        </is>
      </c>
      <c r="D331" s="5" t="n">
        <v>3925</v>
      </c>
      <c r="E331" s="5" t="n">
        <v>35.738853527777</v>
      </c>
      <c r="F331" s="5" t="n">
        <v>128.025694972222</v>
      </c>
      <c r="G331" s="6">
        <f>HYPERLINK("https://map.naver.com/v5/search/35.738853527777,128.025694972222","📍 네이버")</f>
        <v/>
      </c>
      <c r="H331" s="6">
        <f>HYPERLINK("https://map.kakao.com/link/map/삼각점합천403,35.738853527777,128.025694972222","📍 카카오")</f>
        <v/>
      </c>
    </row>
    <row r="332">
      <c r="A332" s="5" t="inlineStr">
        <is>
          <t>#78</t>
        </is>
      </c>
      <c r="B332" s="5" t="inlineStr">
        <is>
          <t>삼각점</t>
        </is>
      </c>
      <c r="C332" s="5" t="inlineStr">
        <is>
          <t>가야450</t>
        </is>
      </c>
      <c r="D332" s="5" t="n">
        <v>4602</v>
      </c>
      <c r="E332" s="5" t="n">
        <v>35.8127008333326</v>
      </c>
      <c r="F332" s="5" t="n">
        <v>128.048888027778</v>
      </c>
      <c r="G332" s="6">
        <f>HYPERLINK("https://map.naver.com/v5/search/35.8127008333326,128.048888027778","📍 네이버")</f>
        <v/>
      </c>
      <c r="H332" s="6">
        <f>HYPERLINK("https://map.kakao.com/link/map/삼각점가야450,35.8127008333326,128.048888027778","📍 카카오")</f>
        <v/>
      </c>
    </row>
    <row r="333">
      <c r="A333" s="17" t="inlineStr">
        <is>
          <t>#78</t>
        </is>
      </c>
      <c r="B333" s="17" t="inlineStr">
        <is>
          <t>통합기준점</t>
        </is>
      </c>
      <c r="C333" s="17" t="inlineStr">
        <is>
          <t>U합천04</t>
        </is>
      </c>
      <c r="D333" s="17" t="n">
        <v>4741</v>
      </c>
      <c r="E333" s="17" t="n">
        <v>35.7460199166659</v>
      </c>
      <c r="F333" s="17" t="n">
        <v>128.084305891667</v>
      </c>
      <c r="G333" s="18">
        <f>HYPERLINK("https://map.naver.com/v5/search/35.7460199166659,128.084305891667","📍 네이버")</f>
        <v/>
      </c>
      <c r="H333" s="18">
        <f>HYPERLINK("https://map.kakao.com/link/map/통합기준점U합천04,35.7460199166659,128.084305891667","📍 카카오")</f>
        <v/>
      </c>
    </row>
    <row r="334">
      <c r="A334" s="5" t="inlineStr">
        <is>
          <t>#78</t>
        </is>
      </c>
      <c r="B334" s="5" t="inlineStr">
        <is>
          <t>삼각점</t>
        </is>
      </c>
      <c r="C334" s="5" t="inlineStr">
        <is>
          <t>가야313</t>
        </is>
      </c>
      <c r="D334" s="5" t="n">
        <v>4767</v>
      </c>
      <c r="E334" s="5" t="n">
        <v>35.8078108611104</v>
      </c>
      <c r="F334" s="5" t="n">
        <v>128.070603611111</v>
      </c>
      <c r="G334" s="6">
        <f>HYPERLINK("https://map.naver.com/v5/search/35.8078108611104,128.070603611111","📍 네이버")</f>
        <v/>
      </c>
      <c r="H334" s="6">
        <f>HYPERLINK("https://map.kakao.com/link/map/삼각점가야313,35.8078108611104,128.070603611111","📍 카카오")</f>
        <v/>
      </c>
    </row>
    <row r="336" ht="18" customHeight="1">
      <c r="A336" s="16" t="inlineStr">
        <is>
          <t>▶ P1 #84  (37.755°N, 128.056°E) / 국가점수 58.1점 / 기준점 17개</t>
        </is>
      </c>
    </row>
    <row r="337">
      <c r="A337" s="5" t="inlineStr">
        <is>
          <t>#84</t>
        </is>
      </c>
      <c r="B337" s="5" t="inlineStr">
        <is>
          <t>삼각점</t>
        </is>
      </c>
      <c r="C337" s="5" t="inlineStr">
        <is>
          <t>어론448</t>
        </is>
      </c>
      <c r="D337" s="5" t="n">
        <v>706</v>
      </c>
      <c r="E337" s="5" t="n">
        <v>37.7568694999999</v>
      </c>
      <c r="F337" s="5" t="n">
        <v>128.063954777778</v>
      </c>
      <c r="G337" s="6">
        <f>HYPERLINK("https://map.naver.com/v5/search/37.7568694999999,128.063954777778","📍 네이버")</f>
        <v/>
      </c>
      <c r="H337" s="6">
        <f>HYPERLINK("https://map.kakao.com/link/map/삼각점어론448,37.7568694999999,128.063954777778","📍 카카오")</f>
        <v/>
      </c>
    </row>
    <row r="338">
      <c r="A338" s="5" t="inlineStr">
        <is>
          <t>#84</t>
        </is>
      </c>
      <c r="B338" s="5" t="inlineStr">
        <is>
          <t>삼각점</t>
        </is>
      </c>
      <c r="C338" s="5" t="inlineStr">
        <is>
          <t>청일408</t>
        </is>
      </c>
      <c r="D338" s="5" t="n">
        <v>1715</v>
      </c>
      <c r="E338" s="5" t="n">
        <v>37.7514580277777</v>
      </c>
      <c r="F338" s="5" t="n">
        <v>128.075440111111</v>
      </c>
      <c r="G338" s="6">
        <f>HYPERLINK("https://map.naver.com/v5/search/37.7514580277777,128.075440111111","📍 네이버")</f>
        <v/>
      </c>
      <c r="H338" s="6">
        <f>HYPERLINK("https://map.kakao.com/link/map/삼각점청일408,37.7514580277777,128.075440111111","📍 카카오")</f>
        <v/>
      </c>
    </row>
    <row r="339">
      <c r="A339" s="5" t="inlineStr">
        <is>
          <t>#84</t>
        </is>
      </c>
      <c r="B339" s="5" t="inlineStr">
        <is>
          <t>삼각점</t>
        </is>
      </c>
      <c r="C339" s="5" t="inlineStr">
        <is>
          <t>청일301</t>
        </is>
      </c>
      <c r="D339" s="5" t="n">
        <v>1925</v>
      </c>
      <c r="E339" s="5" t="n">
        <v>37.7373900277777</v>
      </c>
      <c r="F339" s="5" t="n">
        <v>128.055334861111</v>
      </c>
      <c r="G339" s="6">
        <f>HYPERLINK("https://map.naver.com/v5/search/37.7373900277777,128.055334861111","📍 네이버")</f>
        <v/>
      </c>
      <c r="H339" s="6">
        <f>HYPERLINK("https://map.kakao.com/link/map/삼각점청일301,37.7373900277777,128.055334861111","📍 카카오")</f>
        <v/>
      </c>
    </row>
    <row r="340">
      <c r="A340" s="17" t="inlineStr">
        <is>
          <t>#84</t>
        </is>
      </c>
      <c r="B340" s="17" t="inlineStr">
        <is>
          <t>통합기준점</t>
        </is>
      </c>
      <c r="C340" s="17" t="inlineStr">
        <is>
          <t>U청일03</t>
        </is>
      </c>
      <c r="D340" s="17" t="n">
        <v>2152</v>
      </c>
      <c r="E340" s="17" t="n">
        <v>37.7487391999999</v>
      </c>
      <c r="F340" s="17" t="n">
        <v>128.033168194444</v>
      </c>
      <c r="G340" s="18">
        <f>HYPERLINK("https://map.naver.com/v5/search/37.7487391999999,128.033168194444","📍 네이버")</f>
        <v/>
      </c>
      <c r="H340" s="18">
        <f>HYPERLINK("https://map.kakao.com/link/map/통합기준점U청일03,37.7487391999999,128.033168194444","📍 카카오")</f>
        <v/>
      </c>
    </row>
    <row r="341">
      <c r="A341" s="17" t="inlineStr">
        <is>
          <t>#84</t>
        </is>
      </c>
      <c r="B341" s="17" t="inlineStr">
        <is>
          <t>통합기준점</t>
        </is>
      </c>
      <c r="C341" s="17" t="inlineStr">
        <is>
          <t>U청일04</t>
        </is>
      </c>
      <c r="D341" s="17" t="n">
        <v>2261</v>
      </c>
      <c r="E341" s="17" t="n">
        <v>37.7440657166666</v>
      </c>
      <c r="F341" s="17" t="n">
        <v>128.078284430556</v>
      </c>
      <c r="G341" s="18">
        <f>HYPERLINK("https://map.naver.com/v5/search/37.7440657166666,128.078284430556","📍 네이버")</f>
        <v/>
      </c>
      <c r="H341" s="18">
        <f>HYPERLINK("https://map.kakao.com/link/map/통합기준점U청일04,37.7440657166666,128.078284430556","📍 카카오")</f>
        <v/>
      </c>
    </row>
    <row r="342">
      <c r="A342" s="5" t="inlineStr">
        <is>
          <t>#84</t>
        </is>
      </c>
      <c r="B342" s="5" t="inlineStr">
        <is>
          <t>삼각점</t>
        </is>
      </c>
      <c r="C342" s="5" t="inlineStr">
        <is>
          <t>어론445</t>
        </is>
      </c>
      <c r="D342" s="5" t="n">
        <v>2300</v>
      </c>
      <c r="E342" s="5" t="n">
        <v>37.7619086944444</v>
      </c>
      <c r="F342" s="5" t="n">
        <v>128.031918083333</v>
      </c>
      <c r="G342" s="6">
        <f>HYPERLINK("https://map.naver.com/v5/search/37.7619086944444,128.031918083333","📍 네이버")</f>
        <v/>
      </c>
      <c r="H342" s="6">
        <f>HYPERLINK("https://map.kakao.com/link/map/삼각점어론445,37.7619086944444,128.031918083333","📍 카카오")</f>
        <v/>
      </c>
    </row>
    <row r="343">
      <c r="A343" s="5" t="inlineStr">
        <is>
          <t>#84</t>
        </is>
      </c>
      <c r="B343" s="5" t="inlineStr">
        <is>
          <t>삼각점</t>
        </is>
      </c>
      <c r="C343" s="5" t="inlineStr">
        <is>
          <t>청일403</t>
        </is>
      </c>
      <c r="D343" s="5" t="n">
        <v>3042</v>
      </c>
      <c r="E343" s="5" t="n">
        <v>37.7507022499999</v>
      </c>
      <c r="F343" s="5" t="n">
        <v>128.022254194444</v>
      </c>
      <c r="G343" s="6">
        <f>HYPERLINK("https://map.naver.com/v5/search/37.7507022499999,128.022254194444","📍 네이버")</f>
        <v/>
      </c>
      <c r="H343" s="6">
        <f>HYPERLINK("https://map.kakao.com/link/map/삼각점청일403,37.7507022499999,128.022254194444","📍 카카오")</f>
        <v/>
      </c>
    </row>
    <row r="344">
      <c r="A344" s="5" t="inlineStr">
        <is>
          <t>#84</t>
        </is>
      </c>
      <c r="B344" s="5" t="inlineStr">
        <is>
          <t>삼각점</t>
        </is>
      </c>
      <c r="C344" s="5" t="inlineStr">
        <is>
          <t>청일407</t>
        </is>
      </c>
      <c r="D344" s="5" t="n">
        <v>3095</v>
      </c>
      <c r="E344" s="5" t="n">
        <v>37.7294538333332</v>
      </c>
      <c r="F344" s="5" t="n">
        <v>128.071294722222</v>
      </c>
      <c r="G344" s="6">
        <f>HYPERLINK("https://map.naver.com/v5/search/37.7294538333332,128.071294722222","📍 네이버")</f>
        <v/>
      </c>
      <c r="H344" s="6">
        <f>HYPERLINK("https://map.kakao.com/link/map/삼각점청일407,37.7294538333332,128.071294722222","📍 카카오")</f>
        <v/>
      </c>
    </row>
    <row r="345">
      <c r="A345" s="5" t="inlineStr">
        <is>
          <t>#84</t>
        </is>
      </c>
      <c r="B345" s="5" t="inlineStr">
        <is>
          <t>삼각점</t>
        </is>
      </c>
      <c r="C345" s="5" t="inlineStr">
        <is>
          <t>어론27</t>
        </is>
      </c>
      <c r="D345" s="5" t="n">
        <v>3271</v>
      </c>
      <c r="E345" s="5" t="n">
        <v>37.7693705277777</v>
      </c>
      <c r="F345" s="5" t="n">
        <v>128.088629861111</v>
      </c>
      <c r="G345" s="6">
        <f>HYPERLINK("https://map.naver.com/v5/search/37.7693705277777,128.088629861111","📍 네이버")</f>
        <v/>
      </c>
      <c r="H345" s="6">
        <f>HYPERLINK("https://map.kakao.com/link/map/삼각점어론27,37.7693705277777,128.088629861111","📍 카카오")</f>
        <v/>
      </c>
    </row>
    <row r="346">
      <c r="A346" s="17" t="inlineStr">
        <is>
          <t>#84</t>
        </is>
      </c>
      <c r="B346" s="17" t="inlineStr">
        <is>
          <t>통합기준점</t>
        </is>
      </c>
      <c r="C346" s="17" t="inlineStr">
        <is>
          <t>U청일33</t>
        </is>
      </c>
      <c r="D346" s="17" t="n">
        <v>3659</v>
      </c>
      <c r="E346" s="17" t="n">
        <v>37.7303087694443</v>
      </c>
      <c r="F346" s="17" t="n">
        <v>128.084331686111</v>
      </c>
      <c r="G346" s="18">
        <f>HYPERLINK("https://map.naver.com/v5/search/37.7303087694443,128.084331686111","📍 네이버")</f>
        <v/>
      </c>
      <c r="H346" s="18">
        <f>HYPERLINK("https://map.kakao.com/link/map/통합기준점U청일33,37.7303087694443,128.084331686111","📍 카카오")</f>
        <v/>
      </c>
    </row>
    <row r="347">
      <c r="A347" s="17" t="inlineStr">
        <is>
          <t>#84</t>
        </is>
      </c>
      <c r="B347" s="17" t="inlineStr">
        <is>
          <t>통합기준점</t>
        </is>
      </c>
      <c r="C347" s="17" t="inlineStr">
        <is>
          <t>U청일32</t>
        </is>
      </c>
      <c r="D347" s="17" t="n">
        <v>3701</v>
      </c>
      <c r="E347" s="17" t="n">
        <v>37.7252089916666</v>
      </c>
      <c r="F347" s="17" t="n">
        <v>128.036836672222</v>
      </c>
      <c r="G347" s="18">
        <f>HYPERLINK("https://map.naver.com/v5/search/37.7252089916666,128.036836672222","📍 네이버")</f>
        <v/>
      </c>
      <c r="H347" s="18">
        <f>HYPERLINK("https://map.kakao.com/link/map/통합기준점U청일32,37.7252089916666,128.036836672222","📍 카카오")</f>
        <v/>
      </c>
    </row>
    <row r="348">
      <c r="A348" s="5" t="inlineStr">
        <is>
          <t>#84</t>
        </is>
      </c>
      <c r="B348" s="5" t="inlineStr">
        <is>
          <t>삼각점</t>
        </is>
      </c>
      <c r="C348" s="5" t="inlineStr">
        <is>
          <t>어론447</t>
        </is>
      </c>
      <c r="D348" s="5" t="n">
        <v>3892</v>
      </c>
      <c r="E348" s="5" t="n">
        <v>37.7897866388888</v>
      </c>
      <c r="F348" s="5" t="n">
        <v>128.057492305556</v>
      </c>
      <c r="G348" s="6">
        <f>HYPERLINK("https://map.naver.com/v5/search/37.7897866388888,128.057492305556","📍 네이버")</f>
        <v/>
      </c>
      <c r="H348" s="6">
        <f>HYPERLINK("https://map.kakao.com/link/map/삼각점어론447,37.7897866388888,128.057492305556","📍 카카오")</f>
        <v/>
      </c>
    </row>
    <row r="349">
      <c r="A349" s="5" t="inlineStr">
        <is>
          <t>#84</t>
        </is>
      </c>
      <c r="B349" s="5" t="inlineStr">
        <is>
          <t>삼각점</t>
        </is>
      </c>
      <c r="C349" s="5" t="inlineStr">
        <is>
          <t>어론449</t>
        </is>
      </c>
      <c r="D349" s="5" t="n">
        <v>4185</v>
      </c>
      <c r="E349" s="5" t="n">
        <v>37.7891318333333</v>
      </c>
      <c r="F349" s="5" t="n">
        <v>128.075861944444</v>
      </c>
      <c r="G349" s="6">
        <f>HYPERLINK("https://map.naver.com/v5/search/37.7891318333333,128.075861944444","📍 네이버")</f>
        <v/>
      </c>
      <c r="H349" s="6">
        <f>HYPERLINK("https://map.kakao.com/link/map/삼각점어론449,37.7891318333333,128.075861944444","📍 카카오")</f>
        <v/>
      </c>
    </row>
    <row r="350">
      <c r="A350" s="5" t="inlineStr">
        <is>
          <t>#84</t>
        </is>
      </c>
      <c r="B350" s="5" t="inlineStr">
        <is>
          <t>삼각점</t>
        </is>
      </c>
      <c r="C350" s="5" t="inlineStr">
        <is>
          <t>청일405</t>
        </is>
      </c>
      <c r="D350" s="5" t="n">
        <v>4286</v>
      </c>
      <c r="E350" s="5" t="n">
        <v>37.7175340833332</v>
      </c>
      <c r="F350" s="5" t="n">
        <v>128.043232138889</v>
      </c>
      <c r="G350" s="6">
        <f>HYPERLINK("https://map.naver.com/v5/search/37.7175340833332,128.043232138889","📍 네이버")</f>
        <v/>
      </c>
      <c r="H350" s="6">
        <f>HYPERLINK("https://map.kakao.com/link/map/삼각점청일405,37.7175340833332,128.043232138889","📍 카카오")</f>
        <v/>
      </c>
    </row>
    <row r="351">
      <c r="A351" s="5" t="inlineStr">
        <is>
          <t>#84</t>
        </is>
      </c>
      <c r="B351" s="5" t="inlineStr">
        <is>
          <t>삼각점</t>
        </is>
      </c>
      <c r="C351" s="5" t="inlineStr">
        <is>
          <t>어론444</t>
        </is>
      </c>
      <c r="D351" s="5" t="n">
        <v>4399</v>
      </c>
      <c r="E351" s="5" t="n">
        <v>37.7835747499999</v>
      </c>
      <c r="F351" s="5" t="n">
        <v>128.022149861111</v>
      </c>
      <c r="G351" s="6">
        <f>HYPERLINK("https://map.naver.com/v5/search/37.7835747499999,128.022149861111","📍 네이버")</f>
        <v/>
      </c>
      <c r="H351" s="6">
        <f>HYPERLINK("https://map.kakao.com/link/map/삼각점어론444,37.7835747499999,128.022149861111","📍 카카오")</f>
        <v/>
      </c>
    </row>
    <row r="352">
      <c r="A352" s="5" t="inlineStr">
        <is>
          <t>#84</t>
        </is>
      </c>
      <c r="B352" s="5" t="inlineStr">
        <is>
          <t>삼각점</t>
        </is>
      </c>
      <c r="C352" s="5" t="inlineStr">
        <is>
          <t>어론442</t>
        </is>
      </c>
      <c r="D352" s="5" t="n">
        <v>4680</v>
      </c>
      <c r="E352" s="5" t="n">
        <v>37.7662727777777</v>
      </c>
      <c r="F352" s="5" t="n">
        <v>128.005316166667</v>
      </c>
      <c r="G352" s="6">
        <f>HYPERLINK("https://map.naver.com/v5/search/37.7662727777777,128.005316166667","📍 네이버")</f>
        <v/>
      </c>
      <c r="H352" s="6">
        <f>HYPERLINK("https://map.kakao.com/link/map/삼각점어론442,37.7662727777777,128.005316166667","📍 카카오")</f>
        <v/>
      </c>
    </row>
    <row r="353">
      <c r="A353" s="5" t="inlineStr">
        <is>
          <t>#84</t>
        </is>
      </c>
      <c r="B353" s="5" t="inlineStr">
        <is>
          <t>삼각점</t>
        </is>
      </c>
      <c r="C353" s="5" t="inlineStr">
        <is>
          <t>청일411</t>
        </is>
      </c>
      <c r="D353" s="5" t="n">
        <v>4924</v>
      </c>
      <c r="E353" s="5" t="n">
        <v>37.7438035833332</v>
      </c>
      <c r="F353" s="5" t="n">
        <v>128.110583527778</v>
      </c>
      <c r="G353" s="6">
        <f>HYPERLINK("https://map.naver.com/v5/search/37.7438035833332,128.110583527778","📍 네이버")</f>
        <v/>
      </c>
      <c r="H353" s="6">
        <f>HYPERLINK("https://map.kakao.com/link/map/삼각점청일411,37.7438035833332,128.110583527778","📍 카카오")</f>
        <v/>
      </c>
    </row>
    <row r="355" ht="18" customHeight="1">
      <c r="A355" s="16" t="inlineStr">
        <is>
          <t>▶ P1 #87  (35.771°N, 128.153°E) / 국가점수 57.7점 / 기준점 12개</t>
        </is>
      </c>
    </row>
    <row r="356">
      <c r="A356" s="5" t="inlineStr">
        <is>
          <t>#87</t>
        </is>
      </c>
      <c r="B356" s="5" t="inlineStr">
        <is>
          <t>삼각점</t>
        </is>
      </c>
      <c r="C356" s="5" t="inlineStr">
        <is>
          <t>가야316</t>
        </is>
      </c>
      <c r="D356" s="5" t="n">
        <v>990</v>
      </c>
      <c r="E356" s="5" t="n">
        <v>35.7742670555548</v>
      </c>
      <c r="F356" s="5" t="n">
        <v>128.163083666667</v>
      </c>
      <c r="G356" s="6">
        <f>HYPERLINK("https://map.naver.com/v5/search/35.7742670555548,128.163083666667","📍 네이버")</f>
        <v/>
      </c>
      <c r="H356" s="6">
        <f>HYPERLINK("https://map.kakao.com/link/map/삼각점가야316,35.7742670555548,128.163083666667","📍 카카오")</f>
        <v/>
      </c>
    </row>
    <row r="357">
      <c r="A357" s="5" t="inlineStr">
        <is>
          <t>#87</t>
        </is>
      </c>
      <c r="B357" s="5" t="inlineStr">
        <is>
          <t>삼각점</t>
        </is>
      </c>
      <c r="C357" s="5" t="inlineStr">
        <is>
          <t>가야459</t>
        </is>
      </c>
      <c r="D357" s="5" t="n">
        <v>1993</v>
      </c>
      <c r="E357" s="5" t="n">
        <v>35.7543334999992</v>
      </c>
      <c r="F357" s="5" t="n">
        <v>128.161091277778</v>
      </c>
      <c r="G357" s="6">
        <f>HYPERLINK("https://map.naver.com/v5/search/35.7543334999992,128.161091277778","📍 네이버")</f>
        <v/>
      </c>
      <c r="H357" s="6">
        <f>HYPERLINK("https://map.kakao.com/link/map/삼각점가야459,35.7543334999992,128.161091277778","📍 카카오")</f>
        <v/>
      </c>
    </row>
    <row r="358">
      <c r="A358" s="5" t="inlineStr">
        <is>
          <t>#87</t>
        </is>
      </c>
      <c r="B358" s="5" t="inlineStr">
        <is>
          <t>삼각점</t>
        </is>
      </c>
      <c r="C358" s="5" t="inlineStr">
        <is>
          <t>가야315</t>
        </is>
      </c>
      <c r="D358" s="5" t="n">
        <v>2159</v>
      </c>
      <c r="E358" s="5" t="n">
        <v>35.7842923055548</v>
      </c>
      <c r="F358" s="5" t="n">
        <v>128.135429722222</v>
      </c>
      <c r="G358" s="6">
        <f>HYPERLINK("https://map.naver.com/v5/search/35.7842923055548,128.135429722222","📍 네이버")</f>
        <v/>
      </c>
      <c r="H358" s="6">
        <f>HYPERLINK("https://map.kakao.com/link/map/삼각점가야315,35.7842923055548,128.135429722222","📍 카카오")</f>
        <v/>
      </c>
    </row>
    <row r="359">
      <c r="A359" s="5" t="inlineStr">
        <is>
          <t>#87</t>
        </is>
      </c>
      <c r="B359" s="5" t="inlineStr">
        <is>
          <t>삼각점</t>
        </is>
      </c>
      <c r="C359" s="5" t="inlineStr">
        <is>
          <t>가야462</t>
        </is>
      </c>
      <c r="D359" s="5" t="n">
        <v>2629</v>
      </c>
      <c r="E359" s="5" t="n">
        <v>35.7699701111104</v>
      </c>
      <c r="F359" s="5" t="n">
        <v>128.181948166667</v>
      </c>
      <c r="G359" s="6">
        <f>HYPERLINK("https://map.naver.com/v5/search/35.7699701111104,128.181948166667","📍 네이버")</f>
        <v/>
      </c>
      <c r="H359" s="6">
        <f>HYPERLINK("https://map.kakao.com/link/map/삼각점가야462,35.7699701111104,128.181948166667","📍 카카오")</f>
        <v/>
      </c>
    </row>
    <row r="360">
      <c r="A360" s="17" t="inlineStr">
        <is>
          <t>#87</t>
        </is>
      </c>
      <c r="B360" s="17" t="inlineStr">
        <is>
          <t>통합기준점</t>
        </is>
      </c>
      <c r="C360" s="17" t="inlineStr">
        <is>
          <t>U0800</t>
        </is>
      </c>
      <c r="D360" s="17" t="n">
        <v>3314</v>
      </c>
      <c r="E360" s="17" t="n">
        <v>35.7491955111104</v>
      </c>
      <c r="F360" s="17" t="n">
        <v>128.127845886111</v>
      </c>
      <c r="G360" s="18">
        <f>HYPERLINK("https://map.naver.com/v5/search/35.7491955111104,128.127845886111","📍 네이버")</f>
        <v/>
      </c>
      <c r="H360" s="18">
        <f>HYPERLINK("https://map.kakao.com/link/map/통합기준점U0800,35.7491955111104,128.127845886111","📍 카카오")</f>
        <v/>
      </c>
    </row>
    <row r="361">
      <c r="A361" s="5" t="inlineStr">
        <is>
          <t>#87</t>
        </is>
      </c>
      <c r="B361" s="5" t="inlineStr">
        <is>
          <t>삼각점</t>
        </is>
      </c>
      <c r="C361" s="5" t="inlineStr">
        <is>
          <t>가야463</t>
        </is>
      </c>
      <c r="D361" s="5" t="n">
        <v>3343</v>
      </c>
      <c r="E361" s="5" t="n">
        <v>35.7849858055548</v>
      </c>
      <c r="F361" s="5" t="n">
        <v>128.185655583333</v>
      </c>
      <c r="G361" s="6">
        <f>HYPERLINK("https://map.naver.com/v5/search/35.7849858055548,128.185655583333","📍 네이버")</f>
        <v/>
      </c>
      <c r="H361" s="6">
        <f>HYPERLINK("https://map.kakao.com/link/map/삼각점가야463,35.7849858055548,128.185655583333","📍 카카오")</f>
        <v/>
      </c>
    </row>
    <row r="362">
      <c r="A362" s="17" t="inlineStr">
        <is>
          <t>#87</t>
        </is>
      </c>
      <c r="B362" s="17" t="inlineStr">
        <is>
          <t>통합기준점</t>
        </is>
      </c>
      <c r="C362" s="17" t="inlineStr">
        <is>
          <t>U가야98</t>
        </is>
      </c>
      <c r="D362" s="17" t="n">
        <v>3425</v>
      </c>
      <c r="E362" s="17" t="n">
        <v>35.7734687638881</v>
      </c>
      <c r="F362" s="17" t="n">
        <v>128.190661713889</v>
      </c>
      <c r="G362" s="18">
        <f>HYPERLINK("https://map.naver.com/v5/search/35.7734687638881,128.190661713889","📍 네이버")</f>
        <v/>
      </c>
      <c r="H362" s="18">
        <f>HYPERLINK("https://map.kakao.com/link/map/통합기준점U가야98,35.7734687638881,128.190661713889","📍 카카오")</f>
        <v/>
      </c>
    </row>
    <row r="363">
      <c r="A363" s="5" t="inlineStr">
        <is>
          <t>#87</t>
        </is>
      </c>
      <c r="B363" s="5" t="inlineStr">
        <is>
          <t>삼각점</t>
        </is>
      </c>
      <c r="C363" s="5" t="inlineStr">
        <is>
          <t>가야456</t>
        </is>
      </c>
      <c r="D363" s="5" t="n">
        <v>3443</v>
      </c>
      <c r="E363" s="5" t="n">
        <v>35.7556389722215</v>
      </c>
      <c r="F363" s="5" t="n">
        <v>128.119795666667</v>
      </c>
      <c r="G363" s="6">
        <f>HYPERLINK("https://map.naver.com/v5/search/35.7556389722215,128.119795666667","📍 네이버")</f>
        <v/>
      </c>
      <c r="H363" s="6">
        <f>HYPERLINK("https://map.kakao.com/link/map/삼각점가야456,35.7556389722215,128.119795666667","📍 카카오")</f>
        <v/>
      </c>
    </row>
    <row r="364">
      <c r="A364" s="5" t="inlineStr">
        <is>
          <t>#87</t>
        </is>
      </c>
      <c r="B364" s="5" t="inlineStr">
        <is>
          <t>삼각점</t>
        </is>
      </c>
      <c r="C364" s="5" t="inlineStr">
        <is>
          <t>가야458</t>
        </is>
      </c>
      <c r="D364" s="5" t="n">
        <v>3566</v>
      </c>
      <c r="E364" s="5" t="n">
        <v>35.8030906944437</v>
      </c>
      <c r="F364" s="5" t="n">
        <v>128.155408472222</v>
      </c>
      <c r="G364" s="6">
        <f>HYPERLINK("https://map.naver.com/v5/search/35.8030906944437,128.155408472222","📍 네이버")</f>
        <v/>
      </c>
      <c r="H364" s="6">
        <f>HYPERLINK("https://map.kakao.com/link/map/삼각점가야458,35.8030906944437,128.155408472222","📍 카카오")</f>
        <v/>
      </c>
    </row>
    <row r="365">
      <c r="A365" s="5" t="inlineStr">
        <is>
          <t>#87</t>
        </is>
      </c>
      <c r="B365" s="5" t="inlineStr">
        <is>
          <t>삼각점</t>
        </is>
      </c>
      <c r="C365" s="5" t="inlineStr">
        <is>
          <t>합천413</t>
        </is>
      </c>
      <c r="D365" s="5" t="n">
        <v>4004</v>
      </c>
      <c r="E365" s="5" t="n">
        <v>35.7354556944437</v>
      </c>
      <c r="F365" s="5" t="n">
        <v>128.145234111111</v>
      </c>
      <c r="G365" s="6">
        <f>HYPERLINK("https://map.naver.com/v5/search/35.7354556944437,128.145234111111","📍 네이버")</f>
        <v/>
      </c>
      <c r="H365" s="6">
        <f>HYPERLINK("https://map.kakao.com/link/map/삼각점합천413,35.7354556944437,128.145234111111","📍 카카오")</f>
        <v/>
      </c>
    </row>
    <row r="366">
      <c r="A366" s="5" t="inlineStr">
        <is>
          <t>#87</t>
        </is>
      </c>
      <c r="B366" s="5" t="inlineStr">
        <is>
          <t>삼각점</t>
        </is>
      </c>
      <c r="C366" s="5" t="inlineStr">
        <is>
          <t>가야314</t>
        </is>
      </c>
      <c r="D366" s="5" t="n">
        <v>4652</v>
      </c>
      <c r="E366" s="5" t="n">
        <v>35.762622777777</v>
      </c>
      <c r="F366" s="5" t="n">
        <v>128.102469944444</v>
      </c>
      <c r="G366" s="6">
        <f>HYPERLINK("https://map.naver.com/v5/search/35.762622777777,128.102469944444","📍 네이버")</f>
        <v/>
      </c>
      <c r="H366" s="6">
        <f>HYPERLINK("https://map.kakao.com/link/map/삼각점가야314,35.762622777777,128.102469944444","📍 카카오")</f>
        <v/>
      </c>
    </row>
    <row r="367">
      <c r="A367" s="5" t="inlineStr">
        <is>
          <t>#87</t>
        </is>
      </c>
      <c r="B367" s="5" t="inlineStr">
        <is>
          <t>삼각점</t>
        </is>
      </c>
      <c r="C367" s="5" t="inlineStr">
        <is>
          <t>가야461</t>
        </is>
      </c>
      <c r="D367" s="5" t="n">
        <v>4893</v>
      </c>
      <c r="E367" s="5" t="n">
        <v>35.8109989166659</v>
      </c>
      <c r="F367" s="5" t="n">
        <v>128.1757495</v>
      </c>
      <c r="G367" s="6">
        <f>HYPERLINK("https://map.naver.com/v5/search/35.8109989166659,128.1757495","📍 네이버")</f>
        <v/>
      </c>
      <c r="H367" s="6">
        <f>HYPERLINK("https://map.kakao.com/link/map/삼각점가야461,35.8109989166659,128.1757495","📍 카카오")</f>
        <v/>
      </c>
    </row>
    <row r="369" ht="18" customHeight="1">
      <c r="A369" s="16" t="inlineStr">
        <is>
          <t>▶ P1 #88  (35.861°N, 128.154°E) / 국가점수 58.3점 / 기준점 11개</t>
        </is>
      </c>
    </row>
    <row r="370">
      <c r="A370" s="5" t="inlineStr">
        <is>
          <t>#88</t>
        </is>
      </c>
      <c r="B370" s="5" t="inlineStr">
        <is>
          <t>삼각점</t>
        </is>
      </c>
      <c r="C370" s="5" t="inlineStr">
        <is>
          <t>가야433</t>
        </is>
      </c>
      <c r="D370" s="5" t="n">
        <v>664</v>
      </c>
      <c r="E370" s="5" t="n">
        <v>35.8566125555548</v>
      </c>
      <c r="F370" s="5" t="n">
        <v>128.148845222222</v>
      </c>
      <c r="G370" s="6">
        <f>HYPERLINK("https://map.naver.com/v5/search/35.8566125555548,128.148845222222","📍 네이버")</f>
        <v/>
      </c>
      <c r="H370" s="6">
        <f>HYPERLINK("https://map.kakao.com/link/map/삼각점가야433,35.8566125555548,128.148845222222","📍 카카오")</f>
        <v/>
      </c>
    </row>
    <row r="371">
      <c r="A371" s="5" t="inlineStr">
        <is>
          <t>#88</t>
        </is>
      </c>
      <c r="B371" s="5" t="inlineStr">
        <is>
          <t>삼각점</t>
        </is>
      </c>
      <c r="C371" s="5" t="inlineStr">
        <is>
          <t>가야434</t>
        </is>
      </c>
      <c r="D371" s="5" t="n">
        <v>1840</v>
      </c>
      <c r="E371" s="5" t="n">
        <v>35.8770544444437</v>
      </c>
      <c r="F371" s="5" t="n">
        <v>128.147792722222</v>
      </c>
      <c r="G371" s="6">
        <f>HYPERLINK("https://map.naver.com/v5/search/35.8770544444437,128.147792722222","📍 네이버")</f>
        <v/>
      </c>
      <c r="H371" s="6">
        <f>HYPERLINK("https://map.kakao.com/link/map/삼각점가야434,35.8770544444437,128.147792722222","📍 카카오")</f>
        <v/>
      </c>
    </row>
    <row r="372">
      <c r="A372" s="5" t="inlineStr">
        <is>
          <t>#88</t>
        </is>
      </c>
      <c r="B372" s="5" t="inlineStr">
        <is>
          <t>삼각점</t>
        </is>
      </c>
      <c r="C372" s="5" t="inlineStr">
        <is>
          <t>가야306</t>
        </is>
      </c>
      <c r="D372" s="5" t="n">
        <v>2250</v>
      </c>
      <c r="E372" s="5" t="n">
        <v>35.8530650833326</v>
      </c>
      <c r="F372" s="5" t="n">
        <v>128.1764785</v>
      </c>
      <c r="G372" s="6">
        <f>HYPERLINK("https://map.naver.com/v5/search/35.8530650833326,128.1764785","📍 네이버")</f>
        <v/>
      </c>
      <c r="H372" s="6">
        <f>HYPERLINK("https://map.kakao.com/link/map/삼각점가야306,35.8530650833326,128.1764785","📍 카카오")</f>
        <v/>
      </c>
    </row>
    <row r="373">
      <c r="A373" s="5" t="inlineStr">
        <is>
          <t>#88</t>
        </is>
      </c>
      <c r="B373" s="5" t="inlineStr">
        <is>
          <t>삼각점</t>
        </is>
      </c>
      <c r="C373" s="5" t="inlineStr">
        <is>
          <t>가야436</t>
        </is>
      </c>
      <c r="D373" s="5" t="n">
        <v>2707</v>
      </c>
      <c r="E373" s="5" t="n">
        <v>35.8404719166659</v>
      </c>
      <c r="F373" s="5" t="n">
        <v>128.137732194444</v>
      </c>
      <c r="G373" s="6">
        <f>HYPERLINK("https://map.naver.com/v5/search/35.8404719166659,128.137732194444","📍 네이버")</f>
        <v/>
      </c>
      <c r="H373" s="6">
        <f>HYPERLINK("https://map.kakao.com/link/map/삼각점가야436,35.8404719166659,128.137732194444","📍 카카오")</f>
        <v/>
      </c>
    </row>
    <row r="374">
      <c r="A374" s="5" t="inlineStr">
        <is>
          <t>#88</t>
        </is>
      </c>
      <c r="B374" s="5" t="inlineStr">
        <is>
          <t>삼각점</t>
        </is>
      </c>
      <c r="C374" s="5" t="inlineStr">
        <is>
          <t>가야308</t>
        </is>
      </c>
      <c r="D374" s="5" t="n">
        <v>2918</v>
      </c>
      <c r="E374" s="5" t="n">
        <v>35.8579718055548</v>
      </c>
      <c r="F374" s="5" t="n">
        <v>128.121550416667</v>
      </c>
      <c r="G374" s="6">
        <f>HYPERLINK("https://map.naver.com/v5/search/35.8579718055548,128.121550416667","📍 네이버")</f>
        <v/>
      </c>
      <c r="H374" s="6">
        <f>HYPERLINK("https://map.kakao.com/link/map/삼각점가야308,35.8579718055548,128.121550416667","📍 카카오")</f>
        <v/>
      </c>
    </row>
    <row r="375">
      <c r="A375" s="17" t="inlineStr">
        <is>
          <t>#88</t>
        </is>
      </c>
      <c r="B375" s="17" t="inlineStr">
        <is>
          <t>통합기준점</t>
        </is>
      </c>
      <c r="C375" s="17" t="inlineStr">
        <is>
          <t>U0718</t>
        </is>
      </c>
      <c r="D375" s="17" t="n">
        <v>2986</v>
      </c>
      <c r="E375" s="17" t="n">
        <v>35.8853351611104</v>
      </c>
      <c r="F375" s="17" t="n">
        <v>128.168193936111</v>
      </c>
      <c r="G375" s="18">
        <f>HYPERLINK("https://map.naver.com/v5/search/35.8853351611104,128.168193936111","📍 네이버")</f>
        <v/>
      </c>
      <c r="H375" s="18">
        <f>HYPERLINK("https://map.kakao.com/link/map/통합기준점U0718,35.8853351611104,128.168193936111","📍 카카오")</f>
        <v/>
      </c>
    </row>
    <row r="376">
      <c r="A376" s="5" t="inlineStr">
        <is>
          <t>#88</t>
        </is>
      </c>
      <c r="B376" s="5" t="inlineStr">
        <is>
          <t>삼각점</t>
        </is>
      </c>
      <c r="C376" s="5" t="inlineStr">
        <is>
          <t>가야432</t>
        </is>
      </c>
      <c r="D376" s="5" t="n">
        <v>3145</v>
      </c>
      <c r="E376" s="5" t="n">
        <v>35.8839214444437</v>
      </c>
      <c r="F376" s="5" t="n">
        <v>128.174399138889</v>
      </c>
      <c r="G376" s="6">
        <f>HYPERLINK("https://map.naver.com/v5/search/35.8839214444437,128.174399138889","📍 네이버")</f>
        <v/>
      </c>
      <c r="H376" s="6">
        <f>HYPERLINK("https://map.kakao.com/link/map/삼각점가야432,35.8839214444437,128.174399138889","📍 카카오")</f>
        <v/>
      </c>
    </row>
    <row r="377">
      <c r="A377" s="5" t="inlineStr">
        <is>
          <t>#88</t>
        </is>
      </c>
      <c r="B377" s="5" t="inlineStr">
        <is>
          <t>삼각점</t>
        </is>
      </c>
      <c r="C377" s="5" t="inlineStr">
        <is>
          <t>가야460</t>
        </is>
      </c>
      <c r="D377" s="5" t="n">
        <v>3674</v>
      </c>
      <c r="E377" s="5" t="n">
        <v>35.8339286666659</v>
      </c>
      <c r="F377" s="5" t="n">
        <v>128.1767895</v>
      </c>
      <c r="G377" s="6">
        <f>HYPERLINK("https://map.naver.com/v5/search/35.8339286666659,128.1767895","📍 네이버")</f>
        <v/>
      </c>
      <c r="H377" s="6">
        <f>HYPERLINK("https://map.kakao.com/link/map/삼각점가야460,35.8339286666659,128.1767895","📍 카카오")</f>
        <v/>
      </c>
    </row>
    <row r="378">
      <c r="A378" s="5" t="inlineStr">
        <is>
          <t>#88</t>
        </is>
      </c>
      <c r="B378" s="5" t="inlineStr">
        <is>
          <t>삼각점</t>
        </is>
      </c>
      <c r="C378" s="5" t="inlineStr">
        <is>
          <t>가야437</t>
        </is>
      </c>
      <c r="D378" s="5" t="n">
        <v>3882</v>
      </c>
      <c r="E378" s="5" t="n">
        <v>35.8782703888882</v>
      </c>
      <c r="F378" s="5" t="n">
        <v>128.116117861111</v>
      </c>
      <c r="G378" s="6">
        <f>HYPERLINK("https://map.naver.com/v5/search/35.8782703888882,128.116117861111","📍 네이버")</f>
        <v/>
      </c>
      <c r="H378" s="6">
        <f>HYPERLINK("https://map.kakao.com/link/map/삼각점가야437,35.8782703888882,128.116117861111","📍 카카오")</f>
        <v/>
      </c>
    </row>
    <row r="379">
      <c r="A379" s="5" t="inlineStr">
        <is>
          <t>#88</t>
        </is>
      </c>
      <c r="B379" s="5" t="inlineStr">
        <is>
          <t>삼각점</t>
        </is>
      </c>
      <c r="C379" s="5" t="inlineStr">
        <is>
          <t>가야435</t>
        </is>
      </c>
      <c r="D379" s="5" t="n">
        <v>4468</v>
      </c>
      <c r="E379" s="5" t="n">
        <v>35.8990773055548</v>
      </c>
      <c r="F379" s="5" t="n">
        <v>128.136923222222</v>
      </c>
      <c r="G379" s="6">
        <f>HYPERLINK("https://map.naver.com/v5/search/35.8990773055548,128.136923222222","📍 네이버")</f>
        <v/>
      </c>
      <c r="H379" s="6">
        <f>HYPERLINK("https://map.kakao.com/link/map/삼각점가야435,35.8990773055548,128.136923222222","📍 카카오")</f>
        <v/>
      </c>
    </row>
    <row r="380">
      <c r="A380" s="17" t="inlineStr">
        <is>
          <t>#88</t>
        </is>
      </c>
      <c r="B380" s="17" t="inlineStr">
        <is>
          <t>통합기준점</t>
        </is>
      </c>
      <c r="C380" s="17" t="inlineStr">
        <is>
          <t>U가야55</t>
        </is>
      </c>
      <c r="D380" s="17" t="n">
        <v>4595</v>
      </c>
      <c r="E380" s="17" t="n">
        <v>35.8582860611104</v>
      </c>
      <c r="F380" s="17" t="n">
        <v>128.102865677778</v>
      </c>
      <c r="G380" s="18">
        <f>HYPERLINK("https://map.naver.com/v5/search/35.8582860611104,128.102865677778","📍 네이버")</f>
        <v/>
      </c>
      <c r="H380" s="18">
        <f>HYPERLINK("https://map.kakao.com/link/map/통합기준점U가야55,35.8582860611104,128.102865677778","📍 카카오")</f>
        <v/>
      </c>
    </row>
    <row r="382" ht="18" customHeight="1">
      <c r="A382" s="16" t="inlineStr">
        <is>
          <t>▶ P1 #89  (36.853°N, 128.162°E) / 국가점수 58.6점 / 기준점 11개</t>
        </is>
      </c>
    </row>
    <row r="383">
      <c r="A383" s="17" t="inlineStr">
        <is>
          <t>#89</t>
        </is>
      </c>
      <c r="B383" s="17" t="inlineStr">
        <is>
          <t>통합기준점</t>
        </is>
      </c>
      <c r="C383" s="17" t="inlineStr">
        <is>
          <t>U덕산13</t>
        </is>
      </c>
      <c r="D383" s="17" t="n">
        <v>597</v>
      </c>
      <c r="E383" s="17" t="n">
        <v>36.8581517861107</v>
      </c>
      <c r="F383" s="17" t="n">
        <v>128.161396044444</v>
      </c>
      <c r="G383" s="18">
        <f>HYPERLINK("https://map.naver.com/v5/search/36.8581517861107,128.161396044444","📍 네이버")</f>
        <v/>
      </c>
      <c r="H383" s="18">
        <f>HYPERLINK("https://map.kakao.com/link/map/통합기준점U덕산13,36.8581517861107,128.161396044444","📍 카카오")</f>
        <v/>
      </c>
    </row>
    <row r="384">
      <c r="A384" s="5" t="inlineStr">
        <is>
          <t>#89</t>
        </is>
      </c>
      <c r="B384" s="5" t="inlineStr">
        <is>
          <t>삼각점</t>
        </is>
      </c>
      <c r="C384" s="5" t="inlineStr">
        <is>
          <t>덕산433</t>
        </is>
      </c>
      <c r="D384" s="5" t="n">
        <v>1983</v>
      </c>
      <c r="E384" s="5" t="n">
        <v>36.8644034166662</v>
      </c>
      <c r="F384" s="5" t="n">
        <v>128.145062861111</v>
      </c>
      <c r="G384" s="6">
        <f>HYPERLINK("https://map.naver.com/v5/search/36.8644034166662,128.145062861111","📍 네이버")</f>
        <v/>
      </c>
      <c r="H384" s="6">
        <f>HYPERLINK("https://map.kakao.com/link/map/삼각점덕산433,36.8644034166662,128.145062861111","📍 카카오")</f>
        <v/>
      </c>
    </row>
    <row r="385">
      <c r="A385" s="5" t="inlineStr">
        <is>
          <t>#89</t>
        </is>
      </c>
      <c r="B385" s="5" t="inlineStr">
        <is>
          <t>삼각점</t>
        </is>
      </c>
      <c r="C385" s="5" t="inlineStr">
        <is>
          <t>덕산430</t>
        </is>
      </c>
      <c r="D385" s="5" t="n">
        <v>2028</v>
      </c>
      <c r="E385" s="5" t="n">
        <v>36.8445530833329</v>
      </c>
      <c r="F385" s="5" t="n">
        <v>128.18229075</v>
      </c>
      <c r="G385" s="6">
        <f>HYPERLINK("https://map.naver.com/v5/search/36.8445530833329,128.18229075","📍 네이버")</f>
        <v/>
      </c>
      <c r="H385" s="6">
        <f>HYPERLINK("https://map.kakao.com/link/map/삼각점덕산430,36.8445530833329,128.18229075","📍 카카오")</f>
        <v/>
      </c>
    </row>
    <row r="386">
      <c r="A386" s="5" t="inlineStr">
        <is>
          <t>#89</t>
        </is>
      </c>
      <c r="B386" s="5" t="inlineStr">
        <is>
          <t>삼각점</t>
        </is>
      </c>
      <c r="C386" s="5" t="inlineStr">
        <is>
          <t>덕산307</t>
        </is>
      </c>
      <c r="D386" s="5" t="n">
        <v>2697</v>
      </c>
      <c r="E386" s="5" t="n">
        <v>36.874406194444</v>
      </c>
      <c r="F386" s="5" t="n">
        <v>128.1758345</v>
      </c>
      <c r="G386" s="6">
        <f>HYPERLINK("https://map.naver.com/v5/search/36.874406194444,128.1758345","📍 네이버")</f>
        <v/>
      </c>
      <c r="H386" s="6">
        <f>HYPERLINK("https://map.kakao.com/link/map/삼각점덕산307,36.874406194444,128.1758345","📍 카카오")</f>
        <v/>
      </c>
    </row>
    <row r="387">
      <c r="A387" s="5" t="inlineStr">
        <is>
          <t>#89</t>
        </is>
      </c>
      <c r="B387" s="5" t="inlineStr">
        <is>
          <t>삼각점</t>
        </is>
      </c>
      <c r="C387" s="5" t="inlineStr">
        <is>
          <t>덕산313</t>
        </is>
      </c>
      <c r="D387" s="5" t="n">
        <v>2934</v>
      </c>
      <c r="E387" s="5" t="n">
        <v>36.8332273333329</v>
      </c>
      <c r="F387" s="5" t="n">
        <v>128.139840805556</v>
      </c>
      <c r="G387" s="6">
        <f>HYPERLINK("https://map.naver.com/v5/search/36.8332273333329,128.139840805556","📍 네이버")</f>
        <v/>
      </c>
      <c r="H387" s="6">
        <f>HYPERLINK("https://map.kakao.com/link/map/삼각점덕산313,36.8332273333329,128.139840805556","📍 카카오")</f>
        <v/>
      </c>
    </row>
    <row r="388">
      <c r="A388" s="5" t="inlineStr">
        <is>
          <t>#89</t>
        </is>
      </c>
      <c r="B388" s="5" t="inlineStr">
        <is>
          <t>삼각점</t>
        </is>
      </c>
      <c r="C388" s="5" t="inlineStr">
        <is>
          <t>덕산434</t>
        </is>
      </c>
      <c r="D388" s="5" t="n">
        <v>3187</v>
      </c>
      <c r="E388" s="5" t="n">
        <v>36.8529666111107</v>
      </c>
      <c r="F388" s="5" t="n">
        <v>128.126234833333</v>
      </c>
      <c r="G388" s="6">
        <f>HYPERLINK("https://map.naver.com/v5/search/36.8529666111107,128.126234833333","📍 네이버")</f>
        <v/>
      </c>
      <c r="H388" s="6">
        <f>HYPERLINK("https://map.kakao.com/link/map/삼각점덕산434,36.8529666111107,128.126234833333","📍 카카오")</f>
        <v/>
      </c>
    </row>
    <row r="389">
      <c r="A389" s="5" t="inlineStr">
        <is>
          <t>#89</t>
        </is>
      </c>
      <c r="B389" s="5" t="inlineStr">
        <is>
          <t>삼각점</t>
        </is>
      </c>
      <c r="C389" s="5" t="inlineStr">
        <is>
          <t>덕산428</t>
        </is>
      </c>
      <c r="D389" s="5" t="n">
        <v>3920</v>
      </c>
      <c r="E389" s="5" t="n">
        <v>36.8688491388885</v>
      </c>
      <c r="F389" s="5" t="n">
        <v>128.201145111111</v>
      </c>
      <c r="G389" s="6">
        <f>HYPERLINK("https://map.naver.com/v5/search/36.8688491388885,128.201145111111","📍 네이버")</f>
        <v/>
      </c>
      <c r="H389" s="6">
        <f>HYPERLINK("https://map.kakao.com/link/map/삼각점덕산428,36.8688491388885,128.201145111111","📍 카카오")</f>
        <v/>
      </c>
    </row>
    <row r="390">
      <c r="A390" s="5" t="inlineStr">
        <is>
          <t>#89</t>
        </is>
      </c>
      <c r="B390" s="5" t="inlineStr">
        <is>
          <t>삼각점</t>
        </is>
      </c>
      <c r="C390" s="5" t="inlineStr">
        <is>
          <t>덕산432</t>
        </is>
      </c>
      <c r="D390" s="5" t="n">
        <v>4357</v>
      </c>
      <c r="E390" s="5" t="n">
        <v>36.8915702222218</v>
      </c>
      <c r="F390" s="5" t="n">
        <v>128.154248444444</v>
      </c>
      <c r="G390" s="6">
        <f>HYPERLINK("https://map.naver.com/v5/search/36.8915702222218,128.154248444444","📍 네이버")</f>
        <v/>
      </c>
      <c r="H390" s="6">
        <f>HYPERLINK("https://map.kakao.com/link/map/삼각점덕산432,36.8915702222218,128.154248444444","📍 카카오")</f>
        <v/>
      </c>
    </row>
    <row r="391">
      <c r="A391" s="5" t="inlineStr">
        <is>
          <t>#89</t>
        </is>
      </c>
      <c r="B391" s="5" t="inlineStr">
        <is>
          <t>삼각점</t>
        </is>
      </c>
      <c r="C391" s="5" t="inlineStr">
        <is>
          <t>덕산455</t>
        </is>
      </c>
      <c r="D391" s="5" t="n">
        <v>4571</v>
      </c>
      <c r="E391" s="5" t="n">
        <v>36.8162283333329</v>
      </c>
      <c r="F391" s="5" t="n">
        <v>128.138350638889</v>
      </c>
      <c r="G391" s="6">
        <f>HYPERLINK("https://map.naver.com/v5/search/36.8162283333329,128.138350638889","📍 네이버")</f>
        <v/>
      </c>
      <c r="H391" s="6">
        <f>HYPERLINK("https://map.kakao.com/link/map/삼각점덕산455,36.8162283333329,128.138350638889","📍 카카오")</f>
        <v/>
      </c>
    </row>
    <row r="392">
      <c r="A392" s="5" t="inlineStr">
        <is>
          <t>#89</t>
        </is>
      </c>
      <c r="B392" s="5" t="inlineStr">
        <is>
          <t>삼각점</t>
        </is>
      </c>
      <c r="C392" s="5" t="inlineStr">
        <is>
          <t>덕산23</t>
        </is>
      </c>
      <c r="D392" s="5" t="n">
        <v>4618</v>
      </c>
      <c r="E392" s="5" t="n">
        <v>36.8501231111107</v>
      </c>
      <c r="F392" s="5" t="n">
        <v>128.213676722222</v>
      </c>
      <c r="G392" s="6">
        <f>HYPERLINK("https://map.naver.com/v5/search/36.8501231111107,128.213676722222","📍 네이버")</f>
        <v/>
      </c>
      <c r="H392" s="6">
        <f>HYPERLINK("https://map.kakao.com/link/map/삼각점덕산23,36.8501231111107,128.213676722222","📍 카카오")</f>
        <v/>
      </c>
    </row>
    <row r="393">
      <c r="A393" s="5" t="inlineStr">
        <is>
          <t>#89</t>
        </is>
      </c>
      <c r="B393" s="5" t="inlineStr">
        <is>
          <t>삼각점</t>
        </is>
      </c>
      <c r="C393" s="5" t="inlineStr">
        <is>
          <t>덕산315</t>
        </is>
      </c>
      <c r="D393" s="5" t="n">
        <v>4718</v>
      </c>
      <c r="E393" s="5" t="n">
        <v>36.8170660277773</v>
      </c>
      <c r="F393" s="5" t="n">
        <v>128.190681777778</v>
      </c>
      <c r="G393" s="6">
        <f>HYPERLINK("https://map.naver.com/v5/search/36.8170660277773,128.190681777778","📍 네이버")</f>
        <v/>
      </c>
      <c r="H393" s="6">
        <f>HYPERLINK("https://map.kakao.com/link/map/삼각점덕산315,36.8170660277773,128.190681777778","📍 카카오")</f>
        <v/>
      </c>
    </row>
    <row r="395" ht="18" customHeight="1">
      <c r="A395" s="16" t="inlineStr">
        <is>
          <t>▶ P1 #94  (37.664°N, 128.169°E) / 국가점수 57.7점 / 기준점 22개</t>
        </is>
      </c>
    </row>
    <row r="396">
      <c r="A396" s="5" t="inlineStr">
        <is>
          <t>#94</t>
        </is>
      </c>
      <c r="B396" s="5" t="inlineStr">
        <is>
          <t>삼각점</t>
        </is>
      </c>
      <c r="C396" s="5" t="inlineStr">
        <is>
          <t>청일433</t>
        </is>
      </c>
      <c r="D396" s="5" t="n">
        <v>351</v>
      </c>
      <c r="E396" s="5" t="n">
        <v>37.6656066944443</v>
      </c>
      <c r="F396" s="5" t="n">
        <v>128.165684388889</v>
      </c>
      <c r="G396" s="6">
        <f>HYPERLINK("https://map.naver.com/v5/search/37.6656066944443,128.165684388889","📍 네이버")</f>
        <v/>
      </c>
      <c r="H396" s="6">
        <f>HYPERLINK("https://map.kakao.com/link/map/삼각점청일433,37.6656066944443,128.165684388889","📍 카카오")</f>
        <v/>
      </c>
    </row>
    <row r="397">
      <c r="A397" s="5" t="inlineStr">
        <is>
          <t>#94</t>
        </is>
      </c>
      <c r="B397" s="5" t="inlineStr">
        <is>
          <t>삼각점</t>
        </is>
      </c>
      <c r="C397" s="5" t="inlineStr">
        <is>
          <t>청일432</t>
        </is>
      </c>
      <c r="D397" s="5" t="n">
        <v>1148</v>
      </c>
      <c r="E397" s="5" t="n">
        <v>37.6559883055554</v>
      </c>
      <c r="F397" s="5" t="n">
        <v>128.177339666667</v>
      </c>
      <c r="G397" s="6">
        <f>HYPERLINK("https://map.naver.com/v5/search/37.6559883055554,128.177339666667","📍 네이버")</f>
        <v/>
      </c>
      <c r="H397" s="6">
        <f>HYPERLINK("https://map.kakao.com/link/map/삼각점청일432,37.6559883055554,128.177339666667","📍 카카오")</f>
        <v/>
      </c>
    </row>
    <row r="398">
      <c r="A398" s="17" t="inlineStr">
        <is>
          <t>#94</t>
        </is>
      </c>
      <c r="B398" s="17" t="inlineStr">
        <is>
          <t>통합기준점</t>
        </is>
      </c>
      <c r="C398" s="17" t="inlineStr">
        <is>
          <t>U청일37</t>
        </is>
      </c>
      <c r="D398" s="17" t="n">
        <v>1490</v>
      </c>
      <c r="E398" s="17" t="n">
        <v>37.6766381083332</v>
      </c>
      <c r="F398" s="17" t="n">
        <v>128.174814608333</v>
      </c>
      <c r="G398" s="18">
        <f>HYPERLINK("https://map.naver.com/v5/search/37.6766381083332,128.174814608333","📍 네이버")</f>
        <v/>
      </c>
      <c r="H398" s="18">
        <f>HYPERLINK("https://map.kakao.com/link/map/통합기준점U청일37,37.6766381083332,128.174814608333","📍 카카오")</f>
        <v/>
      </c>
    </row>
    <row r="399">
      <c r="A399" s="17" t="inlineStr">
        <is>
          <t>#94</t>
        </is>
      </c>
      <c r="B399" s="17" t="inlineStr">
        <is>
          <t>통합기준점</t>
        </is>
      </c>
      <c r="C399" s="17" t="inlineStr">
        <is>
          <t>U청일17</t>
        </is>
      </c>
      <c r="D399" s="17" t="n">
        <v>1707</v>
      </c>
      <c r="E399" s="17" t="n">
        <v>37.6500641555554</v>
      </c>
      <c r="F399" s="17" t="n">
        <v>128.160922997222</v>
      </c>
      <c r="G399" s="18">
        <f>HYPERLINK("https://map.naver.com/v5/search/37.6500641555554,128.160922997222","📍 네이버")</f>
        <v/>
      </c>
      <c r="H399" s="18">
        <f>HYPERLINK("https://map.kakao.com/link/map/통합기준점U청일17,37.6500641555554,128.160922997222","📍 카카오")</f>
        <v/>
      </c>
    </row>
    <row r="400">
      <c r="A400" s="5" t="inlineStr">
        <is>
          <t>#94</t>
        </is>
      </c>
      <c r="B400" s="5" t="inlineStr">
        <is>
          <t>삼각점</t>
        </is>
      </c>
      <c r="C400" s="5" t="inlineStr">
        <is>
          <t>청일419</t>
        </is>
      </c>
      <c r="D400" s="5" t="n">
        <v>2390</v>
      </c>
      <c r="E400" s="5" t="n">
        <v>37.6716173333332</v>
      </c>
      <c r="F400" s="5" t="n">
        <v>128.1944575</v>
      </c>
      <c r="G400" s="6">
        <f>HYPERLINK("https://map.naver.com/v5/search/37.6716173333332,128.1944575","📍 네이버")</f>
        <v/>
      </c>
      <c r="H400" s="6">
        <f>HYPERLINK("https://map.kakao.com/link/map/삼각점청일419,37.6716173333332,128.1944575","📍 카카오")</f>
        <v/>
      </c>
    </row>
    <row r="401">
      <c r="A401" s="5" t="inlineStr">
        <is>
          <t>#94</t>
        </is>
      </c>
      <c r="B401" s="5" t="inlineStr">
        <is>
          <t>삼각점</t>
        </is>
      </c>
      <c r="C401" s="5" t="inlineStr">
        <is>
          <t>청일416</t>
        </is>
      </c>
      <c r="D401" s="5" t="n">
        <v>2399</v>
      </c>
      <c r="E401" s="5" t="n">
        <v>37.6853669722221</v>
      </c>
      <c r="F401" s="5" t="n">
        <v>128.173297555556</v>
      </c>
      <c r="G401" s="6">
        <f>HYPERLINK("https://map.naver.com/v5/search/37.6853669722221,128.173297555556","📍 네이버")</f>
        <v/>
      </c>
      <c r="H401" s="6">
        <f>HYPERLINK("https://map.kakao.com/link/map/삼각점청일416,37.6853669722221,128.173297555556","📍 카카오")</f>
        <v/>
      </c>
    </row>
    <row r="402">
      <c r="A402" s="17" t="inlineStr">
        <is>
          <t>#94</t>
        </is>
      </c>
      <c r="B402" s="17" t="inlineStr">
        <is>
          <t>통합기준점</t>
        </is>
      </c>
      <c r="C402" s="17" t="inlineStr">
        <is>
          <t>U청일41</t>
        </is>
      </c>
      <c r="D402" s="17" t="n">
        <v>2862</v>
      </c>
      <c r="E402" s="17" t="n">
        <v>37.6485421888888</v>
      </c>
      <c r="F402" s="17" t="n">
        <v>128.143140977778</v>
      </c>
      <c r="G402" s="18">
        <f>HYPERLINK("https://map.naver.com/v5/search/37.6485421888888,128.143140977778","📍 네이버")</f>
        <v/>
      </c>
      <c r="H402" s="18">
        <f>HYPERLINK("https://map.kakao.com/link/map/통합기준점U청일41,37.6485421888888,128.143140977778","📍 카카오")</f>
        <v/>
      </c>
    </row>
    <row r="403">
      <c r="A403" s="17" t="inlineStr">
        <is>
          <t>#94</t>
        </is>
      </c>
      <c r="B403" s="17" t="inlineStr">
        <is>
          <t>통합기준점</t>
        </is>
      </c>
      <c r="C403" s="17" t="inlineStr">
        <is>
          <t>U청일35</t>
        </is>
      </c>
      <c r="D403" s="17" t="n">
        <v>3149</v>
      </c>
      <c r="E403" s="17" t="n">
        <v>37.6886211138888</v>
      </c>
      <c r="F403" s="17" t="n">
        <v>128.151344297222</v>
      </c>
      <c r="G403" s="18">
        <f>HYPERLINK("https://map.naver.com/v5/search/37.6886211138888,128.151344297222","📍 네이버")</f>
        <v/>
      </c>
      <c r="H403" s="18">
        <f>HYPERLINK("https://map.kakao.com/link/map/통합기준점U청일35,37.6886211138888,128.151344297222","📍 카카오")</f>
        <v/>
      </c>
    </row>
    <row r="404">
      <c r="A404" s="5" t="inlineStr">
        <is>
          <t>#94</t>
        </is>
      </c>
      <c r="B404" s="5" t="inlineStr">
        <is>
          <t>삼각점</t>
        </is>
      </c>
      <c r="C404" s="5" t="inlineStr">
        <is>
          <t>청일305</t>
        </is>
      </c>
      <c r="D404" s="5" t="n">
        <v>3234</v>
      </c>
      <c r="E404" s="5" t="n">
        <v>37.6792164999999</v>
      </c>
      <c r="F404" s="5" t="n">
        <v>128.137838777778</v>
      </c>
      <c r="G404" s="6">
        <f>HYPERLINK("https://map.naver.com/v5/search/37.6792164999999,128.137838777778","📍 네이버")</f>
        <v/>
      </c>
      <c r="H404" s="6">
        <f>HYPERLINK("https://map.kakao.com/link/map/삼각점청일305,37.6792164999999,128.137838777778","📍 카카오")</f>
        <v/>
      </c>
    </row>
    <row r="405">
      <c r="A405" s="5" t="inlineStr">
        <is>
          <t>#94</t>
        </is>
      </c>
      <c r="B405" s="5" t="inlineStr">
        <is>
          <t>삼각점</t>
        </is>
      </c>
      <c r="C405" s="5" t="inlineStr">
        <is>
          <t>청일22</t>
        </is>
      </c>
      <c r="D405" s="5" t="n">
        <v>3286</v>
      </c>
      <c r="E405" s="5" t="n">
        <v>37.6502532222221</v>
      </c>
      <c r="F405" s="5" t="n">
        <v>128.202112472222</v>
      </c>
      <c r="G405" s="6">
        <f>HYPERLINK("https://map.naver.com/v5/search/37.6502532222221,128.202112472222","📍 네이버")</f>
        <v/>
      </c>
      <c r="H405" s="6">
        <f>HYPERLINK("https://map.kakao.com/link/map/삼각점청일22,37.6502532222221,128.202112472222","📍 카카오")</f>
        <v/>
      </c>
    </row>
    <row r="406">
      <c r="A406" s="5" t="inlineStr">
        <is>
          <t>#94</t>
        </is>
      </c>
      <c r="B406" s="5" t="inlineStr">
        <is>
          <t>삼각점</t>
        </is>
      </c>
      <c r="C406" s="5" t="inlineStr">
        <is>
          <t>청일437</t>
        </is>
      </c>
      <c r="D406" s="5" t="n">
        <v>3408</v>
      </c>
      <c r="E406" s="5" t="n">
        <v>37.6455855555554</v>
      </c>
      <c r="F406" s="5" t="n">
        <v>128.138184055556</v>
      </c>
      <c r="G406" s="6">
        <f>HYPERLINK("https://map.naver.com/v5/search/37.6455855555554,128.138184055556","📍 네이버")</f>
        <v/>
      </c>
      <c r="H406" s="6">
        <f>HYPERLINK("https://map.kakao.com/link/map/삼각점청일437,37.6455855555554,128.138184055556","📍 카카오")</f>
        <v/>
      </c>
    </row>
    <row r="407">
      <c r="A407" s="5" t="inlineStr">
        <is>
          <t>#94</t>
        </is>
      </c>
      <c r="B407" s="5" t="inlineStr">
        <is>
          <t>삼각점</t>
        </is>
      </c>
      <c r="C407" s="5" t="inlineStr">
        <is>
          <t>청일435</t>
        </is>
      </c>
      <c r="D407" s="5" t="n">
        <v>3730</v>
      </c>
      <c r="E407" s="5" t="n">
        <v>37.6373122499999</v>
      </c>
      <c r="F407" s="5" t="n">
        <v>128.143402583333</v>
      </c>
      <c r="G407" s="6">
        <f>HYPERLINK("https://map.naver.com/v5/search/37.6373122499999,128.143402583333","📍 네이버")</f>
        <v/>
      </c>
      <c r="H407" s="6">
        <f>HYPERLINK("https://map.kakao.com/link/map/삼각점청일435,37.6373122499999,128.143402583333","📍 카카오")</f>
        <v/>
      </c>
    </row>
    <row r="408">
      <c r="A408" s="17" t="inlineStr">
        <is>
          <t>#94</t>
        </is>
      </c>
      <c r="B408" s="17" t="inlineStr">
        <is>
          <t>통합기준점</t>
        </is>
      </c>
      <c r="C408" s="17" t="inlineStr">
        <is>
          <t>U청일38</t>
        </is>
      </c>
      <c r="D408" s="17" t="n">
        <v>3795</v>
      </c>
      <c r="E408" s="17" t="n">
        <v>37.6781912805554</v>
      </c>
      <c r="F408" s="17" t="n">
        <v>128.208259225</v>
      </c>
      <c r="G408" s="18">
        <f>HYPERLINK("https://map.naver.com/v5/search/37.6781912805554,128.208259225","📍 네이버")</f>
        <v/>
      </c>
      <c r="H408" s="18">
        <f>HYPERLINK("https://map.kakao.com/link/map/통합기준점U청일38,37.6781912805554,128.208259225","📍 카카오")</f>
        <v/>
      </c>
    </row>
    <row r="409">
      <c r="A409" s="17" t="inlineStr">
        <is>
          <t>#94</t>
        </is>
      </c>
      <c r="B409" s="17" t="inlineStr">
        <is>
          <t>통합기준점</t>
        </is>
      </c>
      <c r="C409" s="17" t="inlineStr">
        <is>
          <t>U청일09</t>
        </is>
      </c>
      <c r="D409" s="17" t="n">
        <v>3859</v>
      </c>
      <c r="E409" s="17" t="n">
        <v>37.6942523083332</v>
      </c>
      <c r="F409" s="17" t="n">
        <v>128.190713258333</v>
      </c>
      <c r="G409" s="18">
        <f>HYPERLINK("https://map.naver.com/v5/search/37.6942523083332,128.190713258333","📍 네이버")</f>
        <v/>
      </c>
      <c r="H409" s="18">
        <f>HYPERLINK("https://map.kakao.com/link/map/통합기준점U청일09,37.6942523083332,128.190713258333","📍 카카오")</f>
        <v/>
      </c>
    </row>
    <row r="410">
      <c r="A410" s="5" t="inlineStr">
        <is>
          <t>#94</t>
        </is>
      </c>
      <c r="B410" s="5" t="inlineStr">
        <is>
          <t>삼각점</t>
        </is>
      </c>
      <c r="C410" s="5" t="inlineStr">
        <is>
          <t>청일417</t>
        </is>
      </c>
      <c r="D410" s="5" t="n">
        <v>3867</v>
      </c>
      <c r="E410" s="5" t="n">
        <v>37.6961764444443</v>
      </c>
      <c r="F410" s="5" t="n">
        <v>128.185966138889</v>
      </c>
      <c r="G410" s="6">
        <f>HYPERLINK("https://map.naver.com/v5/search/37.6961764444443,128.185966138889","📍 네이버")</f>
        <v/>
      </c>
      <c r="H410" s="6">
        <f>HYPERLINK("https://map.kakao.com/link/map/삼각점청일417,37.6961764444443,128.185966138889","📍 카카오")</f>
        <v/>
      </c>
    </row>
    <row r="411">
      <c r="A411" s="5" t="inlineStr">
        <is>
          <t>#94</t>
        </is>
      </c>
      <c r="B411" s="5" t="inlineStr">
        <is>
          <t>삼각점</t>
        </is>
      </c>
      <c r="C411" s="5" t="inlineStr">
        <is>
          <t>청일434</t>
        </is>
      </c>
      <c r="D411" s="5" t="n">
        <v>4111</v>
      </c>
      <c r="E411" s="5" t="n">
        <v>37.6275294444443</v>
      </c>
      <c r="F411" s="5" t="n">
        <v>128.160911472222</v>
      </c>
      <c r="G411" s="6">
        <f>HYPERLINK("https://map.naver.com/v5/search/37.6275294444443,128.160911472222","📍 네이버")</f>
        <v/>
      </c>
      <c r="H411" s="6">
        <f>HYPERLINK("https://map.kakao.com/link/map/삼각점청일434,37.6275294444443,128.160911472222","📍 카카오")</f>
        <v/>
      </c>
    </row>
    <row r="412">
      <c r="A412" s="5" t="inlineStr">
        <is>
          <t>#94</t>
        </is>
      </c>
      <c r="B412" s="5" t="inlineStr">
        <is>
          <t>삼각점</t>
        </is>
      </c>
      <c r="C412" s="5" t="inlineStr">
        <is>
          <t>청일430</t>
        </is>
      </c>
      <c r="D412" s="5" t="n">
        <v>4192</v>
      </c>
      <c r="E412" s="5" t="n">
        <v>37.6289660277776</v>
      </c>
      <c r="F412" s="5" t="n">
        <v>128.186914388889</v>
      </c>
      <c r="G412" s="6">
        <f>HYPERLINK("https://map.naver.com/v5/search/37.6289660277776,128.186914388889","📍 네이버")</f>
        <v/>
      </c>
      <c r="H412" s="6">
        <f>HYPERLINK("https://map.kakao.com/link/map/삼각점청일430,37.6289660277776,128.186914388889","📍 카카오")</f>
        <v/>
      </c>
    </row>
    <row r="413">
      <c r="A413" s="17" t="inlineStr">
        <is>
          <t>#94</t>
        </is>
      </c>
      <c r="B413" s="17" t="inlineStr">
        <is>
          <t>통합기준점</t>
        </is>
      </c>
      <c r="C413" s="17" t="inlineStr">
        <is>
          <t>U청일43</t>
        </is>
      </c>
      <c r="D413" s="17" t="n">
        <v>4479</v>
      </c>
      <c r="E413" s="17" t="n">
        <v>37.6237506888887</v>
      </c>
      <c r="F413" s="17" t="n">
        <v>128.172962927778</v>
      </c>
      <c r="G413" s="18">
        <f>HYPERLINK("https://map.naver.com/v5/search/37.6237506888887,128.172962927778","📍 네이버")</f>
        <v/>
      </c>
      <c r="H413" s="18">
        <f>HYPERLINK("https://map.kakao.com/link/map/통합기준점U청일43,37.6237506888887,128.172962927778","📍 카카오")</f>
        <v/>
      </c>
    </row>
    <row r="414">
      <c r="A414" s="17" t="inlineStr">
        <is>
          <t>#94</t>
        </is>
      </c>
      <c r="B414" s="17" t="inlineStr">
        <is>
          <t>통합기준점</t>
        </is>
      </c>
      <c r="C414" s="17" t="inlineStr">
        <is>
          <t>U청일16</t>
        </is>
      </c>
      <c r="D414" s="17" t="n">
        <v>4573</v>
      </c>
      <c r="E414" s="17" t="n">
        <v>37.6321929416665</v>
      </c>
      <c r="F414" s="17" t="n">
        <v>128.136151330556</v>
      </c>
      <c r="G414" s="18">
        <f>HYPERLINK("https://map.naver.com/v5/search/37.6321929416665,128.136151330556","📍 네이버")</f>
        <v/>
      </c>
      <c r="H414" s="18">
        <f>HYPERLINK("https://map.kakao.com/link/map/통합기준점U청일16,37.6321929416665,128.136151330556","📍 카카오")</f>
        <v/>
      </c>
    </row>
    <row r="415">
      <c r="A415" s="5" t="inlineStr">
        <is>
          <t>#94</t>
        </is>
      </c>
      <c r="B415" s="5" t="inlineStr">
        <is>
          <t>삼각점</t>
        </is>
      </c>
      <c r="C415" s="5" t="inlineStr">
        <is>
          <t>청일421</t>
        </is>
      </c>
      <c r="D415" s="5" t="n">
        <v>4600</v>
      </c>
      <c r="E415" s="5" t="n">
        <v>37.6903880833332</v>
      </c>
      <c r="F415" s="5" t="n">
        <v>128.209350055556</v>
      </c>
      <c r="G415" s="6">
        <f>HYPERLINK("https://map.naver.com/v5/search/37.6903880833332,128.209350055556","📍 네이버")</f>
        <v/>
      </c>
      <c r="H415" s="6">
        <f>HYPERLINK("https://map.kakao.com/link/map/삼각점청일421,37.6903880833332,128.209350055556","📍 카카오")</f>
        <v/>
      </c>
    </row>
    <row r="416">
      <c r="A416" s="17" t="inlineStr">
        <is>
          <t>#94</t>
        </is>
      </c>
      <c r="B416" s="17" t="inlineStr">
        <is>
          <t>통합기준점</t>
        </is>
      </c>
      <c r="C416" s="17" t="inlineStr">
        <is>
          <t>U청일12</t>
        </is>
      </c>
      <c r="D416" s="17" t="n">
        <v>4695</v>
      </c>
      <c r="E416" s="17" t="n">
        <v>37.6545793055554</v>
      </c>
      <c r="F416" s="17" t="n">
        <v>128.220999116667</v>
      </c>
      <c r="G416" s="18">
        <f>HYPERLINK("https://map.naver.com/v5/search/37.6545793055554,128.220999116667","📍 네이버")</f>
        <v/>
      </c>
      <c r="H416" s="18">
        <f>HYPERLINK("https://map.kakao.com/link/map/통합기준점U청일12,37.6545793055554,128.220999116667","📍 카카오")</f>
        <v/>
      </c>
    </row>
    <row r="417">
      <c r="A417" s="5" t="inlineStr">
        <is>
          <t>#94</t>
        </is>
      </c>
      <c r="B417" s="5" t="inlineStr">
        <is>
          <t>삼각점</t>
        </is>
      </c>
      <c r="C417" s="5" t="inlineStr">
        <is>
          <t>청일11</t>
        </is>
      </c>
      <c r="D417" s="5" t="n">
        <v>4947</v>
      </c>
      <c r="E417" s="5" t="n">
        <v>37.6546720277777</v>
      </c>
      <c r="F417" s="5" t="n">
        <v>128.114271222222</v>
      </c>
      <c r="G417" s="6">
        <f>HYPERLINK("https://map.naver.com/v5/search/37.6546720277777,128.114271222222","📍 네이버")</f>
        <v/>
      </c>
      <c r="H417" s="6">
        <f>HYPERLINK("https://map.kakao.com/link/map/삼각점청일11,37.6546720277777,128.114271222222","📍 카카오")</f>
        <v/>
      </c>
    </row>
    <row r="419" ht="18" customHeight="1">
      <c r="A419" s="16" t="inlineStr">
        <is>
          <t>▶ P1 #98  (35.680°N, 128.263°E) / 국가점수 60.8점 / 기준점 19개</t>
        </is>
      </c>
    </row>
    <row r="420">
      <c r="A420" s="5" t="inlineStr">
        <is>
          <t>#98</t>
        </is>
      </c>
      <c r="B420" s="5" t="inlineStr">
        <is>
          <t>삼각점</t>
        </is>
      </c>
      <c r="C420" s="5" t="inlineStr">
        <is>
          <t>창녕403</t>
        </is>
      </c>
      <c r="D420" s="5" t="n">
        <v>1165</v>
      </c>
      <c r="E420" s="5" t="n">
        <v>35.6697011388881</v>
      </c>
      <c r="F420" s="5" t="n">
        <v>128.262901972222</v>
      </c>
      <c r="G420" s="6">
        <f>HYPERLINK("https://map.naver.com/v5/search/35.6697011388881,128.262901972222","📍 네이버")</f>
        <v/>
      </c>
      <c r="H420" s="6">
        <f>HYPERLINK("https://map.kakao.com/link/map/삼각점창녕403,35.6697011388881,128.262901972222","📍 카카오")</f>
        <v/>
      </c>
    </row>
    <row r="421">
      <c r="A421" s="5" t="inlineStr">
        <is>
          <t>#98</t>
        </is>
      </c>
      <c r="B421" s="5" t="inlineStr">
        <is>
          <t>삼각점</t>
        </is>
      </c>
      <c r="C421" s="5" t="inlineStr">
        <is>
          <t>창녕21</t>
        </is>
      </c>
      <c r="D421" s="5" t="n">
        <v>1513</v>
      </c>
      <c r="E421" s="5" t="n">
        <v>35.6901869722214</v>
      </c>
      <c r="F421" s="5" t="n">
        <v>128.274052027778</v>
      </c>
      <c r="G421" s="6">
        <f>HYPERLINK("https://map.naver.com/v5/search/35.6901869722214,128.274052027778","📍 네이버")</f>
        <v/>
      </c>
      <c r="H421" s="6">
        <f>HYPERLINK("https://map.kakao.com/link/map/삼각점창녕21,35.6901869722214,128.274052027778","📍 카카오")</f>
        <v/>
      </c>
    </row>
    <row r="422">
      <c r="A422" s="17" t="inlineStr">
        <is>
          <t>#98</t>
        </is>
      </c>
      <c r="B422" s="17" t="inlineStr">
        <is>
          <t>통합기준점</t>
        </is>
      </c>
      <c r="C422" s="17" t="inlineStr">
        <is>
          <t>U0803</t>
        </is>
      </c>
      <c r="D422" s="17" t="n">
        <v>1844</v>
      </c>
      <c r="E422" s="17" t="n">
        <v>35.6815309166659</v>
      </c>
      <c r="F422" s="17" t="n">
        <v>128.242345627778</v>
      </c>
      <c r="G422" s="18">
        <f>HYPERLINK("https://map.naver.com/v5/search/35.6815309166659,128.242345627778","📍 네이버")</f>
        <v/>
      </c>
      <c r="H422" s="18">
        <f>HYPERLINK("https://map.kakao.com/link/map/통합기준점U0803,35.6815309166659,128.242345627778","📍 카카오")</f>
        <v/>
      </c>
    </row>
    <row r="423">
      <c r="A423" s="17" t="inlineStr">
        <is>
          <t>#98</t>
        </is>
      </c>
      <c r="B423" s="17" t="inlineStr">
        <is>
          <t>통합기준점</t>
        </is>
      </c>
      <c r="C423" s="17" t="inlineStr">
        <is>
          <t>U창녕31</t>
        </is>
      </c>
      <c r="D423" s="17" t="n">
        <v>2173</v>
      </c>
      <c r="E423" s="17" t="n">
        <v>35.6619528444437</v>
      </c>
      <c r="F423" s="17" t="n">
        <v>128.253912516667</v>
      </c>
      <c r="G423" s="18">
        <f>HYPERLINK("https://map.naver.com/v5/search/35.6619528444437,128.253912516667","📍 네이버")</f>
        <v/>
      </c>
      <c r="H423" s="18">
        <f>HYPERLINK("https://map.kakao.com/link/map/통합기준점U창녕31,35.6619528444437,128.253912516667","📍 카카오")</f>
        <v/>
      </c>
    </row>
    <row r="424">
      <c r="A424" s="5" t="inlineStr">
        <is>
          <t>#98</t>
        </is>
      </c>
      <c r="B424" s="5" t="inlineStr">
        <is>
          <t>삼각점</t>
        </is>
      </c>
      <c r="C424" s="5" t="inlineStr">
        <is>
          <t>합천423</t>
        </is>
      </c>
      <c r="D424" s="5" t="n">
        <v>2225</v>
      </c>
      <c r="E424" s="5" t="n">
        <v>35.6911834999992</v>
      </c>
      <c r="F424" s="5" t="n">
        <v>128.242085861111</v>
      </c>
      <c r="G424" s="6">
        <f>HYPERLINK("https://map.naver.com/v5/search/35.6911834999992,128.242085861111","📍 네이버")</f>
        <v/>
      </c>
      <c r="H424" s="6">
        <f>HYPERLINK("https://map.kakao.com/link/map/삼각점합천423,35.6911834999992,128.242085861111","📍 카카오")</f>
        <v/>
      </c>
    </row>
    <row r="425">
      <c r="A425" s="5" t="inlineStr">
        <is>
          <t>#98</t>
        </is>
      </c>
      <c r="B425" s="5" t="inlineStr">
        <is>
          <t>삼각점</t>
        </is>
      </c>
      <c r="C425" s="5" t="inlineStr">
        <is>
          <t>창녕405</t>
        </is>
      </c>
      <c r="D425" s="5" t="n">
        <v>2421</v>
      </c>
      <c r="E425" s="5" t="n">
        <v>35.6731966666659</v>
      </c>
      <c r="F425" s="5" t="n">
        <v>128.287998527778</v>
      </c>
      <c r="G425" s="6">
        <f>HYPERLINK("https://map.naver.com/v5/search/35.6731966666659,128.287998527778","📍 네이버")</f>
        <v/>
      </c>
      <c r="H425" s="6">
        <f>HYPERLINK("https://map.kakao.com/link/map/삼각점창녕405,35.6731966666659,128.287998527778","📍 카카오")</f>
        <v/>
      </c>
    </row>
    <row r="426">
      <c r="A426" s="17" t="inlineStr">
        <is>
          <t>#98</t>
        </is>
      </c>
      <c r="B426" s="17" t="inlineStr">
        <is>
          <t>통합기준점</t>
        </is>
      </c>
      <c r="C426" s="17" t="inlineStr">
        <is>
          <t>U창녕11</t>
        </is>
      </c>
      <c r="D426" s="17" t="n">
        <v>2438</v>
      </c>
      <c r="E426" s="17" t="n">
        <v>35.7006782722214</v>
      </c>
      <c r="F426" s="17" t="n">
        <v>128.252863441667</v>
      </c>
      <c r="G426" s="18">
        <f>HYPERLINK("https://map.naver.com/v5/search/35.7006782722214,128.252863441667","📍 네이버")</f>
        <v/>
      </c>
      <c r="H426" s="18">
        <f>HYPERLINK("https://map.kakao.com/link/map/통합기준점U창녕11,35.7006782722214,128.252863441667","📍 카카오")</f>
        <v/>
      </c>
    </row>
    <row r="427">
      <c r="A427" s="5" t="inlineStr">
        <is>
          <t>#98</t>
        </is>
      </c>
      <c r="B427" s="5" t="inlineStr">
        <is>
          <t>삼각점</t>
        </is>
      </c>
      <c r="C427" s="5" t="inlineStr">
        <is>
          <t>합천306</t>
        </is>
      </c>
      <c r="D427" s="5" t="n">
        <v>3090</v>
      </c>
      <c r="E427" s="5" t="n">
        <v>35.6569363333325</v>
      </c>
      <c r="F427" s="5" t="n">
        <v>128.243869166667</v>
      </c>
      <c r="G427" s="6">
        <f>HYPERLINK("https://map.naver.com/v5/search/35.6569363333325,128.243869166667","📍 네이버")</f>
        <v/>
      </c>
      <c r="H427" s="6">
        <f>HYPERLINK("https://map.kakao.com/link/map/삼각점합천306,35.6569363333325,128.243869166667","📍 카카오")</f>
        <v/>
      </c>
    </row>
    <row r="428">
      <c r="A428" s="5" t="inlineStr">
        <is>
          <t>#98</t>
        </is>
      </c>
      <c r="B428" s="5" t="inlineStr">
        <is>
          <t>삼각점</t>
        </is>
      </c>
      <c r="C428" s="5" t="inlineStr">
        <is>
          <t>합천422</t>
        </is>
      </c>
      <c r="D428" s="5" t="n">
        <v>3320</v>
      </c>
      <c r="E428" s="5" t="n">
        <v>35.673166027777</v>
      </c>
      <c r="F428" s="5" t="n">
        <v>128.227003388889</v>
      </c>
      <c r="G428" s="6">
        <f>HYPERLINK("https://map.naver.com/v5/search/35.673166027777,128.227003388889","📍 네이버")</f>
        <v/>
      </c>
      <c r="H428" s="6">
        <f>HYPERLINK("https://map.kakao.com/link/map/삼각점합천422,35.673166027777,128.227003388889","📍 카카오")</f>
        <v/>
      </c>
    </row>
    <row r="429">
      <c r="A429" s="5" t="inlineStr">
        <is>
          <t>#98</t>
        </is>
      </c>
      <c r="B429" s="5" t="inlineStr">
        <is>
          <t>삼각점</t>
        </is>
      </c>
      <c r="C429" s="5" t="inlineStr">
        <is>
          <t>창녕401</t>
        </is>
      </c>
      <c r="D429" s="5" t="n">
        <v>3463</v>
      </c>
      <c r="E429" s="5" t="n">
        <v>35.7112265833326</v>
      </c>
      <c r="F429" s="5" t="n">
        <v>128.258360027778</v>
      </c>
      <c r="G429" s="6">
        <f>HYPERLINK("https://map.naver.com/v5/search/35.7112265833326,128.258360027778","📍 네이버")</f>
        <v/>
      </c>
      <c r="H429" s="6">
        <f>HYPERLINK("https://map.kakao.com/link/map/삼각점창녕401,35.7112265833326,128.258360027778","📍 카카오")</f>
        <v/>
      </c>
    </row>
    <row r="430">
      <c r="A430" s="5" t="inlineStr">
        <is>
          <t>#98</t>
        </is>
      </c>
      <c r="B430" s="5" t="inlineStr">
        <is>
          <t>삼각점</t>
        </is>
      </c>
      <c r="C430" s="5" t="inlineStr">
        <is>
          <t>창녕330</t>
        </is>
      </c>
      <c r="D430" s="5" t="n">
        <v>3522</v>
      </c>
      <c r="E430" s="5" t="n">
        <v>35.6508095833325</v>
      </c>
      <c r="F430" s="5" t="n">
        <v>128.277384083333</v>
      </c>
      <c r="G430" s="6">
        <f>HYPERLINK("https://map.naver.com/v5/search/35.6508095833325,128.277384083333","📍 네이버")</f>
        <v/>
      </c>
      <c r="H430" s="6">
        <f>HYPERLINK("https://map.kakao.com/link/map/삼각점창녕330,35.6508095833325,128.277384083333","📍 카카오")</f>
        <v/>
      </c>
    </row>
    <row r="431">
      <c r="A431" s="5" t="inlineStr">
        <is>
          <t>#98</t>
        </is>
      </c>
      <c r="B431" s="5" t="inlineStr">
        <is>
          <t>삼각점</t>
        </is>
      </c>
      <c r="C431" s="5" t="inlineStr">
        <is>
          <t>창녕404</t>
        </is>
      </c>
      <c r="D431" s="5" t="n">
        <v>3779</v>
      </c>
      <c r="E431" s="5" t="n">
        <v>35.7088492222214</v>
      </c>
      <c r="F431" s="5" t="n">
        <v>128.285261555556</v>
      </c>
      <c r="G431" s="6">
        <f>HYPERLINK("https://map.naver.com/v5/search/35.7088492222214,128.285261555556","📍 네이버")</f>
        <v/>
      </c>
      <c r="H431" s="6">
        <f>HYPERLINK("https://map.kakao.com/link/map/삼각점창녕404,35.7088492222214,128.285261555556","📍 카카오")</f>
        <v/>
      </c>
    </row>
    <row r="432">
      <c r="A432" s="5" t="inlineStr">
        <is>
          <t>#98</t>
        </is>
      </c>
      <c r="B432" s="5" t="inlineStr">
        <is>
          <t>삼각점</t>
        </is>
      </c>
      <c r="C432" s="5" t="inlineStr">
        <is>
          <t>창녕452</t>
        </is>
      </c>
      <c r="D432" s="5" t="n">
        <v>4039</v>
      </c>
      <c r="E432" s="5" t="n">
        <v>35.6564479999992</v>
      </c>
      <c r="F432" s="5" t="n">
        <v>128.296482611111</v>
      </c>
      <c r="G432" s="6">
        <f>HYPERLINK("https://map.naver.com/v5/search/35.6564479999992,128.296482611111","📍 네이버")</f>
        <v/>
      </c>
      <c r="H432" s="6">
        <f>HYPERLINK("https://map.kakao.com/link/map/삼각점창녕452,35.6564479999992,128.296482611111","📍 카카오")</f>
        <v/>
      </c>
    </row>
    <row r="433">
      <c r="A433" s="5" t="inlineStr">
        <is>
          <t>#98</t>
        </is>
      </c>
      <c r="B433" s="5" t="inlineStr">
        <is>
          <t>삼각점</t>
        </is>
      </c>
      <c r="C433" s="5" t="inlineStr">
        <is>
          <t>창녕406</t>
        </is>
      </c>
      <c r="D433" s="5" t="n">
        <v>4174</v>
      </c>
      <c r="E433" s="5" t="n">
        <v>35.6976731944437</v>
      </c>
      <c r="F433" s="5" t="n">
        <v>128.303511833333</v>
      </c>
      <c r="G433" s="6">
        <f>HYPERLINK("https://map.naver.com/v5/search/35.6976731944437,128.303511833333","📍 네이버")</f>
        <v/>
      </c>
      <c r="H433" s="6">
        <f>HYPERLINK("https://map.kakao.com/link/map/삼각점창녕406,35.6976731944437,128.303511833333","📍 카카오")</f>
        <v/>
      </c>
    </row>
    <row r="434">
      <c r="A434" s="5" t="inlineStr">
        <is>
          <t>#98</t>
        </is>
      </c>
      <c r="B434" s="5" t="inlineStr">
        <is>
          <t>삼각점</t>
        </is>
      </c>
      <c r="C434" s="5" t="inlineStr">
        <is>
          <t>창녕302</t>
        </is>
      </c>
      <c r="D434" s="5" t="n">
        <v>4620</v>
      </c>
      <c r="E434" s="5" t="n">
        <v>35.721662277777</v>
      </c>
      <c r="F434" s="5" t="n">
        <v>128.267573972222</v>
      </c>
      <c r="G434" s="6">
        <f>HYPERLINK("https://map.naver.com/v5/search/35.721662277777,128.267573972222","📍 네이버")</f>
        <v/>
      </c>
      <c r="H434" s="6">
        <f>HYPERLINK("https://map.kakao.com/link/map/삼각점창녕302,35.721662277777,128.267573972222","📍 카카오")</f>
        <v/>
      </c>
    </row>
    <row r="435">
      <c r="A435" s="5" t="inlineStr">
        <is>
          <t>#98</t>
        </is>
      </c>
      <c r="B435" s="5" t="inlineStr">
        <is>
          <t>삼각점</t>
        </is>
      </c>
      <c r="C435" s="5" t="inlineStr">
        <is>
          <t>합천425</t>
        </is>
      </c>
      <c r="D435" s="5" t="n">
        <v>4672</v>
      </c>
      <c r="E435" s="5" t="n">
        <v>35.6573533611103</v>
      </c>
      <c r="F435" s="5" t="n">
        <v>128.219291027778</v>
      </c>
      <c r="G435" s="6">
        <f>HYPERLINK("https://map.naver.com/v5/search/35.6573533611103,128.219291027778","📍 네이버")</f>
        <v/>
      </c>
      <c r="H435" s="6">
        <f>HYPERLINK("https://map.kakao.com/link/map/삼각점합천425,35.6573533611103,128.219291027778","📍 카카오")</f>
        <v/>
      </c>
    </row>
    <row r="436">
      <c r="A436" s="5" t="inlineStr">
        <is>
          <t>#98</t>
        </is>
      </c>
      <c r="B436" s="5" t="inlineStr">
        <is>
          <t>삼각점</t>
        </is>
      </c>
      <c r="C436" s="5" t="inlineStr">
        <is>
          <t>합천305</t>
        </is>
      </c>
      <c r="D436" s="5" t="n">
        <v>4729</v>
      </c>
      <c r="E436" s="5" t="n">
        <v>35.6950325555548</v>
      </c>
      <c r="F436" s="5" t="n">
        <v>128.213658944444</v>
      </c>
      <c r="G436" s="6">
        <f>HYPERLINK("https://map.naver.com/v5/search/35.6950325555548,128.213658944444","📍 네이버")</f>
        <v/>
      </c>
      <c r="H436" s="6">
        <f>HYPERLINK("https://map.kakao.com/link/map/삼각점합천305,35.6950325555548,128.213658944444","📍 카카오")</f>
        <v/>
      </c>
    </row>
    <row r="437">
      <c r="A437" s="5" t="inlineStr">
        <is>
          <t>#98</t>
        </is>
      </c>
      <c r="B437" s="5" t="inlineStr">
        <is>
          <t>삼각점</t>
        </is>
      </c>
      <c r="C437" s="5" t="inlineStr">
        <is>
          <t>창녕305</t>
        </is>
      </c>
      <c r="D437" s="5" t="n">
        <v>4765</v>
      </c>
      <c r="E437" s="5" t="n">
        <v>35.6740997222214</v>
      </c>
      <c r="F437" s="5" t="n">
        <v>128.314780361111</v>
      </c>
      <c r="G437" s="6">
        <f>HYPERLINK("https://map.naver.com/v5/search/35.6740997222214,128.314780361111","📍 네이버")</f>
        <v/>
      </c>
      <c r="H437" s="6">
        <f>HYPERLINK("https://map.kakao.com/link/map/삼각점창녕305,35.6740997222214,128.314780361111","📍 카카오")</f>
        <v/>
      </c>
    </row>
    <row r="438">
      <c r="A438" s="5" t="inlineStr">
        <is>
          <t>#98</t>
        </is>
      </c>
      <c r="B438" s="5" t="inlineStr">
        <is>
          <t>삼각점</t>
        </is>
      </c>
      <c r="C438" s="5" t="inlineStr">
        <is>
          <t>합천420</t>
        </is>
      </c>
      <c r="D438" s="5" t="n">
        <v>4985</v>
      </c>
      <c r="E438" s="5" t="n">
        <v>35.7121951388881</v>
      </c>
      <c r="F438" s="5" t="n">
        <v>128.223972083333</v>
      </c>
      <c r="G438" s="6">
        <f>HYPERLINK("https://map.naver.com/v5/search/35.7121951388881,128.223972083333","📍 네이버")</f>
        <v/>
      </c>
      <c r="H438" s="6">
        <f>HYPERLINK("https://map.kakao.com/link/map/삼각점합천420,35.7121951388881,128.223972083333","📍 카카오")</f>
        <v/>
      </c>
    </row>
    <row r="440" ht="18" customHeight="1">
      <c r="A440" s="16" t="inlineStr">
        <is>
          <t>▶ P1 #102  (37.753°N, 128.283°E) / 국가점수 58.8점 / 기준점 13개</t>
        </is>
      </c>
    </row>
    <row r="441">
      <c r="A441" s="5" t="inlineStr">
        <is>
          <t>#102</t>
        </is>
      </c>
      <c r="B441" s="5" t="inlineStr">
        <is>
          <t>삼각점</t>
        </is>
      </c>
      <c r="C441" s="5" t="inlineStr">
        <is>
          <t>봉평301</t>
        </is>
      </c>
      <c r="D441" s="5" t="n">
        <v>642</v>
      </c>
      <c r="E441" s="5" t="n">
        <v>37.7488269444444</v>
      </c>
      <c r="F441" s="5" t="n">
        <v>128.287858666667</v>
      </c>
      <c r="G441" s="6">
        <f>HYPERLINK("https://map.naver.com/v5/search/37.7488269444444,128.287858666667","📍 네이버")</f>
        <v/>
      </c>
      <c r="H441" s="6">
        <f>HYPERLINK("https://map.kakao.com/link/map/삼각점봉평301,37.7488269444444,128.287858666667","📍 카카오")</f>
        <v/>
      </c>
    </row>
    <row r="442">
      <c r="A442" s="5" t="inlineStr">
        <is>
          <t>#102</t>
        </is>
      </c>
      <c r="B442" s="5" t="inlineStr">
        <is>
          <t>삼각점</t>
        </is>
      </c>
      <c r="C442" s="5" t="inlineStr">
        <is>
          <t>현리454</t>
        </is>
      </c>
      <c r="D442" s="5" t="n">
        <v>1927</v>
      </c>
      <c r="E442" s="5" t="n">
        <v>37.7707564166666</v>
      </c>
      <c r="F442" s="5" t="n">
        <v>128.284993611111</v>
      </c>
      <c r="G442" s="6">
        <f>HYPERLINK("https://map.naver.com/v5/search/37.7707564166666,128.284993611111","📍 네이버")</f>
        <v/>
      </c>
      <c r="H442" s="6">
        <f>HYPERLINK("https://map.kakao.com/link/map/삼각점현리454,37.7707564166666,128.284993611111","📍 카카오")</f>
        <v/>
      </c>
    </row>
    <row r="443">
      <c r="A443" s="17" t="inlineStr">
        <is>
          <t>#102</t>
        </is>
      </c>
      <c r="B443" s="17" t="inlineStr">
        <is>
          <t>통합기준점</t>
        </is>
      </c>
      <c r="C443" s="17" t="inlineStr">
        <is>
          <t>U0179</t>
        </is>
      </c>
      <c r="D443" s="17" t="n">
        <v>2137</v>
      </c>
      <c r="E443" s="17" t="n">
        <v>37.7498064499999</v>
      </c>
      <c r="F443" s="17" t="n">
        <v>128.307261572222</v>
      </c>
      <c r="G443" s="18">
        <f>HYPERLINK("https://map.naver.com/v5/search/37.7498064499999,128.307261572222","📍 네이버")</f>
        <v/>
      </c>
      <c r="H443" s="18">
        <f>HYPERLINK("https://map.kakao.com/link/map/통합기준점U0179,37.7498064499999,128.307261572222","📍 카카오")</f>
        <v/>
      </c>
    </row>
    <row r="444">
      <c r="A444" s="5" t="inlineStr">
        <is>
          <t>#102</t>
        </is>
      </c>
      <c r="B444" s="5" t="inlineStr">
        <is>
          <t>삼각점</t>
        </is>
      </c>
      <c r="C444" s="5" t="inlineStr">
        <is>
          <t>현리457</t>
        </is>
      </c>
      <c r="D444" s="5" t="n">
        <v>2420</v>
      </c>
      <c r="E444" s="5" t="n">
        <v>37.757661611111</v>
      </c>
      <c r="F444" s="5" t="n">
        <v>128.310393972222</v>
      </c>
      <c r="G444" s="6">
        <f>HYPERLINK("https://map.naver.com/v5/search/37.757661611111,128.310393972222","📍 네이버")</f>
        <v/>
      </c>
      <c r="H444" s="6">
        <f>HYPERLINK("https://map.kakao.com/link/map/삼각점현리457,37.757661611111,128.310393972222","📍 카카오")</f>
        <v/>
      </c>
    </row>
    <row r="445">
      <c r="A445" s="5" t="inlineStr">
        <is>
          <t>#102</t>
        </is>
      </c>
      <c r="B445" s="5" t="inlineStr">
        <is>
          <t>삼각점</t>
        </is>
      </c>
      <c r="C445" s="5" t="inlineStr">
        <is>
          <t>봉평404</t>
        </is>
      </c>
      <c r="D445" s="5" t="n">
        <v>2868</v>
      </c>
      <c r="E445" s="5" t="n">
        <v>37.7390545833332</v>
      </c>
      <c r="F445" s="5" t="n">
        <v>128.310499777778</v>
      </c>
      <c r="G445" s="6">
        <f>HYPERLINK("https://map.naver.com/v5/search/37.7390545833332,128.310499777778","📍 네이버")</f>
        <v/>
      </c>
      <c r="H445" s="6">
        <f>HYPERLINK("https://map.kakao.com/link/map/삼각점봉평404,37.7390545833332,128.310499777778","📍 카카오")</f>
        <v/>
      </c>
    </row>
    <row r="446">
      <c r="A446" s="5" t="inlineStr">
        <is>
          <t>#102</t>
        </is>
      </c>
      <c r="B446" s="5" t="inlineStr">
        <is>
          <t>삼각점</t>
        </is>
      </c>
      <c r="C446" s="5" t="inlineStr">
        <is>
          <t>현리450</t>
        </is>
      </c>
      <c r="D446" s="5" t="n">
        <v>3049</v>
      </c>
      <c r="E446" s="5" t="n">
        <v>37.7580660555555</v>
      </c>
      <c r="F446" s="5" t="n">
        <v>128.249329722222</v>
      </c>
      <c r="G446" s="6">
        <f>HYPERLINK("https://map.naver.com/v5/search/37.7580660555555,128.249329722222","📍 네이버")</f>
        <v/>
      </c>
      <c r="H446" s="6">
        <f>HYPERLINK("https://map.kakao.com/link/map/삼각점현리450,37.7580660555555,128.249329722222","📍 카카오")</f>
        <v/>
      </c>
    </row>
    <row r="447">
      <c r="A447" s="5" t="inlineStr">
        <is>
          <t>#102</t>
        </is>
      </c>
      <c r="B447" s="5" t="inlineStr">
        <is>
          <t>삼각점</t>
        </is>
      </c>
      <c r="C447" s="5" t="inlineStr">
        <is>
          <t>현리455</t>
        </is>
      </c>
      <c r="D447" s="5" t="n">
        <v>3554</v>
      </c>
      <c r="E447" s="5" t="n">
        <v>37.7837764166666</v>
      </c>
      <c r="F447" s="5" t="n">
        <v>128.29633875</v>
      </c>
      <c r="G447" s="6">
        <f>HYPERLINK("https://map.naver.com/v5/search/37.7837764166666,128.29633875","📍 네이버")</f>
        <v/>
      </c>
      <c r="H447" s="6">
        <f>HYPERLINK("https://map.kakao.com/link/map/삼각점현리455,37.7837764166666,128.29633875","📍 카카오")</f>
        <v/>
      </c>
    </row>
    <row r="448">
      <c r="A448" s="5" t="inlineStr">
        <is>
          <t>#102</t>
        </is>
      </c>
      <c r="B448" s="5" t="inlineStr">
        <is>
          <t>삼각점</t>
        </is>
      </c>
      <c r="C448" s="5" t="inlineStr">
        <is>
          <t>봉평402</t>
        </is>
      </c>
      <c r="D448" s="5" t="n">
        <v>3700</v>
      </c>
      <c r="E448" s="5" t="n">
        <v>37.724655861111</v>
      </c>
      <c r="F448" s="5" t="n">
        <v>128.262220861111</v>
      </c>
      <c r="G448" s="6">
        <f>HYPERLINK("https://map.naver.com/v5/search/37.724655861111,128.262220861111","📍 네이버")</f>
        <v/>
      </c>
      <c r="H448" s="6">
        <f>HYPERLINK("https://map.kakao.com/link/map/삼각점봉평402,37.724655861111,128.262220861111","📍 카카오")</f>
        <v/>
      </c>
    </row>
    <row r="449">
      <c r="A449" s="5" t="inlineStr">
        <is>
          <t>#102</t>
        </is>
      </c>
      <c r="B449" s="5" t="inlineStr">
        <is>
          <t>삼각점</t>
        </is>
      </c>
      <c r="C449" s="5" t="inlineStr">
        <is>
          <t>현리449</t>
        </is>
      </c>
      <c r="D449" s="5" t="n">
        <v>3851</v>
      </c>
      <c r="E449" s="5" t="n">
        <v>37.7765973055555</v>
      </c>
      <c r="F449" s="5" t="n">
        <v>128.250877861111</v>
      </c>
      <c r="G449" s="6">
        <f>HYPERLINK("https://map.naver.com/v5/search/37.7765973055555,128.250877861111","📍 네이버")</f>
        <v/>
      </c>
      <c r="H449" s="6">
        <f>HYPERLINK("https://map.kakao.com/link/map/삼각점현리449,37.7765973055555,128.250877861111","📍 카카오")</f>
        <v/>
      </c>
    </row>
    <row r="450">
      <c r="A450" s="5" t="inlineStr">
        <is>
          <t>#102</t>
        </is>
      </c>
      <c r="B450" s="5" t="inlineStr">
        <is>
          <t>삼각점</t>
        </is>
      </c>
      <c r="C450" s="5" t="inlineStr">
        <is>
          <t>현리451</t>
        </is>
      </c>
      <c r="D450" s="5" t="n">
        <v>4205</v>
      </c>
      <c r="E450" s="5" t="n">
        <v>37.7874724722221</v>
      </c>
      <c r="F450" s="5" t="n">
        <v>128.262461972222</v>
      </c>
      <c r="G450" s="6">
        <f>HYPERLINK("https://map.naver.com/v5/search/37.7874724722221,128.262461972222","📍 네이버")</f>
        <v/>
      </c>
      <c r="H450" s="6">
        <f>HYPERLINK("https://map.kakao.com/link/map/삼각점현리451,37.7874724722221,128.262461972222","📍 카카오")</f>
        <v/>
      </c>
    </row>
    <row r="451">
      <c r="A451" s="17" t="inlineStr">
        <is>
          <t>#102</t>
        </is>
      </c>
      <c r="B451" s="17" t="inlineStr">
        <is>
          <t>통합기준점</t>
        </is>
      </c>
      <c r="C451" s="17" t="inlineStr">
        <is>
          <t>U봉평01</t>
        </is>
      </c>
      <c r="D451" s="17" t="n">
        <v>4481</v>
      </c>
      <c r="E451" s="17" t="n">
        <v>37.7135479999999</v>
      </c>
      <c r="F451" s="17" t="n">
        <v>128.275427977778</v>
      </c>
      <c r="G451" s="18">
        <f>HYPERLINK("https://map.naver.com/v5/search/37.7135479999999,128.275427977778","📍 네이버")</f>
        <v/>
      </c>
      <c r="H451" s="18">
        <f>HYPERLINK("https://map.kakao.com/link/map/통합기준점U봉평01,37.7135479999999,128.275427977778","📍 카카오")</f>
        <v/>
      </c>
    </row>
    <row r="452">
      <c r="A452" s="5" t="inlineStr">
        <is>
          <t>#102</t>
        </is>
      </c>
      <c r="B452" s="5" t="inlineStr">
        <is>
          <t>삼각점</t>
        </is>
      </c>
      <c r="C452" s="5" t="inlineStr">
        <is>
          <t>현리458</t>
        </is>
      </c>
      <c r="D452" s="5" t="n">
        <v>4526</v>
      </c>
      <c r="E452" s="5" t="n">
        <v>37.7723644722221</v>
      </c>
      <c r="F452" s="5" t="n">
        <v>128.328955166667</v>
      </c>
      <c r="G452" s="6">
        <f>HYPERLINK("https://map.naver.com/v5/search/37.7723644722221,128.328955166667","📍 네이버")</f>
        <v/>
      </c>
      <c r="H452" s="6">
        <f>HYPERLINK("https://map.kakao.com/link/map/삼각점현리458,37.7723644722221,128.328955166667","📍 카카오")</f>
        <v/>
      </c>
    </row>
    <row r="453">
      <c r="A453" s="5" t="inlineStr">
        <is>
          <t>#102</t>
        </is>
      </c>
      <c r="B453" s="5" t="inlineStr">
        <is>
          <t>삼각점</t>
        </is>
      </c>
      <c r="C453" s="5" t="inlineStr">
        <is>
          <t>봉평405</t>
        </is>
      </c>
      <c r="D453" s="5" t="n">
        <v>4794</v>
      </c>
      <c r="E453" s="5" t="n">
        <v>37.7194855555554</v>
      </c>
      <c r="F453" s="5" t="n">
        <v>128.317098944444</v>
      </c>
      <c r="G453" s="6">
        <f>HYPERLINK("https://map.naver.com/v5/search/37.7194855555554,128.317098944444","📍 네이버")</f>
        <v/>
      </c>
      <c r="H453" s="6">
        <f>HYPERLINK("https://map.kakao.com/link/map/삼각점봉평405,37.7194855555554,128.317098944444","📍 카카오")</f>
        <v/>
      </c>
    </row>
    <row r="455" ht="18" customHeight="1">
      <c r="A455" s="16" t="inlineStr">
        <is>
          <t>▶ P1 #108  (34.868°N, 128.364°E) / 국가점수 62.1점 / 기준점 9개</t>
        </is>
      </c>
    </row>
    <row r="456">
      <c r="A456" s="5" t="inlineStr">
        <is>
          <t>#108</t>
        </is>
      </c>
      <c r="B456" s="5" t="inlineStr">
        <is>
          <t>삼각점</t>
        </is>
      </c>
      <c r="C456" s="5" t="inlineStr">
        <is>
          <t>통영432</t>
        </is>
      </c>
      <c r="D456" s="5" t="n">
        <v>1978</v>
      </c>
      <c r="E456" s="5" t="n">
        <v>34.8777818055546</v>
      </c>
      <c r="F456" s="5" t="n">
        <v>128.346384166667</v>
      </c>
      <c r="G456" s="6">
        <f>HYPERLINK("https://map.naver.com/v5/search/34.8777818055546,128.346384166667","📍 네이버")</f>
        <v/>
      </c>
      <c r="H456" s="6">
        <f>HYPERLINK("https://map.kakao.com/link/map/삼각점통영432,34.8777818055546,128.346384166667","📍 카카오")</f>
        <v/>
      </c>
    </row>
    <row r="457">
      <c r="A457" s="5" t="inlineStr">
        <is>
          <t>#108</t>
        </is>
      </c>
      <c r="B457" s="5" t="inlineStr">
        <is>
          <t>삼각점</t>
        </is>
      </c>
      <c r="C457" s="5" t="inlineStr">
        <is>
          <t>통영308</t>
        </is>
      </c>
      <c r="D457" s="5" t="n">
        <v>3410</v>
      </c>
      <c r="E457" s="5" t="n">
        <v>34.879006749999</v>
      </c>
      <c r="F457" s="5" t="n">
        <v>128.399331138889</v>
      </c>
      <c r="G457" s="6">
        <f>HYPERLINK("https://map.naver.com/v5/search/34.879006749999,128.399331138889","📍 네이버")</f>
        <v/>
      </c>
      <c r="H457" s="6">
        <f>HYPERLINK("https://map.kakao.com/link/map/삼각점통영308,34.879006749999,128.399331138889","📍 카카오")</f>
        <v/>
      </c>
    </row>
    <row r="458">
      <c r="A458" s="17" t="inlineStr">
        <is>
          <t>#108</t>
        </is>
      </c>
      <c r="B458" s="17" t="inlineStr">
        <is>
          <t>통합기준점</t>
        </is>
      </c>
      <c r="C458" s="17" t="inlineStr">
        <is>
          <t>U통영36</t>
        </is>
      </c>
      <c r="D458" s="17" t="n">
        <v>4567</v>
      </c>
      <c r="E458" s="17" t="n">
        <v>34.9036521888879</v>
      </c>
      <c r="F458" s="17" t="n">
        <v>128.389515113889</v>
      </c>
      <c r="G458" s="18">
        <f>HYPERLINK("https://map.naver.com/v5/search/34.9036521888879,128.389515113889","📍 네이버")</f>
        <v/>
      </c>
      <c r="H458" s="18">
        <f>HYPERLINK("https://map.kakao.com/link/map/통합기준점U통영36,34.9036521888879,128.389515113889","📍 카카오")</f>
        <v/>
      </c>
    </row>
    <row r="459">
      <c r="A459" s="5" t="inlineStr">
        <is>
          <t>#108</t>
        </is>
      </c>
      <c r="B459" s="5" t="inlineStr">
        <is>
          <t>삼각점</t>
        </is>
      </c>
      <c r="C459" s="5" t="inlineStr">
        <is>
          <t>통영433</t>
        </is>
      </c>
      <c r="D459" s="5" t="n">
        <v>4601</v>
      </c>
      <c r="E459" s="5" t="n">
        <v>34.9055531944435</v>
      </c>
      <c r="F459" s="5" t="n">
        <v>128.343067027778</v>
      </c>
      <c r="G459" s="6">
        <f>HYPERLINK("https://map.naver.com/v5/search/34.9055531944435,128.343067027778","📍 네이버")</f>
        <v/>
      </c>
      <c r="H459" s="6">
        <f>HYPERLINK("https://map.kakao.com/link/map/삼각점통영433,34.9055531944435,128.343067027778","📍 카카오")</f>
        <v/>
      </c>
    </row>
    <row r="460">
      <c r="A460" s="17" t="inlineStr">
        <is>
          <t>#108</t>
        </is>
      </c>
      <c r="B460" s="17" t="inlineStr">
        <is>
          <t>통합기준점</t>
        </is>
      </c>
      <c r="C460" s="17" t="inlineStr">
        <is>
          <t>U1063</t>
        </is>
      </c>
      <c r="D460" s="17" t="n">
        <v>4616</v>
      </c>
      <c r="E460" s="17" t="n">
        <v>34.8267314805545</v>
      </c>
      <c r="F460" s="17" t="n">
        <v>128.358045341667</v>
      </c>
      <c r="G460" s="18">
        <f>HYPERLINK("https://map.naver.com/v5/search/34.8267314805545,128.358045341667","📍 네이버")</f>
        <v/>
      </c>
      <c r="H460" s="18">
        <f>HYPERLINK("https://map.kakao.com/link/map/통합기준점U1063,34.8267314805545,128.358045341667","📍 카카오")</f>
        <v/>
      </c>
    </row>
    <row r="461">
      <c r="A461" s="5" t="inlineStr">
        <is>
          <t>#108</t>
        </is>
      </c>
      <c r="B461" s="5" t="inlineStr">
        <is>
          <t>삼각점</t>
        </is>
      </c>
      <c r="C461" s="5" t="inlineStr">
        <is>
          <t>통영24</t>
        </is>
      </c>
      <c r="D461" s="5" t="n">
        <v>4635</v>
      </c>
      <c r="E461" s="5" t="n">
        <v>34.828292999999</v>
      </c>
      <c r="F461" s="5" t="n">
        <v>128.348690666667</v>
      </c>
      <c r="G461" s="6">
        <f>HYPERLINK("https://map.naver.com/v5/search/34.828292999999,128.348690666667","📍 네이버")</f>
        <v/>
      </c>
      <c r="H461" s="6">
        <f>HYPERLINK("https://map.kakao.com/link/map/삼각점통영24,34.828292999999,128.348690666667","📍 카카오")</f>
        <v/>
      </c>
    </row>
    <row r="462">
      <c r="A462" s="5" t="inlineStr">
        <is>
          <t>#108</t>
        </is>
      </c>
      <c r="B462" s="5" t="inlineStr">
        <is>
          <t>삼각점</t>
        </is>
      </c>
      <c r="C462" s="5" t="inlineStr">
        <is>
          <t>통영430</t>
        </is>
      </c>
      <c r="D462" s="5" t="n">
        <v>4770</v>
      </c>
      <c r="E462" s="5" t="n">
        <v>34.9087239444435</v>
      </c>
      <c r="F462" s="5" t="n">
        <v>128.381310527778</v>
      </c>
      <c r="G462" s="6">
        <f>HYPERLINK("https://map.naver.com/v5/search/34.9087239444435,128.381310527778","📍 네이버")</f>
        <v/>
      </c>
      <c r="H462" s="6">
        <f>HYPERLINK("https://map.kakao.com/link/map/삼각점통영430,34.9087239444435,128.381310527778","📍 카카오")</f>
        <v/>
      </c>
    </row>
    <row r="463">
      <c r="A463" s="17" t="inlineStr">
        <is>
          <t>#108</t>
        </is>
      </c>
      <c r="B463" s="17" t="inlineStr">
        <is>
          <t>통합기준점</t>
        </is>
      </c>
      <c r="C463" s="17" t="inlineStr">
        <is>
          <t>U1062</t>
        </is>
      </c>
      <c r="D463" s="17" t="n">
        <v>4869</v>
      </c>
      <c r="E463" s="17" t="n">
        <v>34.8689428527768</v>
      </c>
      <c r="F463" s="17" t="n">
        <v>128.417748252778</v>
      </c>
      <c r="G463" s="18">
        <f>HYPERLINK("https://map.naver.com/v5/search/34.8689428527768,128.417748252778","📍 네이버")</f>
        <v/>
      </c>
      <c r="H463" s="18">
        <f>HYPERLINK("https://map.kakao.com/link/map/통합기준점U1062,34.8689428527768,128.417748252778","📍 카카오")</f>
        <v/>
      </c>
    </row>
    <row r="464">
      <c r="A464" s="5" t="inlineStr">
        <is>
          <t>#108</t>
        </is>
      </c>
      <c r="B464" s="5" t="inlineStr">
        <is>
          <t>삼각점</t>
        </is>
      </c>
      <c r="C464" s="5" t="inlineStr">
        <is>
          <t>통영428</t>
        </is>
      </c>
      <c r="D464" s="5" t="n">
        <v>4954</v>
      </c>
      <c r="E464" s="5" t="n">
        <v>34.8461725833323</v>
      </c>
      <c r="F464" s="5" t="n">
        <v>128.41176625</v>
      </c>
      <c r="G464" s="6">
        <f>HYPERLINK("https://map.naver.com/v5/search/34.8461725833323,128.41176625","📍 네이버")</f>
        <v/>
      </c>
      <c r="H464" s="6">
        <f>HYPERLINK("https://map.kakao.com/link/map/삼각점통영428,34.8461725833323,128.41176625","📍 카카오")</f>
        <v/>
      </c>
    </row>
    <row r="466" ht="18" customHeight="1">
      <c r="A466" s="16" t="inlineStr">
        <is>
          <t>▶ P1 #119  (36.490°N, 128.494°E) / 국가점수 60.3점 / 기준점 15개</t>
        </is>
      </c>
    </row>
    <row r="467">
      <c r="A467" s="5" t="inlineStr">
        <is>
          <t>#119</t>
        </is>
      </c>
      <c r="B467" s="5" t="inlineStr">
        <is>
          <t>삼각점</t>
        </is>
      </c>
      <c r="C467" s="5" t="inlineStr">
        <is>
          <t>안계426</t>
        </is>
      </c>
      <c r="D467" s="5" t="n">
        <v>43</v>
      </c>
      <c r="E467" s="5" t="n">
        <v>36.4896368888883</v>
      </c>
      <c r="F467" s="5" t="n">
        <v>128.49416775</v>
      </c>
      <c r="G467" s="6">
        <f>HYPERLINK("https://map.naver.com/v5/search/36.4896368888883,128.49416775","📍 네이버")</f>
        <v/>
      </c>
      <c r="H467" s="6">
        <f>HYPERLINK("https://map.kakao.com/link/map/삼각점안계426,36.4896368888883,128.49416775","📍 카카오")</f>
        <v/>
      </c>
    </row>
    <row r="468">
      <c r="A468" s="5" t="inlineStr">
        <is>
          <t>#119</t>
        </is>
      </c>
      <c r="B468" s="5" t="inlineStr">
        <is>
          <t>삼각점</t>
        </is>
      </c>
      <c r="C468" s="5" t="inlineStr">
        <is>
          <t>안동449</t>
        </is>
      </c>
      <c r="D468" s="5" t="n">
        <v>1702</v>
      </c>
      <c r="E468" s="5" t="n">
        <v>36.5035297222217</v>
      </c>
      <c r="F468" s="5" t="n">
        <v>128.502538861111</v>
      </c>
      <c r="G468" s="6">
        <f>HYPERLINK("https://map.naver.com/v5/search/36.5035297222217,128.502538861111","📍 네이버")</f>
        <v/>
      </c>
      <c r="H468" s="6">
        <f>HYPERLINK("https://map.kakao.com/link/map/삼각점안동449,36.5035297222217,128.502538861111","📍 카카오")</f>
        <v/>
      </c>
    </row>
    <row r="469">
      <c r="A469" s="17" t="inlineStr">
        <is>
          <t>#119</t>
        </is>
      </c>
      <c r="B469" s="17" t="inlineStr">
        <is>
          <t>통합기준점</t>
        </is>
      </c>
      <c r="C469" s="17" t="inlineStr">
        <is>
          <t>U의성11</t>
        </is>
      </c>
      <c r="D469" s="17" t="n">
        <v>2031</v>
      </c>
      <c r="E469" s="17" t="n">
        <v>36.4736625694439</v>
      </c>
      <c r="F469" s="17" t="n">
        <v>128.504288055556</v>
      </c>
      <c r="G469" s="18">
        <f>HYPERLINK("https://map.naver.com/v5/search/36.4736625694439,128.504288055556","📍 네이버")</f>
        <v/>
      </c>
      <c r="H469" s="18">
        <f>HYPERLINK("https://map.kakao.com/link/map/통합기준점U의성11,36.4736625694439,128.504288055556","📍 카카오")</f>
        <v/>
      </c>
    </row>
    <row r="470">
      <c r="A470" s="5" t="inlineStr">
        <is>
          <t>#119</t>
        </is>
      </c>
      <c r="B470" s="5" t="inlineStr">
        <is>
          <t>삼각점</t>
        </is>
      </c>
      <c r="C470" s="5" t="inlineStr">
        <is>
          <t>의성403</t>
        </is>
      </c>
      <c r="D470" s="5" t="n">
        <v>2692</v>
      </c>
      <c r="E470" s="5" t="n">
        <v>36.4805344722217</v>
      </c>
      <c r="F470" s="5" t="n">
        <v>128.521538666667</v>
      </c>
      <c r="G470" s="6">
        <f>HYPERLINK("https://map.naver.com/v5/search/36.4805344722217,128.521538666667","📍 네이버")</f>
        <v/>
      </c>
      <c r="H470" s="6">
        <f>HYPERLINK("https://map.kakao.com/link/map/삼각점의성403,36.4805344722217,128.521538666667","📍 카카오")</f>
        <v/>
      </c>
    </row>
    <row r="471">
      <c r="A471" s="5" t="inlineStr">
        <is>
          <t>#119</t>
        </is>
      </c>
      <c r="B471" s="5" t="inlineStr">
        <is>
          <t>삼각점</t>
        </is>
      </c>
      <c r="C471" s="5" t="inlineStr">
        <is>
          <t>예천25</t>
        </is>
      </c>
      <c r="D471" s="5" t="n">
        <v>2799</v>
      </c>
      <c r="E471" s="5" t="n">
        <v>36.5144614166661</v>
      </c>
      <c r="F471" s="5" t="n">
        <v>128.486678611111</v>
      </c>
      <c r="G471" s="6">
        <f>HYPERLINK("https://map.naver.com/v5/search/36.5144614166661,128.486678611111","📍 네이버")</f>
        <v/>
      </c>
      <c r="H471" s="6">
        <f>HYPERLINK("https://map.kakao.com/link/map/삼각점예천25,36.5144614166661,128.486678611111","📍 카카오")</f>
        <v/>
      </c>
    </row>
    <row r="472">
      <c r="A472" s="5" t="inlineStr">
        <is>
          <t>#119</t>
        </is>
      </c>
      <c r="B472" s="5" t="inlineStr">
        <is>
          <t>삼각점</t>
        </is>
      </c>
      <c r="C472" s="5" t="inlineStr">
        <is>
          <t>안계423</t>
        </is>
      </c>
      <c r="D472" s="5" t="n">
        <v>2831</v>
      </c>
      <c r="E472" s="5" t="n">
        <v>36.498859805555</v>
      </c>
      <c r="F472" s="5" t="n">
        <v>128.464215861111</v>
      </c>
      <c r="G472" s="6">
        <f>HYPERLINK("https://map.naver.com/v5/search/36.498859805555,128.464215861111","📍 네이버")</f>
        <v/>
      </c>
      <c r="H472" s="6">
        <f>HYPERLINK("https://map.kakao.com/link/map/삼각점안계423,36.498859805555,128.464215861111","📍 카카오")</f>
        <v/>
      </c>
    </row>
    <row r="473">
      <c r="A473" s="17" t="inlineStr">
        <is>
          <t>#119</t>
        </is>
      </c>
      <c r="B473" s="17" t="inlineStr">
        <is>
          <t>통합기준점</t>
        </is>
      </c>
      <c r="C473" s="17" t="inlineStr">
        <is>
          <t>U안동91</t>
        </is>
      </c>
      <c r="D473" s="17" t="n">
        <v>3217</v>
      </c>
      <c r="E473" s="17" t="n">
        <v>36.5068081249995</v>
      </c>
      <c r="F473" s="17" t="n">
        <v>128.522989027778</v>
      </c>
      <c r="G473" s="18">
        <f>HYPERLINK("https://map.naver.com/v5/search/36.5068081249995,128.522989027778","📍 네이버")</f>
        <v/>
      </c>
      <c r="H473" s="18">
        <f>HYPERLINK("https://map.kakao.com/link/map/통합기준점U안동91,36.5068081249995,128.522989027778","📍 카카오")</f>
        <v/>
      </c>
    </row>
    <row r="474">
      <c r="A474" s="5" t="inlineStr">
        <is>
          <t>#119</t>
        </is>
      </c>
      <c r="B474" s="5" t="inlineStr">
        <is>
          <t>삼각점</t>
        </is>
      </c>
      <c r="C474" s="5" t="inlineStr">
        <is>
          <t>안계422</t>
        </is>
      </c>
      <c r="D474" s="5" t="n">
        <v>3702</v>
      </c>
      <c r="E474" s="5" t="n">
        <v>36.4838378611106</v>
      </c>
      <c r="F474" s="5" t="n">
        <v>128.453169805556</v>
      </c>
      <c r="G474" s="6">
        <f>HYPERLINK("https://map.naver.com/v5/search/36.4838378611106,128.453169805556","📍 네이버")</f>
        <v/>
      </c>
      <c r="H474" s="6">
        <f>HYPERLINK("https://map.kakao.com/link/map/삼각점안계422,36.4838378611106,128.453169805556","📍 카카오")</f>
        <v/>
      </c>
    </row>
    <row r="475">
      <c r="A475" s="5" t="inlineStr">
        <is>
          <t>#119</t>
        </is>
      </c>
      <c r="B475" s="5" t="inlineStr">
        <is>
          <t>삼각점</t>
        </is>
      </c>
      <c r="C475" s="5" t="inlineStr">
        <is>
          <t>안계427</t>
        </is>
      </c>
      <c r="D475" s="5" t="n">
        <v>3702</v>
      </c>
      <c r="E475" s="5" t="n">
        <v>36.4565313611105</v>
      </c>
      <c r="F475" s="5" t="n">
        <v>128.493704333333</v>
      </c>
      <c r="G475" s="6">
        <f>HYPERLINK("https://map.naver.com/v5/search/36.4565313611105,128.493704333333","📍 네이버")</f>
        <v/>
      </c>
      <c r="H475" s="6">
        <f>HYPERLINK("https://map.kakao.com/link/map/삼각점안계427,36.4565313611105,128.493704333333","📍 카카오")</f>
        <v/>
      </c>
    </row>
    <row r="476">
      <c r="A476" s="5" t="inlineStr">
        <is>
          <t>#119</t>
        </is>
      </c>
      <c r="B476" s="5" t="inlineStr">
        <is>
          <t>삼각점</t>
        </is>
      </c>
      <c r="C476" s="5" t="inlineStr">
        <is>
          <t>의성405</t>
        </is>
      </c>
      <c r="D476" s="5" t="n">
        <v>4538</v>
      </c>
      <c r="E476" s="5" t="n">
        <v>36.4902153888884</v>
      </c>
      <c r="F476" s="5" t="n">
        <v>128.544470277778</v>
      </c>
      <c r="G476" s="6">
        <f>HYPERLINK("https://map.naver.com/v5/search/36.4902153888884,128.544470277778","📍 네이버")</f>
        <v/>
      </c>
      <c r="H476" s="6">
        <f>HYPERLINK("https://map.kakao.com/link/map/삼각점의성405,36.4902153888884,128.544470277778","📍 카카오")</f>
        <v/>
      </c>
    </row>
    <row r="477">
      <c r="A477" s="5" t="inlineStr">
        <is>
          <t>#119</t>
        </is>
      </c>
      <c r="B477" s="5" t="inlineStr">
        <is>
          <t>삼각점</t>
        </is>
      </c>
      <c r="C477" s="5" t="inlineStr">
        <is>
          <t>안동450</t>
        </is>
      </c>
      <c r="D477" s="5" t="n">
        <v>4559</v>
      </c>
      <c r="E477" s="5" t="n">
        <v>36.528069555555</v>
      </c>
      <c r="F477" s="5" t="n">
        <v>128.512692055556</v>
      </c>
      <c r="G477" s="6">
        <f>HYPERLINK("https://map.naver.com/v5/search/36.528069555555,128.512692055556","📍 네이버")</f>
        <v/>
      </c>
      <c r="H477" s="6">
        <f>HYPERLINK("https://map.kakao.com/link/map/삼각점안동450,36.528069555555,128.512692055556","📍 카카오")</f>
        <v/>
      </c>
    </row>
    <row r="478">
      <c r="A478" s="5" t="inlineStr">
        <is>
          <t>#119</t>
        </is>
      </c>
      <c r="B478" s="5" t="inlineStr">
        <is>
          <t>삼각점</t>
        </is>
      </c>
      <c r="C478" s="5" t="inlineStr">
        <is>
          <t>안계425</t>
        </is>
      </c>
      <c r="D478" s="5" t="n">
        <v>4741</v>
      </c>
      <c r="E478" s="5" t="n">
        <v>36.4515401666661</v>
      </c>
      <c r="F478" s="5" t="n">
        <v>128.470476805556</v>
      </c>
      <c r="G478" s="6">
        <f>HYPERLINK("https://map.naver.com/v5/search/36.4515401666661,128.470476805556","📍 네이버")</f>
        <v/>
      </c>
      <c r="H478" s="6">
        <f>HYPERLINK("https://map.kakao.com/link/map/삼각점안계425,36.4515401666661,128.470476805556","📍 카카오")</f>
        <v/>
      </c>
    </row>
    <row r="479">
      <c r="A479" s="5" t="inlineStr">
        <is>
          <t>#119</t>
        </is>
      </c>
      <c r="B479" s="5" t="inlineStr">
        <is>
          <t>삼각점</t>
        </is>
      </c>
      <c r="C479" s="5" t="inlineStr">
        <is>
          <t>예천470</t>
        </is>
      </c>
      <c r="D479" s="5" t="n">
        <v>4757</v>
      </c>
      <c r="E479" s="5" t="n">
        <v>36.5323768611106</v>
      </c>
      <c r="F479" s="5" t="n">
        <v>128.486564472222</v>
      </c>
      <c r="G479" s="6">
        <f>HYPERLINK("https://map.naver.com/v5/search/36.5323768611106,128.486564472222","📍 네이버")</f>
        <v/>
      </c>
      <c r="H479" s="6">
        <f>HYPERLINK("https://map.kakao.com/link/map/삼각점예천470,36.5323768611106,128.486564472222","📍 카카오")</f>
        <v/>
      </c>
    </row>
    <row r="480">
      <c r="A480" s="5" t="inlineStr">
        <is>
          <t>#119</t>
        </is>
      </c>
      <c r="B480" s="5" t="inlineStr">
        <is>
          <t>삼각점</t>
        </is>
      </c>
      <c r="C480" s="5" t="inlineStr">
        <is>
          <t>안계421</t>
        </is>
      </c>
      <c r="D480" s="5" t="n">
        <v>4796</v>
      </c>
      <c r="E480" s="5" t="n">
        <v>36.4654001666661</v>
      </c>
      <c r="F480" s="5" t="n">
        <v>128.449704694445</v>
      </c>
      <c r="G480" s="6">
        <f>HYPERLINK("https://map.naver.com/v5/search/36.4654001666661,128.449704694445","📍 네이버")</f>
        <v/>
      </c>
      <c r="H480" s="6">
        <f>HYPERLINK("https://map.kakao.com/link/map/삼각점안계421,36.4654001666661,128.449704694445","📍 카카오")</f>
        <v/>
      </c>
    </row>
    <row r="481">
      <c r="A481" s="5" t="inlineStr">
        <is>
          <t>#119</t>
        </is>
      </c>
      <c r="B481" s="5" t="inlineStr">
        <is>
          <t>삼각점</t>
        </is>
      </c>
      <c r="C481" s="5" t="inlineStr">
        <is>
          <t>안동314</t>
        </is>
      </c>
      <c r="D481" s="5" t="n">
        <v>4855</v>
      </c>
      <c r="E481" s="5" t="n">
        <v>36.5194919166661</v>
      </c>
      <c r="F481" s="5" t="n">
        <v>128.533749222222</v>
      </c>
      <c r="G481" s="6">
        <f>HYPERLINK("https://map.naver.com/v5/search/36.5194919166661,128.533749222222","📍 네이버")</f>
        <v/>
      </c>
      <c r="H481" s="6">
        <f>HYPERLINK("https://map.kakao.com/link/map/삼각점안동314,36.5194919166661,128.533749222222","📍 카카오")</f>
        <v/>
      </c>
    </row>
    <row r="483" ht="18" customHeight="1">
      <c r="A483" s="16" t="inlineStr">
        <is>
          <t>▶ P1 #125  (37.752°N, 128.510°E) / 국가점수 59.3점 / 기준점 11개</t>
        </is>
      </c>
    </row>
    <row r="484">
      <c r="A484" s="5" t="inlineStr">
        <is>
          <t>#125</t>
        </is>
      </c>
      <c r="B484" s="5" t="inlineStr">
        <is>
          <t>삼각점</t>
        </is>
      </c>
      <c r="C484" s="5" t="inlineStr">
        <is>
          <t>도암403</t>
        </is>
      </c>
      <c r="D484" s="5" t="n">
        <v>1560</v>
      </c>
      <c r="E484" s="5" t="n">
        <v>37.7426953333332</v>
      </c>
      <c r="F484" s="5" t="n">
        <v>128.524034361111</v>
      </c>
      <c r="G484" s="6">
        <f>HYPERLINK("https://map.naver.com/v5/search/37.7426953333332,128.524034361111","📍 네이버")</f>
        <v/>
      </c>
      <c r="H484" s="6">
        <f>HYPERLINK("https://map.kakao.com/link/map/삼각점도암403,37.7426953333332,128.524034361111","📍 카카오")</f>
        <v/>
      </c>
    </row>
    <row r="485">
      <c r="A485" s="5" t="inlineStr">
        <is>
          <t>#125</t>
        </is>
      </c>
      <c r="B485" s="5" t="inlineStr">
        <is>
          <t>삼각점</t>
        </is>
      </c>
      <c r="C485" s="5" t="inlineStr">
        <is>
          <t>연곡444</t>
        </is>
      </c>
      <c r="D485" s="5" t="n">
        <v>1953</v>
      </c>
      <c r="E485" s="5" t="n">
        <v>37.7646534999999</v>
      </c>
      <c r="F485" s="5" t="n">
        <v>128.525444444445</v>
      </c>
      <c r="G485" s="6">
        <f>HYPERLINK("https://map.naver.com/v5/search/37.7646534999999,128.525444444445","📍 네이버")</f>
        <v/>
      </c>
      <c r="H485" s="6">
        <f>HYPERLINK("https://map.kakao.com/link/map/삼각점연곡444,37.7646534999999,128.525444444445","📍 카카오")</f>
        <v/>
      </c>
    </row>
    <row r="486">
      <c r="A486" s="5" t="inlineStr">
        <is>
          <t>#125</t>
        </is>
      </c>
      <c r="B486" s="5" t="inlineStr">
        <is>
          <t>삼각점</t>
        </is>
      </c>
      <c r="C486" s="5" t="inlineStr">
        <is>
          <t>현리475</t>
        </is>
      </c>
      <c r="D486" s="5" t="n">
        <v>2254</v>
      </c>
      <c r="E486" s="5" t="n">
        <v>37.7577984444443</v>
      </c>
      <c r="F486" s="5" t="n">
        <v>128.486040694445</v>
      </c>
      <c r="G486" s="6">
        <f>HYPERLINK("https://map.naver.com/v5/search/37.7577984444443,128.486040694445","📍 네이버")</f>
        <v/>
      </c>
      <c r="H486" s="6">
        <f>HYPERLINK("https://map.kakao.com/link/map/삼각점현리475,37.7577984444443,128.486040694445","📍 카카오")</f>
        <v/>
      </c>
    </row>
    <row r="487">
      <c r="A487" s="5" t="inlineStr">
        <is>
          <t>#125</t>
        </is>
      </c>
      <c r="B487" s="5" t="inlineStr">
        <is>
          <t>삼각점</t>
        </is>
      </c>
      <c r="C487" s="5" t="inlineStr">
        <is>
          <t>도암301</t>
        </is>
      </c>
      <c r="D487" s="5" t="n">
        <v>2659</v>
      </c>
      <c r="E487" s="5" t="n">
        <v>37.7296487777777</v>
      </c>
      <c r="F487" s="5" t="n">
        <v>128.522264805556</v>
      </c>
      <c r="G487" s="6">
        <f>HYPERLINK("https://map.naver.com/v5/search/37.7296487777777,128.522264805556","📍 네이버")</f>
        <v/>
      </c>
      <c r="H487" s="6">
        <f>HYPERLINK("https://map.kakao.com/link/map/삼각점도암301,37.7296487777777,128.522264805556","📍 카카오")</f>
        <v/>
      </c>
    </row>
    <row r="488">
      <c r="A488" s="5" t="inlineStr">
        <is>
          <t>#125</t>
        </is>
      </c>
      <c r="B488" s="5" t="inlineStr">
        <is>
          <t>삼각점</t>
        </is>
      </c>
      <c r="C488" s="5" t="inlineStr">
        <is>
          <t>봉평424</t>
        </is>
      </c>
      <c r="D488" s="5" t="n">
        <v>2896</v>
      </c>
      <c r="E488" s="5" t="n">
        <v>37.7340696944443</v>
      </c>
      <c r="F488" s="5" t="n">
        <v>128.486202555556</v>
      </c>
      <c r="G488" s="6">
        <f>HYPERLINK("https://map.naver.com/v5/search/37.7340696944443,128.486202555556","📍 네이버")</f>
        <v/>
      </c>
      <c r="H488" s="6">
        <f>HYPERLINK("https://map.kakao.com/link/map/삼각점봉평424,37.7340696944443,128.486202555556","📍 카카오")</f>
        <v/>
      </c>
    </row>
    <row r="489">
      <c r="A489" s="5" t="inlineStr">
        <is>
          <t>#125</t>
        </is>
      </c>
      <c r="B489" s="5" t="inlineStr">
        <is>
          <t>삼각점</t>
        </is>
      </c>
      <c r="C489" s="5" t="inlineStr">
        <is>
          <t>현리322</t>
        </is>
      </c>
      <c r="D489" s="5" t="n">
        <v>3188</v>
      </c>
      <c r="E489" s="5" t="n">
        <v>37.7542864444443</v>
      </c>
      <c r="F489" s="5" t="n">
        <v>128.474396722222</v>
      </c>
      <c r="G489" s="6">
        <f>HYPERLINK("https://map.naver.com/v5/search/37.7542864444443,128.474396722222","📍 네이버")</f>
        <v/>
      </c>
      <c r="H489" s="6">
        <f>HYPERLINK("https://map.kakao.com/link/map/삼각점현리322,37.7542864444443,128.474396722222","📍 카카오")</f>
        <v/>
      </c>
    </row>
    <row r="490">
      <c r="A490" s="5" t="inlineStr">
        <is>
          <t>#125</t>
        </is>
      </c>
      <c r="B490" s="5" t="inlineStr">
        <is>
          <t>삼각점</t>
        </is>
      </c>
      <c r="C490" s="5" t="inlineStr">
        <is>
          <t>연곡443</t>
        </is>
      </c>
      <c r="D490" s="5" t="n">
        <v>3489</v>
      </c>
      <c r="E490" s="5" t="n">
        <v>37.782397861111</v>
      </c>
      <c r="F490" s="5" t="n">
        <v>128.519036361111</v>
      </c>
      <c r="G490" s="6">
        <f>HYPERLINK("https://map.naver.com/v5/search/37.782397861111,128.519036361111","📍 네이버")</f>
        <v/>
      </c>
      <c r="H490" s="6">
        <f>HYPERLINK("https://map.kakao.com/link/map/삼각점연곡443,37.782397861111,128.519036361111","📍 카카오")</f>
        <v/>
      </c>
    </row>
    <row r="491">
      <c r="A491" s="5" t="inlineStr">
        <is>
          <t>#125</t>
        </is>
      </c>
      <c r="B491" s="5" t="inlineStr">
        <is>
          <t>삼각점</t>
        </is>
      </c>
      <c r="C491" s="5" t="inlineStr">
        <is>
          <t>도암405</t>
        </is>
      </c>
      <c r="D491" s="5" t="n">
        <v>3560</v>
      </c>
      <c r="E491" s="5" t="n">
        <v>37.7366462222221</v>
      </c>
      <c r="F491" s="5" t="n">
        <v>128.546125611111</v>
      </c>
      <c r="G491" s="6">
        <f>HYPERLINK("https://map.naver.com/v5/search/37.7366462222221,128.546125611111","📍 네이버")</f>
        <v/>
      </c>
      <c r="H491" s="6">
        <f>HYPERLINK("https://map.kakao.com/link/map/삼각점도암405,37.7366462222221,128.546125611111","📍 카카오")</f>
        <v/>
      </c>
    </row>
    <row r="492">
      <c r="A492" s="5" t="inlineStr">
        <is>
          <t>#125</t>
        </is>
      </c>
      <c r="B492" s="5" t="inlineStr">
        <is>
          <t>삼각점</t>
        </is>
      </c>
      <c r="C492" s="5" t="inlineStr">
        <is>
          <t>연곡446</t>
        </is>
      </c>
      <c r="D492" s="5" t="n">
        <v>4402</v>
      </c>
      <c r="E492" s="5" t="n">
        <v>37.761104361111</v>
      </c>
      <c r="F492" s="5" t="n">
        <v>128.558981805556</v>
      </c>
      <c r="G492" s="6">
        <f>HYPERLINK("https://map.naver.com/v5/search/37.761104361111,128.558981805556","📍 네이버")</f>
        <v/>
      </c>
      <c r="H492" s="6">
        <f>HYPERLINK("https://map.kakao.com/link/map/삼각점연곡446,37.761104361111,128.558981805556","📍 카카오")</f>
        <v/>
      </c>
    </row>
    <row r="493">
      <c r="A493" s="5" t="inlineStr">
        <is>
          <t>#125</t>
        </is>
      </c>
      <c r="B493" s="5" t="inlineStr">
        <is>
          <t>삼각점</t>
        </is>
      </c>
      <c r="C493" s="5" t="inlineStr">
        <is>
          <t>봉평421</t>
        </is>
      </c>
      <c r="D493" s="5" t="n">
        <v>4523</v>
      </c>
      <c r="E493" s="5" t="n">
        <v>37.7481542777777</v>
      </c>
      <c r="F493" s="5" t="n">
        <v>128.459302111111</v>
      </c>
      <c r="G493" s="6">
        <f>HYPERLINK("https://map.naver.com/v5/search/37.7481542777777,128.459302111111","📍 네이버")</f>
        <v/>
      </c>
      <c r="H493" s="6">
        <f>HYPERLINK("https://map.kakao.com/link/map/삼각점봉평421,37.7481542777777,128.459302111111","📍 카카오")</f>
        <v/>
      </c>
    </row>
    <row r="494">
      <c r="A494" s="5" t="inlineStr">
        <is>
          <t>#125</t>
        </is>
      </c>
      <c r="B494" s="5" t="inlineStr">
        <is>
          <t>삼각점</t>
        </is>
      </c>
      <c r="C494" s="5" t="inlineStr">
        <is>
          <t>현리473</t>
        </is>
      </c>
      <c r="D494" s="5" t="n">
        <v>4749</v>
      </c>
      <c r="E494" s="5" t="n">
        <v>37.7774530833332</v>
      </c>
      <c r="F494" s="5" t="n">
        <v>128.467380333333</v>
      </c>
      <c r="G494" s="6">
        <f>HYPERLINK("https://map.naver.com/v5/search/37.7774530833332,128.467380333333","📍 네이버")</f>
        <v/>
      </c>
      <c r="H494" s="6">
        <f>HYPERLINK("https://map.kakao.com/link/map/삼각점현리473,37.7774530833332,128.467380333333","📍 카카오")</f>
        <v/>
      </c>
    </row>
    <row r="496" ht="18" customHeight="1">
      <c r="A496" s="16" t="inlineStr">
        <is>
          <t>▶ P1 #126  (37.932°N, 128.513°E) / 국가점수 58.3점 / 기준점 14개</t>
        </is>
      </c>
    </row>
    <row r="497">
      <c r="A497" s="5" t="inlineStr">
        <is>
          <t>#126</t>
        </is>
      </c>
      <c r="B497" s="5" t="inlineStr">
        <is>
          <t>삼각점</t>
        </is>
      </c>
      <c r="C497" s="5" t="inlineStr">
        <is>
          <t>연곡402</t>
        </is>
      </c>
      <c r="D497" s="5" t="n">
        <v>457</v>
      </c>
      <c r="E497" s="5" t="n">
        <v>37.9295956944444</v>
      </c>
      <c r="F497" s="5" t="n">
        <v>128.508624361111</v>
      </c>
      <c r="G497" s="6">
        <f>HYPERLINK("https://map.naver.com/v5/search/37.9295956944444,128.508624361111","📍 네이버")</f>
        <v/>
      </c>
      <c r="H497" s="6">
        <f>HYPERLINK("https://map.kakao.com/link/map/삼각점연곡402,37.9295956944444,128.508624361111","📍 카카오")</f>
        <v/>
      </c>
    </row>
    <row r="498">
      <c r="A498" s="5" t="inlineStr">
        <is>
          <t>#126</t>
        </is>
      </c>
      <c r="B498" s="5" t="inlineStr">
        <is>
          <t>삼각점</t>
        </is>
      </c>
      <c r="C498" s="5" t="inlineStr">
        <is>
          <t>연곡301</t>
        </is>
      </c>
      <c r="D498" s="5" t="n">
        <v>2233</v>
      </c>
      <c r="E498" s="5" t="n">
        <v>37.9511425555555</v>
      </c>
      <c r="F498" s="5" t="n">
        <v>128.520452944445</v>
      </c>
      <c r="G498" s="6">
        <f>HYPERLINK("https://map.naver.com/v5/search/37.9511425555555,128.520452944445","📍 네이버")</f>
        <v/>
      </c>
      <c r="H498" s="6">
        <f>HYPERLINK("https://map.kakao.com/link/map/삼각점연곡301,37.9511425555555,128.520452944445","📍 카카오")</f>
        <v/>
      </c>
    </row>
    <row r="499">
      <c r="A499" s="5" t="inlineStr">
        <is>
          <t>#126</t>
        </is>
      </c>
      <c r="B499" s="5" t="inlineStr">
        <is>
          <t>삼각점</t>
        </is>
      </c>
      <c r="C499" s="5" t="inlineStr">
        <is>
          <t>연곡314</t>
        </is>
      </c>
      <c r="D499" s="5" t="n">
        <v>2285</v>
      </c>
      <c r="E499" s="5" t="n">
        <v>37.9163773333333</v>
      </c>
      <c r="F499" s="5" t="n">
        <v>128.529953333333</v>
      </c>
      <c r="G499" s="6">
        <f>HYPERLINK("https://map.naver.com/v5/search/37.9163773333333,128.529953333333","📍 네이버")</f>
        <v/>
      </c>
      <c r="H499" s="6">
        <f>HYPERLINK("https://map.kakao.com/link/map/삼각점연곡314,37.9163773333333,128.529953333333","📍 카카오")</f>
        <v/>
      </c>
    </row>
    <row r="500">
      <c r="A500" s="5" t="inlineStr">
        <is>
          <t>#126</t>
        </is>
      </c>
      <c r="B500" s="5" t="inlineStr">
        <is>
          <t>삼각점</t>
        </is>
      </c>
      <c r="C500" s="5" t="inlineStr">
        <is>
          <t>현리421</t>
        </is>
      </c>
      <c r="D500" s="5" t="n">
        <v>2338</v>
      </c>
      <c r="E500" s="5" t="n">
        <v>37.9431918611111</v>
      </c>
      <c r="F500" s="5" t="n">
        <v>128.490431138889</v>
      </c>
      <c r="G500" s="6">
        <f>HYPERLINK("https://map.naver.com/v5/search/37.9431918611111,128.490431138889","📍 네이버")</f>
        <v/>
      </c>
      <c r="H500" s="6">
        <f>HYPERLINK("https://map.kakao.com/link/map/삼각점현리421,37.9431918611111,128.490431138889","📍 카카오")</f>
        <v/>
      </c>
    </row>
    <row r="501">
      <c r="A501" s="17" t="inlineStr">
        <is>
          <t>#126</t>
        </is>
      </c>
      <c r="B501" s="17" t="inlineStr">
        <is>
          <t>통합기준점</t>
        </is>
      </c>
      <c r="C501" s="17" t="inlineStr">
        <is>
          <t>U연곡11</t>
        </is>
      </c>
      <c r="D501" s="17" t="n">
        <v>2631</v>
      </c>
      <c r="E501" s="17" t="n">
        <v>37.9094348194444</v>
      </c>
      <c r="F501" s="17" t="n">
        <v>128.503437536111</v>
      </c>
      <c r="G501" s="18">
        <f>HYPERLINK("https://map.naver.com/v5/search/37.9094348194444,128.503437536111","📍 네이버")</f>
        <v/>
      </c>
      <c r="H501" s="18">
        <f>HYPERLINK("https://map.kakao.com/link/map/통합기준점U연곡11,37.9094348194444,128.503437536111","📍 카카오")</f>
        <v/>
      </c>
    </row>
    <row r="502">
      <c r="A502" s="5" t="inlineStr">
        <is>
          <t>#126</t>
        </is>
      </c>
      <c r="B502" s="5" t="inlineStr">
        <is>
          <t>삼각점</t>
        </is>
      </c>
      <c r="C502" s="5" t="inlineStr">
        <is>
          <t>현리423</t>
        </is>
      </c>
      <c r="D502" s="5" t="n">
        <v>3089</v>
      </c>
      <c r="E502" s="5" t="n">
        <v>37.9071388333333</v>
      </c>
      <c r="F502" s="5" t="n">
        <v>128.496912861111</v>
      </c>
      <c r="G502" s="6">
        <f>HYPERLINK("https://map.naver.com/v5/search/37.9071388333333,128.496912861111","📍 네이버")</f>
        <v/>
      </c>
      <c r="H502" s="6">
        <f>HYPERLINK("https://map.kakao.com/link/map/삼각점현리423,37.9071388333333,128.496912861111","📍 카카오")</f>
        <v/>
      </c>
    </row>
    <row r="503">
      <c r="A503" s="17" t="inlineStr">
        <is>
          <t>#126</t>
        </is>
      </c>
      <c r="B503" s="17" t="inlineStr">
        <is>
          <t>통합기준점</t>
        </is>
      </c>
      <c r="C503" s="17" t="inlineStr">
        <is>
          <t>U연곡01</t>
        </is>
      </c>
      <c r="D503" s="17" t="n">
        <v>3345</v>
      </c>
      <c r="E503" s="17" t="n">
        <v>37.9620224972222</v>
      </c>
      <c r="F503" s="17" t="n">
        <v>128.515093886111</v>
      </c>
      <c r="G503" s="18">
        <f>HYPERLINK("https://map.naver.com/v5/search/37.9620224972222,128.515093886111","📍 네이버")</f>
        <v/>
      </c>
      <c r="H503" s="18">
        <f>HYPERLINK("https://map.kakao.com/link/map/통합기준점U연곡01,37.9620224972222,128.515093886111","📍 카카오")</f>
        <v/>
      </c>
    </row>
    <row r="504">
      <c r="A504" s="5" t="inlineStr">
        <is>
          <t>#126</t>
        </is>
      </c>
      <c r="B504" s="5" t="inlineStr">
        <is>
          <t>삼각점</t>
        </is>
      </c>
      <c r="C504" s="5" t="inlineStr">
        <is>
          <t>현리308</t>
        </is>
      </c>
      <c r="D504" s="5" t="n">
        <v>3602</v>
      </c>
      <c r="E504" s="5" t="n">
        <v>37.9267954166666</v>
      </c>
      <c r="F504" s="5" t="n">
        <v>128.47244525</v>
      </c>
      <c r="G504" s="6">
        <f>HYPERLINK("https://map.naver.com/v5/search/37.9267954166666,128.47244525","📍 네이버")</f>
        <v/>
      </c>
      <c r="H504" s="6">
        <f>HYPERLINK("https://map.kakao.com/link/map/삼각점현리308,37.9267954166666,128.47244525","📍 카카오")</f>
        <v/>
      </c>
    </row>
    <row r="505">
      <c r="A505" s="5" t="inlineStr">
        <is>
          <t>#126</t>
        </is>
      </c>
      <c r="B505" s="5" t="inlineStr">
        <is>
          <t>삼각점</t>
        </is>
      </c>
      <c r="C505" s="5" t="inlineStr">
        <is>
          <t>연곡401</t>
        </is>
      </c>
      <c r="D505" s="5" t="n">
        <v>4061</v>
      </c>
      <c r="E505" s="5" t="n">
        <v>37.9669048611111</v>
      </c>
      <c r="F505" s="5" t="n">
        <v>128.499304444445</v>
      </c>
      <c r="G505" s="6">
        <f>HYPERLINK("https://map.naver.com/v5/search/37.9669048611111,128.499304444445","📍 네이버")</f>
        <v/>
      </c>
      <c r="H505" s="6">
        <f>HYPERLINK("https://map.kakao.com/link/map/삼각점연곡401,37.9669048611111,128.499304444445","📍 카카오")</f>
        <v/>
      </c>
    </row>
    <row r="506">
      <c r="A506" s="5" t="inlineStr">
        <is>
          <t>#126</t>
        </is>
      </c>
      <c r="B506" s="5" t="inlineStr">
        <is>
          <t>삼각점</t>
        </is>
      </c>
      <c r="C506" s="5" t="inlineStr">
        <is>
          <t>연곡438</t>
        </is>
      </c>
      <c r="D506" s="5" t="n">
        <v>4076</v>
      </c>
      <c r="E506" s="5" t="n">
        <v>37.9040705</v>
      </c>
      <c r="F506" s="5" t="n">
        <v>128.543134805556</v>
      </c>
      <c r="G506" s="6">
        <f>HYPERLINK("https://map.naver.com/v5/search/37.9040705,128.543134805556","📍 네이버")</f>
        <v/>
      </c>
      <c r="H506" s="6">
        <f>HYPERLINK("https://map.kakao.com/link/map/삼각점연곡438,37.9040705,128.543134805556","📍 카카오")</f>
        <v/>
      </c>
    </row>
    <row r="507">
      <c r="A507" s="5" t="inlineStr">
        <is>
          <t>#126</t>
        </is>
      </c>
      <c r="B507" s="5" t="inlineStr">
        <is>
          <t>삼각점</t>
        </is>
      </c>
      <c r="C507" s="5" t="inlineStr">
        <is>
          <t>연곡21</t>
        </is>
      </c>
      <c r="D507" s="5" t="n">
        <v>4425</v>
      </c>
      <c r="E507" s="5" t="n">
        <v>37.9449188055555</v>
      </c>
      <c r="F507" s="5" t="n">
        <v>128.560513916667</v>
      </c>
      <c r="G507" s="6">
        <f>HYPERLINK("https://map.naver.com/v5/search/37.9449188055555,128.560513916667","📍 네이버")</f>
        <v/>
      </c>
      <c r="H507" s="6">
        <f>HYPERLINK("https://map.kakao.com/link/map/삼각점연곡21,37.9449188055555,128.560513916667","📍 카카오")</f>
        <v/>
      </c>
    </row>
    <row r="508">
      <c r="A508" s="5" t="inlineStr">
        <is>
          <t>#126</t>
        </is>
      </c>
      <c r="B508" s="5" t="inlineStr">
        <is>
          <t>삼각점</t>
        </is>
      </c>
      <c r="C508" s="5" t="inlineStr">
        <is>
          <t>현리420</t>
        </is>
      </c>
      <c r="D508" s="5" t="n">
        <v>4463</v>
      </c>
      <c r="E508" s="5" t="n">
        <v>37.9481784166667</v>
      </c>
      <c r="F508" s="5" t="n">
        <v>128.466451722222</v>
      </c>
      <c r="G508" s="6">
        <f>HYPERLINK("https://map.naver.com/v5/search/37.9481784166667,128.466451722222","📍 네이버")</f>
        <v/>
      </c>
      <c r="H508" s="6">
        <f>HYPERLINK("https://map.kakao.com/link/map/삼각점현리420,37.9481784166667,128.466451722222","📍 카카오")</f>
        <v/>
      </c>
    </row>
    <row r="509">
      <c r="A509" s="5" t="inlineStr">
        <is>
          <t>#126</t>
        </is>
      </c>
      <c r="B509" s="5" t="inlineStr">
        <is>
          <t>삼각점</t>
        </is>
      </c>
      <c r="C509" s="5" t="inlineStr">
        <is>
          <t>현리426</t>
        </is>
      </c>
      <c r="D509" s="5" t="n">
        <v>4550</v>
      </c>
      <c r="E509" s="5" t="n">
        <v>37.9042214166666</v>
      </c>
      <c r="F509" s="5" t="n">
        <v>128.4747485</v>
      </c>
      <c r="G509" s="6">
        <f>HYPERLINK("https://map.naver.com/v5/search/37.9042214166666,128.4747485","📍 네이버")</f>
        <v/>
      </c>
      <c r="H509" s="6">
        <f>HYPERLINK("https://map.kakao.com/link/map/삼각점현리426,37.9042214166666,128.4747485","📍 카카오")</f>
        <v/>
      </c>
    </row>
    <row r="510">
      <c r="A510" s="5" t="inlineStr">
        <is>
          <t>#126</t>
        </is>
      </c>
      <c r="B510" s="5" t="inlineStr">
        <is>
          <t>삼각점</t>
        </is>
      </c>
      <c r="C510" s="5" t="inlineStr">
        <is>
          <t>연곡403</t>
        </is>
      </c>
      <c r="D510" s="5" t="n">
        <v>4791</v>
      </c>
      <c r="E510" s="5" t="n">
        <v>37.9717288611111</v>
      </c>
      <c r="F510" s="5" t="n">
        <v>128.534048138889</v>
      </c>
      <c r="G510" s="6">
        <f>HYPERLINK("https://map.naver.com/v5/search/37.9717288611111,128.534048138889","📍 네이버")</f>
        <v/>
      </c>
      <c r="H510" s="6">
        <f>HYPERLINK("https://map.kakao.com/link/map/삼각점연곡403,37.9717288611111,128.534048138889","📍 카카오")</f>
        <v/>
      </c>
    </row>
    <row r="512" ht="18" customHeight="1">
      <c r="A512" s="16" t="inlineStr">
        <is>
          <t>▶ P1 #128  (38.383°N, 128.519°E) / 국가점수 58.6점 / 기준점 5개</t>
        </is>
      </c>
    </row>
    <row r="513">
      <c r="A513" s="17" t="inlineStr">
        <is>
          <t>#128</t>
        </is>
      </c>
      <c r="B513" s="17" t="inlineStr">
        <is>
          <t>통합기준점</t>
        </is>
      </c>
      <c r="C513" s="17" t="inlineStr">
        <is>
          <t>U오호01</t>
        </is>
      </c>
      <c r="D513" s="17" t="n">
        <v>3039</v>
      </c>
      <c r="E513" s="17" t="n">
        <v>38.3556974250002</v>
      </c>
      <c r="F513" s="17" t="n">
        <v>128.511994116667</v>
      </c>
      <c r="G513" s="18">
        <f>HYPERLINK("https://map.naver.com/v5/search/38.3556974250002,128.511994116667","📍 네이버")</f>
        <v/>
      </c>
      <c r="H513" s="18">
        <f>HYPERLINK("https://map.kakao.com/link/map/통합기준점U오호01,38.3556974250002,128.511994116667","📍 카카오")</f>
        <v/>
      </c>
    </row>
    <row r="514">
      <c r="A514" s="5" t="inlineStr">
        <is>
          <t>#128</t>
        </is>
      </c>
      <c r="B514" s="5" t="inlineStr">
        <is>
          <t>삼각점</t>
        </is>
      </c>
      <c r="C514" s="5" t="inlineStr">
        <is>
          <t>간성418</t>
        </is>
      </c>
      <c r="D514" s="5" t="n">
        <v>3202</v>
      </c>
      <c r="E514" s="5" t="n">
        <v>38.3941760000002</v>
      </c>
      <c r="F514" s="5" t="n">
        <v>128.485634972222</v>
      </c>
      <c r="G514" s="6">
        <f>HYPERLINK("https://map.naver.com/v5/search/38.3941760000002,128.485634972222","📍 네이버")</f>
        <v/>
      </c>
      <c r="H514" s="6">
        <f>HYPERLINK("https://map.kakao.com/link/map/삼각점간성418,38.3941760000002,128.485634972222","📍 카카오")</f>
        <v/>
      </c>
    </row>
    <row r="515">
      <c r="A515" s="5" t="inlineStr">
        <is>
          <t>#128</t>
        </is>
      </c>
      <c r="B515" s="5" t="inlineStr">
        <is>
          <t>삼각점</t>
        </is>
      </c>
      <c r="C515" s="5" t="inlineStr">
        <is>
          <t>간성420</t>
        </is>
      </c>
      <c r="D515" s="5" t="n">
        <v>4239</v>
      </c>
      <c r="E515" s="5" t="n">
        <v>38.3715813611113</v>
      </c>
      <c r="F515" s="5" t="n">
        <v>128.472655666667</v>
      </c>
      <c r="G515" s="6">
        <f>HYPERLINK("https://map.naver.com/v5/search/38.3715813611113,128.472655666667","📍 네이버")</f>
        <v/>
      </c>
      <c r="H515" s="6">
        <f>HYPERLINK("https://map.kakao.com/link/map/삼각점간성420,38.3715813611113,128.472655666667","📍 카카오")</f>
        <v/>
      </c>
    </row>
    <row r="516">
      <c r="A516" s="5" t="inlineStr">
        <is>
          <t>#128</t>
        </is>
      </c>
      <c r="B516" s="5" t="inlineStr">
        <is>
          <t>삼각점</t>
        </is>
      </c>
      <c r="C516" s="5" t="inlineStr">
        <is>
          <t>간성419</t>
        </is>
      </c>
      <c r="D516" s="5" t="n">
        <v>4433</v>
      </c>
      <c r="E516" s="5" t="n">
        <v>38.3542401111113</v>
      </c>
      <c r="F516" s="5" t="n">
        <v>128.48330075</v>
      </c>
      <c r="G516" s="6">
        <f>HYPERLINK("https://map.naver.com/v5/search/38.3542401111113,128.48330075","📍 네이버")</f>
        <v/>
      </c>
      <c r="H516" s="6">
        <f>HYPERLINK("https://map.kakao.com/link/map/삼각점간성419,38.3542401111113,128.48330075","📍 카카오")</f>
        <v/>
      </c>
    </row>
    <row r="517">
      <c r="A517" s="17" t="inlineStr">
        <is>
          <t>#128</t>
        </is>
      </c>
      <c r="B517" s="17" t="inlineStr">
        <is>
          <t>통합기준점</t>
        </is>
      </c>
      <c r="C517" s="17" t="inlineStr">
        <is>
          <t>U0004</t>
        </is>
      </c>
      <c r="D517" s="17" t="n">
        <v>4783</v>
      </c>
      <c r="E517" s="17" t="n">
        <v>38.3773289944446</v>
      </c>
      <c r="F517" s="17" t="n">
        <v>128.464801427778</v>
      </c>
      <c r="G517" s="18">
        <f>HYPERLINK("https://map.naver.com/v5/search/38.3773289944446,128.464801427778","📍 네이버")</f>
        <v/>
      </c>
      <c r="H517" s="18">
        <f>HYPERLINK("https://map.kakao.com/link/map/통합기준점U0004,38.3773289944446,128.464801427778","📍 카카오")</f>
        <v/>
      </c>
    </row>
    <row r="519" ht="18" customHeight="1">
      <c r="A519" s="16" t="inlineStr">
        <is>
          <t>▶ P1 #129  (34.956°N, 128.584°E) / 국가점수 65.6점 / 기준점 5개</t>
        </is>
      </c>
    </row>
    <row r="520">
      <c r="A520" s="5" t="inlineStr">
        <is>
          <t>#129</t>
        </is>
      </c>
      <c r="B520" s="5" t="inlineStr">
        <is>
          <t>삼각점</t>
        </is>
      </c>
      <c r="C520" s="5" t="inlineStr">
        <is>
          <t>거제406</t>
        </is>
      </c>
      <c r="D520" s="5" t="n">
        <v>2892</v>
      </c>
      <c r="E520" s="5" t="n">
        <v>34.9617155833324</v>
      </c>
      <c r="F520" s="5" t="n">
        <v>128.615479944445</v>
      </c>
      <c r="G520" s="6">
        <f>HYPERLINK("https://map.naver.com/v5/search/34.9617155833324,128.615479944445","📍 네이버")</f>
        <v/>
      </c>
      <c r="H520" s="6">
        <f>HYPERLINK("https://map.kakao.com/link/map/삼각점거제406,34.9617155833324,128.615479944445","📍 카카오")</f>
        <v/>
      </c>
    </row>
    <row r="521">
      <c r="A521" s="5" t="inlineStr">
        <is>
          <t>#129</t>
        </is>
      </c>
      <c r="B521" s="5" t="inlineStr">
        <is>
          <t>삼각점</t>
        </is>
      </c>
      <c r="C521" s="5" t="inlineStr">
        <is>
          <t>거제22</t>
        </is>
      </c>
      <c r="D521" s="5" t="n">
        <v>3040</v>
      </c>
      <c r="E521" s="5" t="n">
        <v>34.9410339444435</v>
      </c>
      <c r="F521" s="5" t="n">
        <v>128.612023416667</v>
      </c>
      <c r="G521" s="6">
        <f>HYPERLINK("https://map.naver.com/v5/search/34.9410339444435,128.612023416667","📍 네이버")</f>
        <v/>
      </c>
      <c r="H521" s="6">
        <f>HYPERLINK("https://map.kakao.com/link/map/삼각점거제22,34.9410339444435,128.612023416667","📍 카카오")</f>
        <v/>
      </c>
    </row>
    <row r="522">
      <c r="A522" s="5" t="inlineStr">
        <is>
          <t>#129</t>
        </is>
      </c>
      <c r="B522" s="5" t="inlineStr">
        <is>
          <t>삼각점</t>
        </is>
      </c>
      <c r="C522" s="5" t="inlineStr">
        <is>
          <t>거제403</t>
        </is>
      </c>
      <c r="D522" s="5" t="n">
        <v>3623</v>
      </c>
      <c r="E522" s="5" t="n">
        <v>34.9300093055546</v>
      </c>
      <c r="F522" s="5" t="n">
        <v>128.607824861111</v>
      </c>
      <c r="G522" s="6">
        <f>HYPERLINK("https://map.naver.com/v5/search/34.9300093055546,128.607824861111","📍 네이버")</f>
        <v/>
      </c>
      <c r="H522" s="6">
        <f>HYPERLINK("https://map.kakao.com/link/map/삼각점거제403,34.9300093055546,128.607824861111","📍 카카오")</f>
        <v/>
      </c>
    </row>
    <row r="523">
      <c r="A523" s="5" t="inlineStr">
        <is>
          <t>#129</t>
        </is>
      </c>
      <c r="B523" s="5" t="inlineStr">
        <is>
          <t>삼각점</t>
        </is>
      </c>
      <c r="C523" s="5" t="inlineStr">
        <is>
          <t>거제405</t>
        </is>
      </c>
      <c r="D523" s="5" t="n">
        <v>4566</v>
      </c>
      <c r="E523" s="5" t="n">
        <v>34.9226580277768</v>
      </c>
      <c r="F523" s="5" t="n">
        <v>128.61308375</v>
      </c>
      <c r="G523" s="6">
        <f>HYPERLINK("https://map.naver.com/v5/search/34.9226580277768,128.61308375","📍 네이버")</f>
        <v/>
      </c>
      <c r="H523" s="6">
        <f>HYPERLINK("https://map.kakao.com/link/map/삼각점거제405,34.9226580277768,128.61308375","📍 카카오")</f>
        <v/>
      </c>
    </row>
    <row r="524">
      <c r="A524" s="5" t="inlineStr">
        <is>
          <t>#129</t>
        </is>
      </c>
      <c r="B524" s="5" t="inlineStr">
        <is>
          <t>삼각점</t>
        </is>
      </c>
      <c r="C524" s="5" t="inlineStr">
        <is>
          <t>거제408</t>
        </is>
      </c>
      <c r="D524" s="5" t="n">
        <v>4961</v>
      </c>
      <c r="E524" s="5" t="n">
        <v>34.9490964722212</v>
      </c>
      <c r="F524" s="5" t="n">
        <v>128.638064277778</v>
      </c>
      <c r="G524" s="6">
        <f>HYPERLINK("https://map.naver.com/v5/search/34.9490964722212,128.638064277778","📍 네이버")</f>
        <v/>
      </c>
      <c r="H524" s="6">
        <f>HYPERLINK("https://map.kakao.com/link/map/삼각점거제408,34.9490964722212,128.638064277778","📍 카카오")</f>
        <v/>
      </c>
    </row>
    <row r="526" ht="18" customHeight="1">
      <c r="A526" s="16" t="inlineStr">
        <is>
          <t>▶ P1 #130  (35.768°N, 128.595°E) / 국가점수 57.7점 / 기준점 19개</t>
        </is>
      </c>
    </row>
    <row r="527">
      <c r="A527" s="5" t="inlineStr">
        <is>
          <t>#130</t>
        </is>
      </c>
      <c r="B527" s="5" t="inlineStr">
        <is>
          <t>삼각점</t>
        </is>
      </c>
      <c r="C527" s="5" t="inlineStr">
        <is>
          <t>대구486</t>
        </is>
      </c>
      <c r="D527" s="5" t="n">
        <v>949</v>
      </c>
      <c r="E527" s="5" t="n">
        <v>35.7762538333326</v>
      </c>
      <c r="F527" s="5" t="n">
        <v>128.593842555556</v>
      </c>
      <c r="G527" s="6">
        <f>HYPERLINK("https://map.naver.com/v5/search/35.7762538333326,128.593842555556","📍 네이버")</f>
        <v/>
      </c>
      <c r="H527" s="6">
        <f>HYPERLINK("https://map.kakao.com/link/map/삼각점대구486,35.7762538333326,128.593842555556","📍 카카오")</f>
        <v/>
      </c>
    </row>
    <row r="528">
      <c r="A528" s="5" t="inlineStr">
        <is>
          <t>#130</t>
        </is>
      </c>
      <c r="B528" s="5" t="inlineStr">
        <is>
          <t>삼각점</t>
        </is>
      </c>
      <c r="C528" s="5" t="inlineStr">
        <is>
          <t>대구485</t>
        </is>
      </c>
      <c r="D528" s="5" t="n">
        <v>1698</v>
      </c>
      <c r="E528" s="5" t="n">
        <v>35.7620129444437</v>
      </c>
      <c r="F528" s="5" t="n">
        <v>128.577975638889</v>
      </c>
      <c r="G528" s="6">
        <f>HYPERLINK("https://map.naver.com/v5/search/35.7620129444437,128.577975638889","📍 네이버")</f>
        <v/>
      </c>
      <c r="H528" s="6">
        <f>HYPERLINK("https://map.kakao.com/link/map/삼각점대구485,35.7620129444437,128.577975638889","📍 카카오")</f>
        <v/>
      </c>
    </row>
    <row r="529">
      <c r="A529" s="5" t="inlineStr">
        <is>
          <t>#130</t>
        </is>
      </c>
      <c r="B529" s="5" t="inlineStr">
        <is>
          <t>삼각점</t>
        </is>
      </c>
      <c r="C529" s="5" t="inlineStr">
        <is>
          <t>대구338</t>
        </is>
      </c>
      <c r="D529" s="5" t="n">
        <v>1940</v>
      </c>
      <c r="E529" s="5" t="n">
        <v>35.7731391944437</v>
      </c>
      <c r="F529" s="5" t="n">
        <v>128.615797972222</v>
      </c>
      <c r="G529" s="6">
        <f>HYPERLINK("https://map.naver.com/v5/search/35.7731391944437,128.615797972222","📍 네이버")</f>
        <v/>
      </c>
      <c r="H529" s="6">
        <f>HYPERLINK("https://map.kakao.com/link/map/삼각점대구338,35.7731391944437,128.615797972222","📍 카카오")</f>
        <v/>
      </c>
    </row>
    <row r="530">
      <c r="A530" s="5" t="inlineStr">
        <is>
          <t>#130</t>
        </is>
      </c>
      <c r="B530" s="5" t="inlineStr">
        <is>
          <t>삼각점</t>
        </is>
      </c>
      <c r="C530" s="5" t="inlineStr">
        <is>
          <t>청도307</t>
        </is>
      </c>
      <c r="D530" s="5" t="n">
        <v>2149</v>
      </c>
      <c r="E530" s="5" t="n">
        <v>35.7491622499992</v>
      </c>
      <c r="F530" s="5" t="n">
        <v>128.601901277778</v>
      </c>
      <c r="G530" s="6">
        <f>HYPERLINK("https://map.naver.com/v5/search/35.7491622499992,128.601901277778","📍 네이버")</f>
        <v/>
      </c>
      <c r="H530" s="6">
        <f>HYPERLINK("https://map.kakao.com/link/map/삼각점청도307,35.7491622499992,128.601901277778","📍 카카오")</f>
        <v/>
      </c>
    </row>
    <row r="531">
      <c r="A531" s="5" t="inlineStr">
        <is>
          <t>#130</t>
        </is>
      </c>
      <c r="B531" s="5" t="inlineStr">
        <is>
          <t>삼각점</t>
        </is>
      </c>
      <c r="C531" s="5" t="inlineStr">
        <is>
          <t>대구490</t>
        </is>
      </c>
      <c r="D531" s="5" t="n">
        <v>2298</v>
      </c>
      <c r="E531" s="5" t="n">
        <v>35.7599919722215</v>
      </c>
      <c r="F531" s="5" t="n">
        <v>128.618915444445</v>
      </c>
      <c r="G531" s="6">
        <f>HYPERLINK("https://map.naver.com/v5/search/35.7599919722215,128.618915444445","📍 네이버")</f>
        <v/>
      </c>
      <c r="H531" s="6">
        <f>HYPERLINK("https://map.kakao.com/link/map/삼각점대구490,35.7599919722215,128.618915444445","📍 카카오")</f>
        <v/>
      </c>
    </row>
    <row r="532">
      <c r="A532" s="17" t="inlineStr">
        <is>
          <t>#130</t>
        </is>
      </c>
      <c r="B532" s="17" t="inlineStr">
        <is>
          <t>통합기준점</t>
        </is>
      </c>
      <c r="C532" s="17" t="inlineStr">
        <is>
          <t>U대구24</t>
        </is>
      </c>
      <c r="D532" s="17" t="n">
        <v>2436</v>
      </c>
      <c r="E532" s="17" t="n">
        <v>35.789563352777</v>
      </c>
      <c r="F532" s="17" t="n">
        <v>128.598849838889</v>
      </c>
      <c r="G532" s="18">
        <f>HYPERLINK("https://map.naver.com/v5/search/35.789563352777,128.598849838889","📍 네이버")</f>
        <v/>
      </c>
      <c r="H532" s="18">
        <f>HYPERLINK("https://map.kakao.com/link/map/통합기준점U대구24,35.789563352777,128.598849838889","📍 카카오")</f>
        <v/>
      </c>
    </row>
    <row r="533">
      <c r="A533" s="5" t="inlineStr">
        <is>
          <t>#130</t>
        </is>
      </c>
      <c r="B533" s="5" t="inlineStr">
        <is>
          <t>삼각점</t>
        </is>
      </c>
      <c r="C533" s="5" t="inlineStr">
        <is>
          <t>대구337</t>
        </is>
      </c>
      <c r="D533" s="5" t="n">
        <v>2991</v>
      </c>
      <c r="E533" s="5" t="n">
        <v>35.7854749166659</v>
      </c>
      <c r="F533" s="5" t="n">
        <v>128.570389305556</v>
      </c>
      <c r="G533" s="6">
        <f>HYPERLINK("https://map.naver.com/v5/search/35.7854749166659,128.570389305556","📍 네이버")</f>
        <v/>
      </c>
      <c r="H533" s="6">
        <f>HYPERLINK("https://map.kakao.com/link/map/삼각점대구337,35.7854749166659,128.570389305556","📍 카카오")</f>
        <v/>
      </c>
    </row>
    <row r="534">
      <c r="A534" s="5" t="inlineStr">
        <is>
          <t>#130</t>
        </is>
      </c>
      <c r="B534" s="5" t="inlineStr">
        <is>
          <t>삼각점</t>
        </is>
      </c>
      <c r="C534" s="5" t="inlineStr">
        <is>
          <t>청도408</t>
        </is>
      </c>
      <c r="D534" s="5" t="n">
        <v>3469</v>
      </c>
      <c r="E534" s="5" t="n">
        <v>35.7391236666659</v>
      </c>
      <c r="F534" s="5" t="n">
        <v>128.580021277778</v>
      </c>
      <c r="G534" s="6">
        <f>HYPERLINK("https://map.naver.com/v5/search/35.7391236666659,128.580021277778","📍 네이버")</f>
        <v/>
      </c>
      <c r="H534" s="6">
        <f>HYPERLINK("https://map.kakao.com/link/map/삼각점청도408,35.7391236666659,128.580021277778","📍 카카오")</f>
        <v/>
      </c>
    </row>
    <row r="535">
      <c r="A535" s="5" t="inlineStr">
        <is>
          <t>#130</t>
        </is>
      </c>
      <c r="B535" s="5" t="inlineStr">
        <is>
          <t>삼각점</t>
        </is>
      </c>
      <c r="C535" s="5" t="inlineStr">
        <is>
          <t>대구487</t>
        </is>
      </c>
      <c r="D535" s="5" t="n">
        <v>3482</v>
      </c>
      <c r="E535" s="5" t="n">
        <v>35.7991418055548</v>
      </c>
      <c r="F535" s="5" t="n">
        <v>128.593349916667</v>
      </c>
      <c r="G535" s="6">
        <f>HYPERLINK("https://map.naver.com/v5/search/35.7991418055548,128.593349916667","📍 네이버")</f>
        <v/>
      </c>
      <c r="H535" s="6">
        <f>HYPERLINK("https://map.kakao.com/link/map/삼각점대구487,35.7991418055548,128.593349916667","📍 카카오")</f>
        <v/>
      </c>
    </row>
    <row r="536">
      <c r="A536" s="5" t="inlineStr">
        <is>
          <t>#130</t>
        </is>
      </c>
      <c r="B536" s="5" t="inlineStr">
        <is>
          <t>삼각점</t>
        </is>
      </c>
      <c r="C536" s="5" t="inlineStr">
        <is>
          <t>청도306</t>
        </is>
      </c>
      <c r="D536" s="5" t="n">
        <v>4030</v>
      </c>
      <c r="E536" s="5" t="n">
        <v>35.7317923611103</v>
      </c>
      <c r="F536" s="5" t="n">
        <v>128.589376444445</v>
      </c>
      <c r="G536" s="6">
        <f>HYPERLINK("https://map.naver.com/v5/search/35.7317923611103,128.589376444445","📍 네이버")</f>
        <v/>
      </c>
      <c r="H536" s="6">
        <f>HYPERLINK("https://map.kakao.com/link/map/삼각점청도306,35.7317923611103,128.589376444445","📍 카카오")</f>
        <v/>
      </c>
    </row>
    <row r="537">
      <c r="A537" s="17" t="inlineStr">
        <is>
          <t>#130</t>
        </is>
      </c>
      <c r="B537" s="17" t="inlineStr">
        <is>
          <t>통합기준점</t>
        </is>
      </c>
      <c r="C537" s="17" t="inlineStr">
        <is>
          <t>U대구26</t>
        </is>
      </c>
      <c r="D537" s="17" t="n">
        <v>4210</v>
      </c>
      <c r="E537" s="17" t="n">
        <v>35.7937091888881</v>
      </c>
      <c r="F537" s="17" t="n">
        <v>128.629390194445</v>
      </c>
      <c r="G537" s="18">
        <f>HYPERLINK("https://map.naver.com/v5/search/35.7937091888881,128.629390194445","📍 네이버")</f>
        <v/>
      </c>
      <c r="H537" s="18">
        <f>HYPERLINK("https://map.kakao.com/link/map/통합기준점U대구26,35.7937091888881,128.629390194445","📍 카카오")</f>
        <v/>
      </c>
    </row>
    <row r="538">
      <c r="A538" s="5" t="inlineStr">
        <is>
          <t>#130</t>
        </is>
      </c>
      <c r="B538" s="5" t="inlineStr">
        <is>
          <t>삼각점</t>
        </is>
      </c>
      <c r="C538" s="5" t="inlineStr">
        <is>
          <t>청도309</t>
        </is>
      </c>
      <c r="D538" s="5" t="n">
        <v>4252</v>
      </c>
      <c r="E538" s="5" t="n">
        <v>35.7419679444437</v>
      </c>
      <c r="F538" s="5" t="n">
        <v>128.6301315</v>
      </c>
      <c r="G538" s="6">
        <f>HYPERLINK("https://map.naver.com/v5/search/35.7419679444437,128.6301315","📍 네이버")</f>
        <v/>
      </c>
      <c r="H538" s="6">
        <f>HYPERLINK("https://map.kakao.com/link/map/삼각점청도309,35.7419679444437,128.6301315","📍 카카오")</f>
        <v/>
      </c>
    </row>
    <row r="539">
      <c r="A539" s="5" t="inlineStr">
        <is>
          <t>#130</t>
        </is>
      </c>
      <c r="B539" s="5" t="inlineStr">
        <is>
          <t>삼각점</t>
        </is>
      </c>
      <c r="C539" s="5" t="inlineStr">
        <is>
          <t>대구489</t>
        </is>
      </c>
      <c r="D539" s="5" t="n">
        <v>4290</v>
      </c>
      <c r="E539" s="5" t="n">
        <v>35.8020315555548</v>
      </c>
      <c r="F539" s="5" t="n">
        <v>128.617445638889</v>
      </c>
      <c r="G539" s="6">
        <f>HYPERLINK("https://map.naver.com/v5/search/35.8020315555548,128.617445638889","📍 네이버")</f>
        <v/>
      </c>
      <c r="H539" s="6">
        <f>HYPERLINK("https://map.kakao.com/link/map/삼각점대구489,35.8020315555548,128.617445638889","📍 카카오")</f>
        <v/>
      </c>
    </row>
    <row r="540">
      <c r="A540" s="5" t="inlineStr">
        <is>
          <t>#130</t>
        </is>
      </c>
      <c r="B540" s="5" t="inlineStr">
        <is>
          <t>삼각점</t>
        </is>
      </c>
      <c r="C540" s="5" t="inlineStr">
        <is>
          <t>대구494</t>
        </is>
      </c>
      <c r="D540" s="5" t="n">
        <v>4304</v>
      </c>
      <c r="E540" s="5" t="n">
        <v>35.766234277777</v>
      </c>
      <c r="F540" s="5" t="n">
        <v>128.642938444445</v>
      </c>
      <c r="G540" s="6">
        <f>HYPERLINK("https://map.naver.com/v5/search/35.766234277777,128.642938444445","📍 네이버")</f>
        <v/>
      </c>
      <c r="H540" s="6">
        <f>HYPERLINK("https://map.kakao.com/link/map/삼각점대구494,35.766234277777,128.642938444445","📍 카카오")</f>
        <v/>
      </c>
    </row>
    <row r="541">
      <c r="A541" s="5" t="inlineStr">
        <is>
          <t>#130</t>
        </is>
      </c>
      <c r="B541" s="5" t="inlineStr">
        <is>
          <t>삼각점</t>
        </is>
      </c>
      <c r="C541" s="5" t="inlineStr">
        <is>
          <t>대구493</t>
        </is>
      </c>
      <c r="D541" s="5" t="n">
        <v>4370</v>
      </c>
      <c r="E541" s="5" t="n">
        <v>35.7924024722215</v>
      </c>
      <c r="F541" s="5" t="n">
        <v>128.633115</v>
      </c>
      <c r="G541" s="6">
        <f>HYPERLINK("https://map.naver.com/v5/search/35.7924024722215,128.633115","📍 네이버")</f>
        <v/>
      </c>
      <c r="H541" s="6">
        <f>HYPERLINK("https://map.kakao.com/link/map/삼각점대구493,35.7924024722215,128.633115","📍 카카오")</f>
        <v/>
      </c>
    </row>
    <row r="542">
      <c r="A542" s="5" t="inlineStr">
        <is>
          <t>#130</t>
        </is>
      </c>
      <c r="B542" s="5" t="inlineStr">
        <is>
          <t>삼각점</t>
        </is>
      </c>
      <c r="C542" s="5" t="inlineStr">
        <is>
          <t>청도304</t>
        </is>
      </c>
      <c r="D542" s="5" t="n">
        <v>4487</v>
      </c>
      <c r="E542" s="5" t="n">
        <v>35.7362784999992</v>
      </c>
      <c r="F542" s="5" t="n">
        <v>128.564258972222</v>
      </c>
      <c r="G542" s="6">
        <f>HYPERLINK("https://map.naver.com/v5/search/35.7362784999992,128.564258972222","📍 네이버")</f>
        <v/>
      </c>
      <c r="H542" s="6">
        <f>HYPERLINK("https://map.kakao.com/link/map/삼각점청도304,35.7362784999992,128.564258972222","📍 카카오")</f>
        <v/>
      </c>
    </row>
    <row r="543">
      <c r="A543" s="5" t="inlineStr">
        <is>
          <t>#130</t>
        </is>
      </c>
      <c r="B543" s="5" t="inlineStr">
        <is>
          <t>삼각점</t>
        </is>
      </c>
      <c r="C543" s="5" t="inlineStr">
        <is>
          <t>대구323</t>
        </is>
      </c>
      <c r="D543" s="5" t="n">
        <v>4669</v>
      </c>
      <c r="E543" s="5" t="n">
        <v>35.8097284999992</v>
      </c>
      <c r="F543" s="5" t="n">
        <v>128.590964527778</v>
      </c>
      <c r="G543" s="6">
        <f>HYPERLINK("https://map.naver.com/v5/search/35.8097284999992,128.590964527778","📍 네이버")</f>
        <v/>
      </c>
      <c r="H543" s="6">
        <f>HYPERLINK("https://map.kakao.com/link/map/삼각점대구323,35.8097284999992,128.590964527778","📍 카카오")</f>
        <v/>
      </c>
    </row>
    <row r="544">
      <c r="A544" s="17" t="inlineStr">
        <is>
          <t>#130</t>
        </is>
      </c>
      <c r="B544" s="17" t="inlineStr">
        <is>
          <t>통합기준점</t>
        </is>
      </c>
      <c r="C544" s="17" t="inlineStr">
        <is>
          <t>U0735</t>
        </is>
      </c>
      <c r="D544" s="17" t="n">
        <v>4754</v>
      </c>
      <c r="E544" s="17" t="n">
        <v>35.7710843999992</v>
      </c>
      <c r="F544" s="17" t="n">
        <v>128.647807688889</v>
      </c>
      <c r="G544" s="18">
        <f>HYPERLINK("https://map.naver.com/v5/search/35.7710843999992,128.647807688889","📍 네이버")</f>
        <v/>
      </c>
      <c r="H544" s="18">
        <f>HYPERLINK("https://map.kakao.com/link/map/통합기준점U0735,35.7710843999992,128.647807688889","📍 카카오")</f>
        <v/>
      </c>
    </row>
    <row r="545">
      <c r="A545" s="5" t="inlineStr">
        <is>
          <t>#130</t>
        </is>
      </c>
      <c r="B545" s="5" t="inlineStr">
        <is>
          <t>삼각점</t>
        </is>
      </c>
      <c r="C545" s="5" t="inlineStr">
        <is>
          <t>청도413</t>
        </is>
      </c>
      <c r="D545" s="5" t="n">
        <v>4898</v>
      </c>
      <c r="E545" s="5" t="n">
        <v>35.7253124999992</v>
      </c>
      <c r="F545" s="5" t="n">
        <v>128.610170861111</v>
      </c>
      <c r="G545" s="6">
        <f>HYPERLINK("https://map.naver.com/v5/search/35.7253124999992,128.610170861111","📍 네이버")</f>
        <v/>
      </c>
      <c r="H545" s="6">
        <f>HYPERLINK("https://map.kakao.com/link/map/삼각점청도413,35.7253124999992,128.610170861111","📍 카카오")</f>
        <v/>
      </c>
    </row>
    <row r="547" ht="18" customHeight="1">
      <c r="A547" s="16" t="inlineStr">
        <is>
          <t>▶ P1 #138  (34.775°N, 128.691°E) / 국가점수 69.7점 / 기준점 6개</t>
        </is>
      </c>
    </row>
    <row r="548">
      <c r="A548" s="5" t="inlineStr">
        <is>
          <t>#138</t>
        </is>
      </c>
      <c r="B548" s="5" t="inlineStr">
        <is>
          <t>삼각점</t>
        </is>
      </c>
      <c r="C548" s="5" t="inlineStr">
        <is>
          <t>거제444</t>
        </is>
      </c>
      <c r="D548" s="5" t="n">
        <v>2402</v>
      </c>
      <c r="E548" s="5" t="n">
        <v>34.7822765555545</v>
      </c>
      <c r="F548" s="5" t="n">
        <v>128.666617305556</v>
      </c>
      <c r="G548" s="6">
        <f>HYPERLINK("https://map.naver.com/v5/search/34.7822765555545,128.666617305556","📍 네이버")</f>
        <v/>
      </c>
      <c r="H548" s="6">
        <f>HYPERLINK("https://map.kakao.com/link/map/삼각점거제444,34.7822765555545,128.666617305556","📍 카카오")</f>
        <v/>
      </c>
    </row>
    <row r="549">
      <c r="A549" s="5" t="inlineStr">
        <is>
          <t>#138</t>
        </is>
      </c>
      <c r="B549" s="5" t="inlineStr">
        <is>
          <t>삼각점</t>
        </is>
      </c>
      <c r="C549" s="5" t="inlineStr">
        <is>
          <t>거제456</t>
        </is>
      </c>
      <c r="D549" s="5" t="n">
        <v>2680</v>
      </c>
      <c r="E549" s="5" t="n">
        <v>34.7989361666657</v>
      </c>
      <c r="F549" s="5" t="n">
        <v>128.696018388889</v>
      </c>
      <c r="G549" s="6">
        <f>HYPERLINK("https://map.naver.com/v5/search/34.7989361666657,128.696018388889","📍 네이버")</f>
        <v/>
      </c>
      <c r="H549" s="6">
        <f>HYPERLINK("https://map.kakao.com/link/map/삼각점거제456,34.7989361666657,128.696018388889","📍 카카오")</f>
        <v/>
      </c>
    </row>
    <row r="550">
      <c r="A550" s="17" t="inlineStr">
        <is>
          <t>#138</t>
        </is>
      </c>
      <c r="B550" s="17" t="inlineStr">
        <is>
          <t>통합기준점</t>
        </is>
      </c>
      <c r="C550" s="17" t="inlineStr">
        <is>
          <t>U거제78</t>
        </is>
      </c>
      <c r="D550" s="17" t="n">
        <v>4042</v>
      </c>
      <c r="E550" s="17" t="n">
        <v>34.8112893694434</v>
      </c>
      <c r="F550" s="17" t="n">
        <v>128.686407766667</v>
      </c>
      <c r="G550" s="18">
        <f>HYPERLINK("https://map.naver.com/v5/search/34.8112893694434,128.686407766667","📍 네이버")</f>
        <v/>
      </c>
      <c r="H550" s="18">
        <f>HYPERLINK("https://map.kakao.com/link/map/통합기준점U거제78,34.8112893694434,128.686407766667","📍 카카오")</f>
        <v/>
      </c>
    </row>
    <row r="551">
      <c r="A551" s="5" t="inlineStr">
        <is>
          <t>#138</t>
        </is>
      </c>
      <c r="B551" s="5" t="inlineStr">
        <is>
          <t>삼각점</t>
        </is>
      </c>
      <c r="C551" s="5" t="inlineStr">
        <is>
          <t>매물406</t>
        </is>
      </c>
      <c r="D551" s="5" t="n">
        <v>4370</v>
      </c>
      <c r="E551" s="5" t="n">
        <v>34.7408016111101</v>
      </c>
      <c r="F551" s="5" t="n">
        <v>128.667837583334</v>
      </c>
      <c r="G551" s="6">
        <f>HYPERLINK("https://map.naver.com/v5/search/34.7408016111101,128.667837583334","📍 네이버")</f>
        <v/>
      </c>
      <c r="H551" s="6">
        <f>HYPERLINK("https://map.kakao.com/link/map/삼각점매물406,34.7408016111101,128.667837583334","📍 카카오")</f>
        <v/>
      </c>
    </row>
    <row r="552">
      <c r="A552" s="5" t="inlineStr">
        <is>
          <t>#138</t>
        </is>
      </c>
      <c r="B552" s="5" t="inlineStr">
        <is>
          <t>삼각점</t>
        </is>
      </c>
      <c r="C552" s="5" t="inlineStr">
        <is>
          <t>거제26</t>
        </is>
      </c>
      <c r="D552" s="5" t="n">
        <v>4532</v>
      </c>
      <c r="E552" s="5" t="n">
        <v>34.7918750555545</v>
      </c>
      <c r="F552" s="5" t="n">
        <v>128.736525083334</v>
      </c>
      <c r="G552" s="6">
        <f>HYPERLINK("https://map.naver.com/v5/search/34.7918750555545,128.736525083334","📍 네이버")</f>
        <v/>
      </c>
      <c r="H552" s="6">
        <f>HYPERLINK("https://map.kakao.com/link/map/삼각점거제26,34.7918750555545,128.736525083334","📍 카카오")</f>
        <v/>
      </c>
    </row>
    <row r="553">
      <c r="A553" s="5" t="inlineStr">
        <is>
          <t>#138</t>
        </is>
      </c>
      <c r="B553" s="5" t="inlineStr">
        <is>
          <t>삼각점</t>
        </is>
      </c>
      <c r="C553" s="5" t="inlineStr">
        <is>
          <t>거제453</t>
        </is>
      </c>
      <c r="D553" s="5" t="n">
        <v>4551</v>
      </c>
      <c r="E553" s="5" t="n">
        <v>34.7754926944434</v>
      </c>
      <c r="F553" s="5" t="n">
        <v>128.641645583334</v>
      </c>
      <c r="G553" s="6">
        <f>HYPERLINK("https://map.naver.com/v5/search/34.7754926944434,128.641645583334","📍 네이버")</f>
        <v/>
      </c>
      <c r="H553" s="6">
        <f>HYPERLINK("https://map.kakao.com/link/map/삼각점거제453,34.7754926944434,128.641645583334","📍 카카오")</f>
        <v/>
      </c>
    </row>
    <row r="555" ht="18" customHeight="1">
      <c r="A555" s="16" t="inlineStr">
        <is>
          <t>▶ P1 #144  (36.487°N, 128.829°E) / 국가점수 60.0점 / 기준점 14개</t>
        </is>
      </c>
    </row>
    <row r="556">
      <c r="A556" s="5" t="inlineStr">
        <is>
          <t>#144</t>
        </is>
      </c>
      <c r="B556" s="5" t="inlineStr">
        <is>
          <t>삼각점</t>
        </is>
      </c>
      <c r="C556" s="5" t="inlineStr">
        <is>
          <t>길안407</t>
        </is>
      </c>
      <c r="D556" s="5" t="n">
        <v>660</v>
      </c>
      <c r="E556" s="5" t="n">
        <v>36.4857561388883</v>
      </c>
      <c r="F556" s="5" t="n">
        <v>128.821395138889</v>
      </c>
      <c r="G556" s="6">
        <f>HYPERLINK("https://map.naver.com/v5/search/36.4857561388883,128.821395138889","📍 네이버")</f>
        <v/>
      </c>
      <c r="H556" s="6">
        <f>HYPERLINK("https://map.kakao.com/link/map/삼각점길안407,36.4857561388883,128.821395138889","📍 카카오")</f>
        <v/>
      </c>
    </row>
    <row r="557">
      <c r="A557" s="5" t="inlineStr">
        <is>
          <t>#144</t>
        </is>
      </c>
      <c r="B557" s="5" t="inlineStr">
        <is>
          <t>삼각점</t>
        </is>
      </c>
      <c r="C557" s="5" t="inlineStr">
        <is>
          <t>길안409</t>
        </is>
      </c>
      <c r="D557" s="5" t="n">
        <v>1080</v>
      </c>
      <c r="E557" s="5" t="n">
        <v>36.4959402222217</v>
      </c>
      <c r="F557" s="5" t="n">
        <v>128.832256861112</v>
      </c>
      <c r="G557" s="6">
        <f>HYPERLINK("https://map.naver.com/v5/search/36.4959402222217,128.832256861112","📍 네이버")</f>
        <v/>
      </c>
      <c r="H557" s="6">
        <f>HYPERLINK("https://map.kakao.com/link/map/삼각점길안409,36.4959402222217,128.832256861112","📍 카카오")</f>
        <v/>
      </c>
    </row>
    <row r="558">
      <c r="A558" s="5" t="inlineStr">
        <is>
          <t>#144</t>
        </is>
      </c>
      <c r="B558" s="5" t="inlineStr">
        <is>
          <t>삼각점</t>
        </is>
      </c>
      <c r="C558" s="5" t="inlineStr">
        <is>
          <t>길안410</t>
        </is>
      </c>
      <c r="D558" s="5" t="n">
        <v>2348</v>
      </c>
      <c r="E558" s="5" t="n">
        <v>36.4661936944439</v>
      </c>
      <c r="F558" s="5" t="n">
        <v>128.835459500001</v>
      </c>
      <c r="G558" s="6">
        <f>HYPERLINK("https://map.naver.com/v5/search/36.4661936944439,128.835459500001","📍 네이버")</f>
        <v/>
      </c>
      <c r="H558" s="6">
        <f>HYPERLINK("https://map.kakao.com/link/map/삼각점길안410,36.4661936944439,128.835459500001","📍 카카오")</f>
        <v/>
      </c>
    </row>
    <row r="559">
      <c r="A559" s="5" t="inlineStr">
        <is>
          <t>#144</t>
        </is>
      </c>
      <c r="B559" s="5" t="inlineStr">
        <is>
          <t>삼각점</t>
        </is>
      </c>
      <c r="C559" s="5" t="inlineStr">
        <is>
          <t>예안310</t>
        </is>
      </c>
      <c r="D559" s="5" t="n">
        <v>3081</v>
      </c>
      <c r="E559" s="5" t="n">
        <v>36.5035444166661</v>
      </c>
      <c r="F559" s="5" t="n">
        <v>128.801388611112</v>
      </c>
      <c r="G559" s="6">
        <f>HYPERLINK("https://map.naver.com/v5/search/36.5035444166661,128.801388611112","📍 네이버")</f>
        <v/>
      </c>
      <c r="H559" s="6">
        <f>HYPERLINK("https://map.kakao.com/link/map/삼각점예안310,36.5035444166661,128.801388611112","📍 카카오")</f>
        <v/>
      </c>
    </row>
    <row r="560">
      <c r="A560" s="5" t="inlineStr">
        <is>
          <t>#144</t>
        </is>
      </c>
      <c r="B560" s="5" t="inlineStr">
        <is>
          <t>삼각점</t>
        </is>
      </c>
      <c r="C560" s="5" t="inlineStr">
        <is>
          <t>길안413</t>
        </is>
      </c>
      <c r="D560" s="5" t="n">
        <v>3158</v>
      </c>
      <c r="E560" s="5" t="n">
        <v>36.4864138888884</v>
      </c>
      <c r="F560" s="5" t="n">
        <v>128.863933166667</v>
      </c>
      <c r="G560" s="6">
        <f>HYPERLINK("https://map.naver.com/v5/search/36.4864138888884,128.863933166667","📍 네이버")</f>
        <v/>
      </c>
      <c r="H560" s="6">
        <f>HYPERLINK("https://map.kakao.com/link/map/삼각점길안413,36.4864138888884,128.863933166667","📍 카카오")</f>
        <v/>
      </c>
    </row>
    <row r="561">
      <c r="A561" s="5" t="inlineStr">
        <is>
          <t>#144</t>
        </is>
      </c>
      <c r="B561" s="5" t="inlineStr">
        <is>
          <t>삼각점</t>
        </is>
      </c>
      <c r="C561" s="5" t="inlineStr">
        <is>
          <t>예안457</t>
        </is>
      </c>
      <c r="D561" s="5" t="n">
        <v>3522</v>
      </c>
      <c r="E561" s="5" t="n">
        <v>36.5182821666661</v>
      </c>
      <c r="F561" s="5" t="n">
        <v>128.825571833334</v>
      </c>
      <c r="G561" s="6">
        <f>HYPERLINK("https://map.naver.com/v5/search/36.5182821666661,128.825571833334","📍 네이버")</f>
        <v/>
      </c>
      <c r="H561" s="6">
        <f>HYPERLINK("https://map.kakao.com/link/map/삼각점예안457,36.5182821666661,128.825571833334","📍 카카오")</f>
        <v/>
      </c>
    </row>
    <row r="562">
      <c r="A562" s="5" t="inlineStr">
        <is>
          <t>#144</t>
        </is>
      </c>
      <c r="B562" s="5" t="inlineStr">
        <is>
          <t>삼각점</t>
        </is>
      </c>
      <c r="C562" s="5" t="inlineStr">
        <is>
          <t>길안405</t>
        </is>
      </c>
      <c r="D562" s="5" t="n">
        <v>3605</v>
      </c>
      <c r="E562" s="5" t="n">
        <v>36.4702637777772</v>
      </c>
      <c r="F562" s="5" t="n">
        <v>128.793929861112</v>
      </c>
      <c r="G562" s="6">
        <f>HYPERLINK("https://map.naver.com/v5/search/36.4702637777772,128.793929861112","📍 네이버")</f>
        <v/>
      </c>
      <c r="H562" s="6">
        <f>HYPERLINK("https://map.kakao.com/link/map/삼각점길안405,36.4702637777772,128.793929861112","📍 카카오")</f>
        <v/>
      </c>
    </row>
    <row r="563">
      <c r="A563" s="5" t="inlineStr">
        <is>
          <t>#144</t>
        </is>
      </c>
      <c r="B563" s="5" t="inlineStr">
        <is>
          <t>삼각점</t>
        </is>
      </c>
      <c r="C563" s="5" t="inlineStr">
        <is>
          <t>길안403</t>
        </is>
      </c>
      <c r="D563" s="5" t="n">
        <v>3610</v>
      </c>
      <c r="E563" s="5" t="n">
        <v>36.4981530277772</v>
      </c>
      <c r="F563" s="5" t="n">
        <v>128.790989194445</v>
      </c>
      <c r="G563" s="6">
        <f>HYPERLINK("https://map.naver.com/v5/search/36.4981530277772,128.790989194445","📍 네이버")</f>
        <v/>
      </c>
      <c r="H563" s="6">
        <f>HYPERLINK("https://map.kakao.com/link/map/삼각점길안403,36.4981530277772,128.790989194445","📍 카카오")</f>
        <v/>
      </c>
    </row>
    <row r="564">
      <c r="A564" s="17" t="inlineStr">
        <is>
          <t>#144</t>
        </is>
      </c>
      <c r="B564" s="17" t="inlineStr">
        <is>
          <t>통합기준점</t>
        </is>
      </c>
      <c r="C564" s="17" t="inlineStr">
        <is>
          <t>U길안16</t>
        </is>
      </c>
      <c r="D564" s="17" t="n">
        <v>3737</v>
      </c>
      <c r="E564" s="17" t="n">
        <v>36.491084855555</v>
      </c>
      <c r="F564" s="17" t="n">
        <v>128.870027758334</v>
      </c>
      <c r="G564" s="18">
        <f>HYPERLINK("https://map.naver.com/v5/search/36.491084855555,128.870027758334","📍 네이버")</f>
        <v/>
      </c>
      <c r="H564" s="18">
        <f>HYPERLINK("https://map.kakao.com/link/map/통합기준점U길안16,36.491084855555,128.870027758334","📍 카카오")</f>
        <v/>
      </c>
    </row>
    <row r="565">
      <c r="A565" s="5" t="inlineStr">
        <is>
          <t>#144</t>
        </is>
      </c>
      <c r="B565" s="5" t="inlineStr">
        <is>
          <t>삼각점</t>
        </is>
      </c>
      <c r="C565" s="5" t="inlineStr">
        <is>
          <t>예안461</t>
        </is>
      </c>
      <c r="D565" s="5" t="n">
        <v>3852</v>
      </c>
      <c r="E565" s="5" t="n">
        <v>36.514624305555</v>
      </c>
      <c r="F565" s="5" t="n">
        <v>128.854129000001</v>
      </c>
      <c r="G565" s="6">
        <f>HYPERLINK("https://map.naver.com/v5/search/36.514624305555,128.854129000001","📍 네이버")</f>
        <v/>
      </c>
      <c r="H565" s="6">
        <f>HYPERLINK("https://map.kakao.com/link/map/삼각점예안461,36.514624305555,128.854129000001","📍 카카오")</f>
        <v/>
      </c>
    </row>
    <row r="566">
      <c r="A566" s="5" t="inlineStr">
        <is>
          <t>#144</t>
        </is>
      </c>
      <c r="B566" s="5" t="inlineStr">
        <is>
          <t>삼각점</t>
        </is>
      </c>
      <c r="C566" s="5" t="inlineStr">
        <is>
          <t>길안21</t>
        </is>
      </c>
      <c r="D566" s="5" t="n">
        <v>3859</v>
      </c>
      <c r="E566" s="5" t="n">
        <v>36.4521631388883</v>
      </c>
      <c r="F566" s="5" t="n">
        <v>128.822985611112</v>
      </c>
      <c r="G566" s="6">
        <f>HYPERLINK("https://map.naver.com/v5/search/36.4521631388883,128.822985611112","📍 네이버")</f>
        <v/>
      </c>
      <c r="H566" s="6">
        <f>HYPERLINK("https://map.kakao.com/link/map/삼각점길안21,36.4521631388883,128.822985611112","📍 카카오")</f>
        <v/>
      </c>
    </row>
    <row r="567">
      <c r="A567" s="5" t="inlineStr">
        <is>
          <t>#144</t>
        </is>
      </c>
      <c r="B567" s="5" t="inlineStr">
        <is>
          <t>삼각점</t>
        </is>
      </c>
      <c r="C567" s="5" t="inlineStr">
        <is>
          <t>길안414</t>
        </is>
      </c>
      <c r="D567" s="5" t="n">
        <v>4287</v>
      </c>
      <c r="E567" s="5" t="n">
        <v>36.4652259999994</v>
      </c>
      <c r="F567" s="5" t="n">
        <v>128.868509916667</v>
      </c>
      <c r="G567" s="6">
        <f>HYPERLINK("https://map.naver.com/v5/search/36.4652259999994,128.868509916667","📍 네이버")</f>
        <v/>
      </c>
      <c r="H567" s="6">
        <f>HYPERLINK("https://map.kakao.com/link/map/삼각점길안414,36.4652259999994,128.868509916667","📍 카카오")</f>
        <v/>
      </c>
    </row>
    <row r="568">
      <c r="A568" s="17" t="inlineStr">
        <is>
          <t>#144</t>
        </is>
      </c>
      <c r="B568" s="17" t="inlineStr">
        <is>
          <t>통합기준점</t>
        </is>
      </c>
      <c r="C568" s="17" t="inlineStr">
        <is>
          <t>U0514</t>
        </is>
      </c>
      <c r="D568" s="17" t="n">
        <v>4381</v>
      </c>
      <c r="E568" s="17" t="n">
        <v>36.5261121194439</v>
      </c>
      <c r="F568" s="17" t="n">
        <v>128.827257963889</v>
      </c>
      <c r="G568" s="18">
        <f>HYPERLINK("https://map.naver.com/v5/search/36.5261121194439,128.827257963889","📍 네이버")</f>
        <v/>
      </c>
      <c r="H568" s="18">
        <f>HYPERLINK("https://map.kakao.com/link/map/통합기준점U0514,36.5261121194439,128.827257963889","📍 카카오")</f>
        <v/>
      </c>
    </row>
    <row r="569">
      <c r="A569" s="5" t="inlineStr">
        <is>
          <t>#144</t>
        </is>
      </c>
      <c r="B569" s="5" t="inlineStr">
        <is>
          <t>삼각점</t>
        </is>
      </c>
      <c r="C569" s="5" t="inlineStr">
        <is>
          <t>길안411</t>
        </is>
      </c>
      <c r="D569" s="5" t="n">
        <v>4499</v>
      </c>
      <c r="E569" s="5" t="n">
        <v>36.4490745833328</v>
      </c>
      <c r="F569" s="5" t="n">
        <v>128.847602194445</v>
      </c>
      <c r="G569" s="6">
        <f>HYPERLINK("https://map.naver.com/v5/search/36.4490745833328,128.847602194445","📍 네이버")</f>
        <v/>
      </c>
      <c r="H569" s="6">
        <f>HYPERLINK("https://map.kakao.com/link/map/삼각점길안411,36.4490745833328,128.847602194445","📍 카카오")</f>
        <v/>
      </c>
    </row>
    <row r="571" ht="18" customHeight="1">
      <c r="A571" s="16" t="inlineStr">
        <is>
          <t>▶ P1 #145  (36.757°N, 128.833°E) / 국가점수 57.7점 / 기준점 15개</t>
        </is>
      </c>
    </row>
    <row r="572">
      <c r="A572" s="17" t="inlineStr">
        <is>
          <t>#145</t>
        </is>
      </c>
      <c r="B572" s="17" t="inlineStr">
        <is>
          <t>통합기준점</t>
        </is>
      </c>
      <c r="C572" s="17" t="inlineStr">
        <is>
          <t>U0422</t>
        </is>
      </c>
      <c r="D572" s="17" t="n">
        <v>78</v>
      </c>
      <c r="E572" s="17" t="n">
        <v>36.7570650416662</v>
      </c>
      <c r="F572" s="17" t="n">
        <v>128.834207425001</v>
      </c>
      <c r="G572" s="18">
        <f>HYPERLINK("https://map.naver.com/v5/search/36.7570650416662,128.834207425001","📍 네이버")</f>
        <v/>
      </c>
      <c r="H572" s="18">
        <f>HYPERLINK("https://map.kakao.com/link/map/통합기준점U0422,36.7570650416662,128.834207425001","📍 카카오")</f>
        <v/>
      </c>
    </row>
    <row r="573">
      <c r="A573" s="5" t="inlineStr">
        <is>
          <t>#145</t>
        </is>
      </c>
      <c r="B573" s="5" t="inlineStr">
        <is>
          <t>삼각점</t>
        </is>
      </c>
      <c r="C573" s="5" t="inlineStr">
        <is>
          <t>춘양461</t>
        </is>
      </c>
      <c r="D573" s="5" t="n">
        <v>844</v>
      </c>
      <c r="E573" s="5" t="n">
        <v>36.7602588611107</v>
      </c>
      <c r="F573" s="5" t="n">
        <v>128.824777333334</v>
      </c>
      <c r="G573" s="6">
        <f>HYPERLINK("https://map.naver.com/v5/search/36.7602588611107,128.824777333334","📍 네이버")</f>
        <v/>
      </c>
      <c r="H573" s="6">
        <f>HYPERLINK("https://map.kakao.com/link/map/삼각점춘양461,36.7602588611107,128.824777333334","📍 카카오")</f>
        <v/>
      </c>
    </row>
    <row r="574">
      <c r="A574" s="5" t="inlineStr">
        <is>
          <t>#145</t>
        </is>
      </c>
      <c r="B574" s="5" t="inlineStr">
        <is>
          <t>삼각점</t>
        </is>
      </c>
      <c r="C574" s="5" t="inlineStr">
        <is>
          <t>예안408</t>
        </is>
      </c>
      <c r="D574" s="5" t="n">
        <v>1910</v>
      </c>
      <c r="E574" s="5" t="n">
        <v>36.7413143888884</v>
      </c>
      <c r="F574" s="5" t="n">
        <v>128.824560277778</v>
      </c>
      <c r="G574" s="6">
        <f>HYPERLINK("https://map.naver.com/v5/search/36.7413143888884,128.824560277778","📍 네이버")</f>
        <v/>
      </c>
      <c r="H574" s="6">
        <f>HYPERLINK("https://map.kakao.com/link/map/삼각점예안408,36.7413143888884,128.824560277778","📍 카카오")</f>
        <v/>
      </c>
    </row>
    <row r="575">
      <c r="A575" s="5" t="inlineStr">
        <is>
          <t>#145</t>
        </is>
      </c>
      <c r="B575" s="5" t="inlineStr">
        <is>
          <t>삼각점</t>
        </is>
      </c>
      <c r="C575" s="5" t="inlineStr">
        <is>
          <t>예안410</t>
        </is>
      </c>
      <c r="D575" s="5" t="n">
        <v>1977</v>
      </c>
      <c r="E575" s="5" t="n">
        <v>36.7458458333329</v>
      </c>
      <c r="F575" s="5" t="n">
        <v>128.85058138889</v>
      </c>
      <c r="G575" s="6">
        <f>HYPERLINK("https://map.naver.com/v5/search/36.7458458333329,128.85058138889","📍 네이버")</f>
        <v/>
      </c>
      <c r="H575" s="6">
        <f>HYPERLINK("https://map.kakao.com/link/map/삼각점예안410,36.7458458333329,128.85058138889","📍 카카오")</f>
        <v/>
      </c>
    </row>
    <row r="576">
      <c r="A576" s="5" t="inlineStr">
        <is>
          <t>#145</t>
        </is>
      </c>
      <c r="B576" s="5" t="inlineStr">
        <is>
          <t>삼각점</t>
        </is>
      </c>
      <c r="C576" s="5" t="inlineStr">
        <is>
          <t>춘양313</t>
        </is>
      </c>
      <c r="D576" s="5" t="n">
        <v>2176</v>
      </c>
      <c r="E576" s="5" t="n">
        <v>36.7653384999995</v>
      </c>
      <c r="F576" s="5" t="n">
        <v>128.855404416667</v>
      </c>
      <c r="G576" s="6">
        <f>HYPERLINK("https://map.naver.com/v5/search/36.7653384999995,128.855404416667","📍 네이버")</f>
        <v/>
      </c>
      <c r="H576" s="6">
        <f>HYPERLINK("https://map.kakao.com/link/map/삼각점춘양313,36.7653384999995,128.855404416667","📍 카카오")</f>
        <v/>
      </c>
    </row>
    <row r="577">
      <c r="A577" s="5" t="inlineStr">
        <is>
          <t>#145</t>
        </is>
      </c>
      <c r="B577" s="5" t="inlineStr">
        <is>
          <t>삼각점</t>
        </is>
      </c>
      <c r="C577" s="5" t="inlineStr">
        <is>
          <t>춘양462</t>
        </is>
      </c>
      <c r="D577" s="5" t="n">
        <v>2229</v>
      </c>
      <c r="E577" s="5" t="n">
        <v>36.7768885277773</v>
      </c>
      <c r="F577" s="5" t="n">
        <v>128.837059916667</v>
      </c>
      <c r="G577" s="6">
        <f>HYPERLINK("https://map.naver.com/v5/search/36.7768885277773,128.837059916667","📍 네이버")</f>
        <v/>
      </c>
      <c r="H577" s="6">
        <f>HYPERLINK("https://map.kakao.com/link/map/삼각점춘양462,36.7768885277773,128.837059916667","📍 카카오")</f>
        <v/>
      </c>
    </row>
    <row r="578">
      <c r="A578" s="5" t="inlineStr">
        <is>
          <t>#145</t>
        </is>
      </c>
      <c r="B578" s="5" t="inlineStr">
        <is>
          <t>삼각점</t>
        </is>
      </c>
      <c r="C578" s="5" t="inlineStr">
        <is>
          <t>춘양458</t>
        </is>
      </c>
      <c r="D578" s="5" t="n">
        <v>3023</v>
      </c>
      <c r="E578" s="5" t="n">
        <v>36.7608768611107</v>
      </c>
      <c r="F578" s="5" t="n">
        <v>128.799804388889</v>
      </c>
      <c r="G578" s="6">
        <f>HYPERLINK("https://map.naver.com/v5/search/36.7608768611107,128.799804388889","📍 네이버")</f>
        <v/>
      </c>
      <c r="H578" s="6">
        <f>HYPERLINK("https://map.kakao.com/link/map/삼각점춘양458,36.7608768611107,128.799804388889","📍 카카오")</f>
        <v/>
      </c>
    </row>
    <row r="579">
      <c r="A579" s="5" t="inlineStr">
        <is>
          <t>#145</t>
        </is>
      </c>
      <c r="B579" s="5" t="inlineStr">
        <is>
          <t>삼각점</t>
        </is>
      </c>
      <c r="C579" s="5" t="inlineStr">
        <is>
          <t>예안411</t>
        </is>
      </c>
      <c r="D579" s="5" t="n">
        <v>3402</v>
      </c>
      <c r="E579" s="5" t="n">
        <v>36.730028194444</v>
      </c>
      <c r="F579" s="5" t="n">
        <v>128.851417805556</v>
      </c>
      <c r="G579" s="6">
        <f>HYPERLINK("https://map.naver.com/v5/search/36.730028194444,128.851417805556","📍 네이버")</f>
        <v/>
      </c>
      <c r="H579" s="6">
        <f>HYPERLINK("https://map.kakao.com/link/map/삼각점예안411,36.730028194444,128.851417805556","📍 카카오")</f>
        <v/>
      </c>
    </row>
    <row r="580">
      <c r="A580" s="5" t="inlineStr">
        <is>
          <t>#145</t>
        </is>
      </c>
      <c r="B580" s="5" t="inlineStr">
        <is>
          <t>삼각점</t>
        </is>
      </c>
      <c r="C580" s="5" t="inlineStr">
        <is>
          <t>예안406</t>
        </is>
      </c>
      <c r="D580" s="5" t="n">
        <v>3603</v>
      </c>
      <c r="E580" s="5" t="n">
        <v>36.7417753055551</v>
      </c>
      <c r="F580" s="5" t="n">
        <v>128.797694527778</v>
      </c>
      <c r="G580" s="6">
        <f>HYPERLINK("https://map.naver.com/v5/search/36.7417753055551,128.797694527778","📍 네이버")</f>
        <v/>
      </c>
      <c r="H580" s="6">
        <f>HYPERLINK("https://map.kakao.com/link/map/삼각점예안406,36.7417753055551,128.797694527778","📍 카카오")</f>
        <v/>
      </c>
    </row>
    <row r="581">
      <c r="A581" s="5" t="inlineStr">
        <is>
          <t>#145</t>
        </is>
      </c>
      <c r="B581" s="5" t="inlineStr">
        <is>
          <t>삼각점</t>
        </is>
      </c>
      <c r="C581" s="5" t="inlineStr">
        <is>
          <t>예안21</t>
        </is>
      </c>
      <c r="D581" s="5" t="n">
        <v>3688</v>
      </c>
      <c r="E581" s="5" t="n">
        <v>36.7249391111106</v>
      </c>
      <c r="F581" s="5" t="n">
        <v>128.822517444445</v>
      </c>
      <c r="G581" s="6">
        <f>HYPERLINK("https://map.naver.com/v5/search/36.7249391111106,128.822517444445","📍 네이버")</f>
        <v/>
      </c>
      <c r="H581" s="6">
        <f>HYPERLINK("https://map.kakao.com/link/map/삼각점예안21,36.7249391111106,128.822517444445","📍 카카오")</f>
        <v/>
      </c>
    </row>
    <row r="582">
      <c r="A582" s="5" t="inlineStr">
        <is>
          <t>#145</t>
        </is>
      </c>
      <c r="B582" s="5" t="inlineStr">
        <is>
          <t>삼각점</t>
        </is>
      </c>
      <c r="C582" s="5" t="inlineStr">
        <is>
          <t>춘양459</t>
        </is>
      </c>
      <c r="D582" s="5" t="n">
        <v>3851</v>
      </c>
      <c r="E582" s="5" t="n">
        <v>36.7822820833329</v>
      </c>
      <c r="F582" s="5" t="n">
        <v>128.803747111112</v>
      </c>
      <c r="G582" s="6">
        <f>HYPERLINK("https://map.naver.com/v5/search/36.7822820833329,128.803747111112","📍 네이버")</f>
        <v/>
      </c>
      <c r="H582" s="6">
        <f>HYPERLINK("https://map.kakao.com/link/map/삼각점춘양459,36.7822820833329,128.803747111112","📍 카카오")</f>
        <v/>
      </c>
    </row>
    <row r="583">
      <c r="A583" s="5" t="inlineStr">
        <is>
          <t>#145</t>
        </is>
      </c>
      <c r="B583" s="5" t="inlineStr">
        <is>
          <t>삼각점</t>
        </is>
      </c>
      <c r="C583" s="5" t="inlineStr">
        <is>
          <t>예안413</t>
        </is>
      </c>
      <c r="D583" s="5" t="n">
        <v>3864</v>
      </c>
      <c r="E583" s="5" t="n">
        <v>36.742159444444</v>
      </c>
      <c r="F583" s="5" t="n">
        <v>128.872473027778</v>
      </c>
      <c r="G583" s="6">
        <f>HYPERLINK("https://map.naver.com/v5/search/36.742159444444,128.872473027778","📍 네이버")</f>
        <v/>
      </c>
      <c r="H583" s="6">
        <f>HYPERLINK("https://map.kakao.com/link/map/삼각점예안413,36.742159444444,128.872473027778","📍 카카오")</f>
        <v/>
      </c>
    </row>
    <row r="584">
      <c r="A584" s="17" t="inlineStr">
        <is>
          <t>#145</t>
        </is>
      </c>
      <c r="B584" s="17" t="inlineStr">
        <is>
          <t>통합기준점</t>
        </is>
      </c>
      <c r="C584" s="17" t="inlineStr">
        <is>
          <t>U예안14</t>
        </is>
      </c>
      <c r="D584" s="17" t="n">
        <v>4033</v>
      </c>
      <c r="E584" s="17" t="n">
        <v>36.720761069444</v>
      </c>
      <c r="F584" s="17" t="n">
        <v>128.830113219445</v>
      </c>
      <c r="G584" s="18">
        <f>HYPERLINK("https://map.naver.com/v5/search/36.720761069444,128.830113219445","📍 네이버")</f>
        <v/>
      </c>
      <c r="H584" s="18">
        <f>HYPERLINK("https://map.kakao.com/link/map/통합기준점U예안14,36.720761069444,128.830113219445","📍 카카오")</f>
        <v/>
      </c>
    </row>
    <row r="585">
      <c r="A585" s="5" t="inlineStr">
        <is>
          <t>#145</t>
        </is>
      </c>
      <c r="B585" s="5" t="inlineStr">
        <is>
          <t>삼각점</t>
        </is>
      </c>
      <c r="C585" s="5" t="inlineStr">
        <is>
          <t>춘양463</t>
        </is>
      </c>
      <c r="D585" s="5" t="n">
        <v>4347</v>
      </c>
      <c r="E585" s="5" t="n">
        <v>36.7890823333329</v>
      </c>
      <c r="F585" s="5" t="n">
        <v>128.861331583334</v>
      </c>
      <c r="G585" s="6">
        <f>HYPERLINK("https://map.naver.com/v5/search/36.7890823333329,128.861331583334","📍 네이버")</f>
        <v/>
      </c>
      <c r="H585" s="6">
        <f>HYPERLINK("https://map.kakao.com/link/map/삼각점춘양463,36.7890823333329,128.861331583334","📍 카카오")</f>
        <v/>
      </c>
    </row>
    <row r="586">
      <c r="A586" s="5" t="inlineStr">
        <is>
          <t>#145</t>
        </is>
      </c>
      <c r="B586" s="5" t="inlineStr">
        <is>
          <t>삼각점</t>
        </is>
      </c>
      <c r="C586" s="5" t="inlineStr">
        <is>
          <t>춘양465</t>
        </is>
      </c>
      <c r="D586" s="5" t="n">
        <v>4974</v>
      </c>
      <c r="E586" s="5" t="n">
        <v>36.7836625277773</v>
      </c>
      <c r="F586" s="5" t="n">
        <v>128.878154194445</v>
      </c>
      <c r="G586" s="6">
        <f>HYPERLINK("https://map.naver.com/v5/search/36.7836625277773,128.878154194445","📍 네이버")</f>
        <v/>
      </c>
      <c r="H586" s="6">
        <f>HYPERLINK("https://map.kakao.com/link/map/삼각점춘양465,36.7836625277773,128.878154194445","📍 카카오")</f>
        <v/>
      </c>
    </row>
    <row r="588" ht="18" customHeight="1">
      <c r="A588" s="16" t="inlineStr">
        <is>
          <t>▶ P1 #149  (35.584°N, 128.924°E) / 국가점수 60.0점 / 기준점 14개</t>
        </is>
      </c>
    </row>
    <row r="589">
      <c r="A589" s="5" t="inlineStr">
        <is>
          <t>#149</t>
        </is>
      </c>
      <c r="B589" s="5" t="inlineStr">
        <is>
          <t>삼각점</t>
        </is>
      </c>
      <c r="C589" s="5" t="inlineStr">
        <is>
          <t>동곡336</t>
        </is>
      </c>
      <c r="D589" s="5" t="n">
        <v>805</v>
      </c>
      <c r="E589" s="5" t="n">
        <v>35.5814591666658</v>
      </c>
      <c r="F589" s="5" t="n">
        <v>128.93227113889</v>
      </c>
      <c r="G589" s="6">
        <f>HYPERLINK("https://map.naver.com/v5/search/35.5814591666658,128.93227113889","📍 네이버")</f>
        <v/>
      </c>
      <c r="H589" s="6">
        <f>HYPERLINK("https://map.kakao.com/link/map/삼각점동곡336,35.5814591666658,128.93227113889","📍 카카오")</f>
        <v/>
      </c>
    </row>
    <row r="590">
      <c r="A590" s="5" t="inlineStr">
        <is>
          <t>#149</t>
        </is>
      </c>
      <c r="B590" s="5" t="inlineStr">
        <is>
          <t>삼각점</t>
        </is>
      </c>
      <c r="C590" s="5" t="inlineStr">
        <is>
          <t>동곡444</t>
        </is>
      </c>
      <c r="D590" s="5" t="n">
        <v>1681</v>
      </c>
      <c r="E590" s="5" t="n">
        <v>35.5934114722214</v>
      </c>
      <c r="F590" s="5" t="n">
        <v>128.938546277779</v>
      </c>
      <c r="G590" s="6">
        <f>HYPERLINK("https://map.naver.com/v5/search/35.5934114722214,128.938546277779","📍 네이버")</f>
        <v/>
      </c>
      <c r="H590" s="6">
        <f>HYPERLINK("https://map.kakao.com/link/map/삼각점동곡444,35.5934114722214,128.938546277779","📍 카카오")</f>
        <v/>
      </c>
    </row>
    <row r="591">
      <c r="A591" s="5" t="inlineStr">
        <is>
          <t>#149</t>
        </is>
      </c>
      <c r="B591" s="5" t="inlineStr">
        <is>
          <t>삼각점</t>
        </is>
      </c>
      <c r="C591" s="5" t="inlineStr">
        <is>
          <t>동곡446</t>
        </is>
      </c>
      <c r="D591" s="5" t="n">
        <v>1804</v>
      </c>
      <c r="E591" s="5" t="n">
        <v>35.5993951944436</v>
      </c>
      <c r="F591" s="5" t="n">
        <v>128.917406944445</v>
      </c>
      <c r="G591" s="6">
        <f>HYPERLINK("https://map.naver.com/v5/search/35.5993951944436,128.917406944445","📍 네이버")</f>
        <v/>
      </c>
      <c r="H591" s="6">
        <f>HYPERLINK("https://map.kakao.com/link/map/삼각점동곡446,35.5993951944436,128.917406944445","📍 카카오")</f>
        <v/>
      </c>
    </row>
    <row r="592">
      <c r="A592" s="17" t="inlineStr">
        <is>
          <t>#149</t>
        </is>
      </c>
      <c r="B592" s="17" t="inlineStr">
        <is>
          <t>통합기준점</t>
        </is>
      </c>
      <c r="C592" s="17" t="inlineStr">
        <is>
          <t>U동곡10</t>
        </is>
      </c>
      <c r="D592" s="17" t="n">
        <v>2386</v>
      </c>
      <c r="E592" s="17" t="n">
        <v>35.6049358472214</v>
      </c>
      <c r="F592" s="17" t="n">
        <v>128.917741483334</v>
      </c>
      <c r="G592" s="18">
        <f>HYPERLINK("https://map.naver.com/v5/search/35.6049358472214,128.917741483334","📍 네이버")</f>
        <v/>
      </c>
      <c r="H592" s="18">
        <f>HYPERLINK("https://map.kakao.com/link/map/통합기준점U동곡10,35.6049358472214,128.917741483334","📍 카카오")</f>
        <v/>
      </c>
    </row>
    <row r="593">
      <c r="A593" s="5" t="inlineStr">
        <is>
          <t>#149</t>
        </is>
      </c>
      <c r="B593" s="5" t="inlineStr">
        <is>
          <t>삼각점</t>
        </is>
      </c>
      <c r="C593" s="5" t="inlineStr">
        <is>
          <t>동곡485</t>
        </is>
      </c>
      <c r="D593" s="5" t="n">
        <v>2723</v>
      </c>
      <c r="E593" s="5" t="n">
        <v>35.5780788888881</v>
      </c>
      <c r="F593" s="5" t="n">
        <v>128.894817000001</v>
      </c>
      <c r="G593" s="6">
        <f>HYPERLINK("https://map.naver.com/v5/search/35.5780788888881,128.894817000001","📍 네이버")</f>
        <v/>
      </c>
      <c r="H593" s="6">
        <f>HYPERLINK("https://map.kakao.com/link/map/삼각점동곡485,35.5780788888881,128.894817000001","📍 카카오")</f>
        <v/>
      </c>
    </row>
    <row r="594">
      <c r="A594" s="17" t="inlineStr">
        <is>
          <t>#149</t>
        </is>
      </c>
      <c r="B594" s="17" t="inlineStr">
        <is>
          <t>통합기준점</t>
        </is>
      </c>
      <c r="C594" s="17" t="inlineStr">
        <is>
          <t>U0825</t>
        </is>
      </c>
      <c r="D594" s="17" t="n">
        <v>2769</v>
      </c>
      <c r="E594" s="17" t="n">
        <v>35.5880336444436</v>
      </c>
      <c r="F594" s="17" t="n">
        <v>128.954138975001</v>
      </c>
      <c r="G594" s="18">
        <f>HYPERLINK("https://map.naver.com/v5/search/35.5880336444436,128.954138975001","📍 네이버")</f>
        <v/>
      </c>
      <c r="H594" s="18">
        <f>HYPERLINK("https://map.kakao.com/link/map/통합기준점U0825,35.5880336444436,128.954138975001","📍 카카오")</f>
        <v/>
      </c>
    </row>
    <row r="595">
      <c r="A595" s="17" t="inlineStr">
        <is>
          <t>#149</t>
        </is>
      </c>
      <c r="B595" s="17" t="inlineStr">
        <is>
          <t>통합기준점</t>
        </is>
      </c>
      <c r="C595" s="17" t="inlineStr">
        <is>
          <t>U동곡22</t>
        </is>
      </c>
      <c r="D595" s="17" t="n">
        <v>2974</v>
      </c>
      <c r="E595" s="17" t="n">
        <v>35.5620676833325</v>
      </c>
      <c r="F595" s="17" t="n">
        <v>128.942774819445</v>
      </c>
      <c r="G595" s="18">
        <f>HYPERLINK("https://map.naver.com/v5/search/35.5620676833325,128.942774819445","📍 네이버")</f>
        <v/>
      </c>
      <c r="H595" s="18">
        <f>HYPERLINK("https://map.kakao.com/link/map/통합기준점U동곡22,35.5620676833325,128.942774819445","📍 카카오")</f>
        <v/>
      </c>
    </row>
    <row r="596">
      <c r="A596" s="5" t="inlineStr">
        <is>
          <t>#149</t>
        </is>
      </c>
      <c r="B596" s="5" t="inlineStr">
        <is>
          <t>삼각점</t>
        </is>
      </c>
      <c r="C596" s="5" t="inlineStr">
        <is>
          <t>동곡488</t>
        </is>
      </c>
      <c r="D596" s="5" t="n">
        <v>3047</v>
      </c>
      <c r="E596" s="5" t="n">
        <v>35.5571147777769</v>
      </c>
      <c r="F596" s="5" t="n">
        <v>128.930600833334</v>
      </c>
      <c r="G596" s="6">
        <f>HYPERLINK("https://map.naver.com/v5/search/35.5571147777769,128.930600833334","📍 네이버")</f>
        <v/>
      </c>
      <c r="H596" s="6">
        <f>HYPERLINK("https://map.kakao.com/link/map/삼각점동곡488,35.5571147777769,128.930600833334","📍 카카오")</f>
        <v/>
      </c>
    </row>
    <row r="597">
      <c r="A597" s="5" t="inlineStr">
        <is>
          <t>#149</t>
        </is>
      </c>
      <c r="B597" s="5" t="inlineStr">
        <is>
          <t>삼각점</t>
        </is>
      </c>
      <c r="C597" s="5" t="inlineStr">
        <is>
          <t>동곡490</t>
        </is>
      </c>
      <c r="D597" s="5" t="n">
        <v>3128</v>
      </c>
      <c r="E597" s="5" t="n">
        <v>35.5782153055547</v>
      </c>
      <c r="F597" s="5" t="n">
        <v>128.957744250001</v>
      </c>
      <c r="G597" s="6">
        <f>HYPERLINK("https://map.naver.com/v5/search/35.5782153055547,128.957744250001","📍 네이버")</f>
        <v/>
      </c>
      <c r="H597" s="6">
        <f>HYPERLINK("https://map.kakao.com/link/map/삼각점동곡490,35.5782153055547,128.957744250001","📍 카카오")</f>
        <v/>
      </c>
    </row>
    <row r="598">
      <c r="A598" s="5" t="inlineStr">
        <is>
          <t>#149</t>
        </is>
      </c>
      <c r="B598" s="5" t="inlineStr">
        <is>
          <t>삼각점</t>
        </is>
      </c>
      <c r="C598" s="5" t="inlineStr">
        <is>
          <t>동곡442</t>
        </is>
      </c>
      <c r="D598" s="5" t="n">
        <v>3568</v>
      </c>
      <c r="E598" s="5" t="n">
        <v>35.5959585833325</v>
      </c>
      <c r="F598" s="5" t="n">
        <v>128.960543472223</v>
      </c>
      <c r="G598" s="6">
        <f>HYPERLINK("https://map.naver.com/v5/search/35.5959585833325,128.960543472223","📍 네이버")</f>
        <v/>
      </c>
      <c r="H598" s="6">
        <f>HYPERLINK("https://map.kakao.com/link/map/삼각점동곡442,35.5959585833325,128.960543472223","📍 카카오")</f>
        <v/>
      </c>
    </row>
    <row r="599">
      <c r="A599" s="5" t="inlineStr">
        <is>
          <t>#149</t>
        </is>
      </c>
      <c r="B599" s="5" t="inlineStr">
        <is>
          <t>삼각점</t>
        </is>
      </c>
      <c r="C599" s="5" t="inlineStr">
        <is>
          <t>동곡448</t>
        </is>
      </c>
      <c r="D599" s="5" t="n">
        <v>3614</v>
      </c>
      <c r="E599" s="5" t="n">
        <v>35.606201777777</v>
      </c>
      <c r="F599" s="5" t="n">
        <v>128.894728111112</v>
      </c>
      <c r="G599" s="6">
        <f>HYPERLINK("https://map.naver.com/v5/search/35.606201777777,128.894728111112","📍 네이버")</f>
        <v/>
      </c>
      <c r="H599" s="6">
        <f>HYPERLINK("https://map.kakao.com/link/map/삼각점동곡448,35.606201777777,128.894728111112","📍 카카오")</f>
        <v/>
      </c>
    </row>
    <row r="600">
      <c r="A600" s="17" t="inlineStr">
        <is>
          <t>#149</t>
        </is>
      </c>
      <c r="B600" s="17" t="inlineStr">
        <is>
          <t>통합기준점</t>
        </is>
      </c>
      <c r="C600" s="17" t="inlineStr">
        <is>
          <t>U0826</t>
        </is>
      </c>
      <c r="D600" s="17" t="n">
        <v>3926</v>
      </c>
      <c r="E600" s="17" t="n">
        <v>35.5845902194436</v>
      </c>
      <c r="F600" s="17" t="n">
        <v>128.880652022223</v>
      </c>
      <c r="G600" s="18">
        <f>HYPERLINK("https://map.naver.com/v5/search/35.5845902194436,128.880652022223","📍 네이버")</f>
        <v/>
      </c>
      <c r="H600" s="18">
        <f>HYPERLINK("https://map.kakao.com/link/map/통합기준점U0826,35.5845902194436,128.880652022223","📍 카카오")</f>
        <v/>
      </c>
    </row>
    <row r="601">
      <c r="A601" s="5" t="inlineStr">
        <is>
          <t>#149</t>
        </is>
      </c>
      <c r="B601" s="5" t="inlineStr">
        <is>
          <t>삼각점</t>
        </is>
      </c>
      <c r="C601" s="5" t="inlineStr">
        <is>
          <t>동곡317</t>
        </is>
      </c>
      <c r="D601" s="5" t="n">
        <v>4154</v>
      </c>
      <c r="E601" s="5" t="n">
        <v>35.6128726388881</v>
      </c>
      <c r="F601" s="5" t="n">
        <v>128.953227222223</v>
      </c>
      <c r="G601" s="6">
        <f>HYPERLINK("https://map.naver.com/v5/search/35.6128726388881,128.953227222223","📍 네이버")</f>
        <v/>
      </c>
      <c r="H601" s="6">
        <f>HYPERLINK("https://map.kakao.com/link/map/삼각점동곡317,35.6128726388881,128.953227222223","📍 카카오")</f>
        <v/>
      </c>
    </row>
    <row r="602">
      <c r="A602" s="5" t="inlineStr">
        <is>
          <t>#149</t>
        </is>
      </c>
      <c r="B602" s="5" t="inlineStr">
        <is>
          <t>삼각점</t>
        </is>
      </c>
      <c r="C602" s="5" t="inlineStr">
        <is>
          <t>동곡335</t>
        </is>
      </c>
      <c r="D602" s="5" t="n">
        <v>4403</v>
      </c>
      <c r="E602" s="5" t="n">
        <v>35.5478298055547</v>
      </c>
      <c r="F602" s="5" t="n">
        <v>128.904077527779</v>
      </c>
      <c r="G602" s="6">
        <f>HYPERLINK("https://map.naver.com/v5/search/35.5478298055547,128.904077527779","📍 네이버")</f>
        <v/>
      </c>
      <c r="H602" s="6">
        <f>HYPERLINK("https://map.kakao.com/link/map/삼각점동곡335,35.5478298055547,128.904077527779","📍 카카오")</f>
        <v/>
      </c>
    </row>
    <row r="604" ht="18" customHeight="1">
      <c r="A604" s="16" t="inlineStr">
        <is>
          <t>▶ P1 #150  (37.026°N, 128.950°E) / 국가점수 61.6점 / 기준점 4개</t>
        </is>
      </c>
    </row>
    <row r="605">
      <c r="A605" s="5" t="inlineStr">
        <is>
          <t>#150</t>
        </is>
      </c>
      <c r="B605" s="5" t="inlineStr">
        <is>
          <t>삼각점</t>
        </is>
      </c>
      <c r="C605" s="5" t="inlineStr">
        <is>
          <t>태백318</t>
        </is>
      </c>
      <c r="D605" s="5" t="n">
        <v>2183</v>
      </c>
      <c r="E605" s="5" t="n">
        <v>37.0432808055552</v>
      </c>
      <c r="F605" s="5" t="n">
        <v>128.962316416668</v>
      </c>
      <c r="G605" s="6">
        <f>HYPERLINK("https://map.naver.com/v5/search/37.0432808055552,128.962316416668","📍 네이버")</f>
        <v/>
      </c>
      <c r="H605" s="6">
        <f>HYPERLINK("https://map.kakao.com/link/map/삼각점태백318,37.0432808055552,128.962316416668","📍 카카오")</f>
        <v/>
      </c>
    </row>
    <row r="606">
      <c r="A606" s="5" t="inlineStr">
        <is>
          <t>#150</t>
        </is>
      </c>
      <c r="B606" s="5" t="inlineStr">
        <is>
          <t>삼각점</t>
        </is>
      </c>
      <c r="C606" s="5" t="inlineStr">
        <is>
          <t>태백317</t>
        </is>
      </c>
      <c r="D606" s="5" t="n">
        <v>4499</v>
      </c>
      <c r="E606" s="5" t="n">
        <v>37.0341143055552</v>
      </c>
      <c r="F606" s="5" t="n">
        <v>128.900869805556</v>
      </c>
      <c r="G606" s="6">
        <f>HYPERLINK("https://map.naver.com/v5/search/37.0341143055552,128.900869805556","📍 네이버")</f>
        <v/>
      </c>
      <c r="H606" s="6">
        <f>HYPERLINK("https://map.kakao.com/link/map/삼각점태백317,37.0341143055552,128.900869805556","📍 카카오")</f>
        <v/>
      </c>
    </row>
    <row r="607">
      <c r="A607" s="5" t="inlineStr">
        <is>
          <t>#150</t>
        </is>
      </c>
      <c r="B607" s="5" t="inlineStr">
        <is>
          <t>삼각점</t>
        </is>
      </c>
      <c r="C607" s="5" t="inlineStr">
        <is>
          <t>춘양305</t>
        </is>
      </c>
      <c r="D607" s="5" t="n">
        <v>4703</v>
      </c>
      <c r="E607" s="5" t="n">
        <v>37.0021934722218</v>
      </c>
      <c r="F607" s="5" t="n">
        <v>128.906765250001</v>
      </c>
      <c r="G607" s="6">
        <f>HYPERLINK("https://map.naver.com/v5/search/37.0021934722218,128.906765250001","📍 네이버")</f>
        <v/>
      </c>
      <c r="H607" s="6">
        <f>HYPERLINK("https://map.kakao.com/link/map/삼각점춘양305,37.0021934722218,128.906765250001","📍 카카오")</f>
        <v/>
      </c>
    </row>
    <row r="608">
      <c r="A608" s="5" t="inlineStr">
        <is>
          <t>#150</t>
        </is>
      </c>
      <c r="B608" s="5" t="inlineStr">
        <is>
          <t>삼각점</t>
        </is>
      </c>
      <c r="C608" s="5" t="inlineStr">
        <is>
          <t>춘양21</t>
        </is>
      </c>
      <c r="D608" s="5" t="n">
        <v>4747</v>
      </c>
      <c r="E608" s="5" t="n">
        <v>36.9904513611107</v>
      </c>
      <c r="F608" s="5" t="n">
        <v>128.920862583334</v>
      </c>
      <c r="G608" s="6">
        <f>HYPERLINK("https://map.naver.com/v5/search/36.9904513611107,128.920862583334","📍 네이버")</f>
        <v/>
      </c>
      <c r="H608" s="6">
        <f>HYPERLINK("https://map.kakao.com/link/map/삼각점춘양21,36.9904513611107,128.920862583334","📍 카카오")</f>
        <v/>
      </c>
    </row>
    <row r="610" ht="18" customHeight="1">
      <c r="A610" s="16" t="inlineStr">
        <is>
          <t>▶ P1 #152  (37.387°N, 128.957°E) / 국가점수 60.6점 / 기준점 14개</t>
        </is>
      </c>
    </row>
    <row r="611">
      <c r="A611" s="5" t="inlineStr">
        <is>
          <t>#152</t>
        </is>
      </c>
      <c r="B611" s="5" t="inlineStr">
        <is>
          <t>삼각점</t>
        </is>
      </c>
      <c r="C611" s="5" t="inlineStr">
        <is>
          <t>임계427</t>
        </is>
      </c>
      <c r="D611" s="5" t="n">
        <v>316</v>
      </c>
      <c r="E611" s="5" t="n">
        <v>37.3891536666664</v>
      </c>
      <c r="F611" s="5" t="n">
        <v>128.956035833334</v>
      </c>
      <c r="G611" s="6">
        <f>HYPERLINK("https://map.naver.com/v5/search/37.3891536666664,128.956035833334","📍 네이버")</f>
        <v/>
      </c>
      <c r="H611" s="6">
        <f>HYPERLINK("https://map.kakao.com/link/map/삼각점임계427,37.3891536666664,128.956035833334","📍 카카오")</f>
        <v/>
      </c>
    </row>
    <row r="612">
      <c r="A612" s="5" t="inlineStr">
        <is>
          <t>#152</t>
        </is>
      </c>
      <c r="B612" s="5" t="inlineStr">
        <is>
          <t>삼각점</t>
        </is>
      </c>
      <c r="C612" s="5" t="inlineStr">
        <is>
          <t>임계428</t>
        </is>
      </c>
      <c r="D612" s="5" t="n">
        <v>1968</v>
      </c>
      <c r="E612" s="5" t="n">
        <v>37.4032202499998</v>
      </c>
      <c r="F612" s="5" t="n">
        <v>128.949886027779</v>
      </c>
      <c r="G612" s="6">
        <f>HYPERLINK("https://map.naver.com/v5/search/37.4032202499998,128.949886027779","📍 네이버")</f>
        <v/>
      </c>
      <c r="H612" s="6">
        <f>HYPERLINK("https://map.kakao.com/link/map/삼각점임계428,37.4032202499998,128.949886027779","📍 카카오")</f>
        <v/>
      </c>
    </row>
    <row r="613">
      <c r="A613" s="5" t="inlineStr">
        <is>
          <t>#152</t>
        </is>
      </c>
      <c r="B613" s="5" t="inlineStr">
        <is>
          <t>삼각점</t>
        </is>
      </c>
      <c r="C613" s="5" t="inlineStr">
        <is>
          <t>임계430</t>
        </is>
      </c>
      <c r="D613" s="5" t="n">
        <v>2055</v>
      </c>
      <c r="E613" s="5" t="n">
        <v>37.379891972222</v>
      </c>
      <c r="F613" s="5" t="n">
        <v>128.935668111112</v>
      </c>
      <c r="G613" s="6">
        <f>HYPERLINK("https://map.naver.com/v5/search/37.379891972222,128.935668111112","📍 네이버")</f>
        <v/>
      </c>
      <c r="H613" s="6">
        <f>HYPERLINK("https://map.kakao.com/link/map/삼각점임계430,37.379891972222,128.935668111112","📍 카카오")</f>
        <v/>
      </c>
    </row>
    <row r="614">
      <c r="A614" s="5" t="inlineStr">
        <is>
          <t>#152</t>
        </is>
      </c>
      <c r="B614" s="5" t="inlineStr">
        <is>
          <t>삼각점</t>
        </is>
      </c>
      <c r="C614" s="5" t="inlineStr">
        <is>
          <t>임계308</t>
        </is>
      </c>
      <c r="D614" s="5" t="n">
        <v>2308</v>
      </c>
      <c r="E614" s="5" t="n">
        <v>37.3661338611109</v>
      </c>
      <c r="F614" s="5" t="n">
        <v>128.962581111112</v>
      </c>
      <c r="G614" s="6">
        <f>HYPERLINK("https://map.naver.com/v5/search/37.3661338611109,128.962581111112","📍 네이버")</f>
        <v/>
      </c>
      <c r="H614" s="6">
        <f>HYPERLINK("https://map.kakao.com/link/map/삼각점임계308,37.3661338611109,128.962581111112","📍 카카오")</f>
        <v/>
      </c>
    </row>
    <row r="615">
      <c r="A615" s="5" t="inlineStr">
        <is>
          <t>#152</t>
        </is>
      </c>
      <c r="B615" s="5" t="inlineStr">
        <is>
          <t>삼각점</t>
        </is>
      </c>
      <c r="C615" s="5" t="inlineStr">
        <is>
          <t>임계307</t>
        </is>
      </c>
      <c r="D615" s="5" t="n">
        <v>2783</v>
      </c>
      <c r="E615" s="5" t="n">
        <v>37.4036198333331</v>
      </c>
      <c r="F615" s="5" t="n">
        <v>128.98034163889</v>
      </c>
      <c r="G615" s="6">
        <f>HYPERLINK("https://map.naver.com/v5/search/37.4036198333331,128.98034163889","📍 네이버")</f>
        <v/>
      </c>
      <c r="H615" s="6">
        <f>HYPERLINK("https://map.kakao.com/link/map/삼각점임계307,37.4036198333331,128.98034163889","📍 카카오")</f>
        <v/>
      </c>
    </row>
    <row r="616">
      <c r="A616" s="17" t="inlineStr">
        <is>
          <t>#152</t>
        </is>
      </c>
      <c r="B616" s="17" t="inlineStr">
        <is>
          <t>통합기준점</t>
        </is>
      </c>
      <c r="C616" s="17" t="inlineStr">
        <is>
          <t>U임계01</t>
        </is>
      </c>
      <c r="D616" s="17" t="n">
        <v>3023</v>
      </c>
      <c r="E616" s="17" t="n">
        <v>37.3812568694442</v>
      </c>
      <c r="F616" s="17" t="n">
        <v>128.923844050001</v>
      </c>
      <c r="G616" s="18">
        <f>HYPERLINK("https://map.naver.com/v5/search/37.3812568694442,128.923844050001","📍 네이버")</f>
        <v/>
      </c>
      <c r="H616" s="18">
        <f>HYPERLINK("https://map.kakao.com/link/map/통합기준점U임계01,37.3812568694442,128.923844050001","📍 카카오")</f>
        <v/>
      </c>
    </row>
    <row r="617">
      <c r="A617" s="5" t="inlineStr">
        <is>
          <t>#152</t>
        </is>
      </c>
      <c r="B617" s="5" t="inlineStr">
        <is>
          <t>삼각점</t>
        </is>
      </c>
      <c r="C617" s="5" t="inlineStr">
        <is>
          <t>임계426</t>
        </is>
      </c>
      <c r="D617" s="5" t="n">
        <v>3282</v>
      </c>
      <c r="E617" s="5" t="n">
        <v>37.3788333055553</v>
      </c>
      <c r="F617" s="5" t="n">
        <v>128.993141527779</v>
      </c>
      <c r="G617" s="6">
        <f>HYPERLINK("https://map.naver.com/v5/search/37.3788333055553,128.993141527779","📍 네이버")</f>
        <v/>
      </c>
      <c r="H617" s="6">
        <f>HYPERLINK("https://map.kakao.com/link/map/삼각점임계426,37.3788333055553,128.993141527779","📍 카카오")</f>
        <v/>
      </c>
    </row>
    <row r="618">
      <c r="A618" s="5" t="inlineStr">
        <is>
          <t>#152</t>
        </is>
      </c>
      <c r="B618" s="5" t="inlineStr">
        <is>
          <t>삼각점</t>
        </is>
      </c>
      <c r="C618" s="5" t="inlineStr">
        <is>
          <t>임계429</t>
        </is>
      </c>
      <c r="D618" s="5" t="n">
        <v>3459</v>
      </c>
      <c r="E618" s="5" t="n">
        <v>37.3582273055553</v>
      </c>
      <c r="F618" s="5" t="n">
        <v>128.940918277779</v>
      </c>
      <c r="G618" s="6">
        <f>HYPERLINK("https://map.naver.com/v5/search/37.3582273055553,128.940918277779","📍 네이버")</f>
        <v/>
      </c>
      <c r="H618" s="6">
        <f>HYPERLINK("https://map.kakao.com/link/map/삼각점임계429,37.3582273055553,128.940918277779","📍 카카오")</f>
        <v/>
      </c>
    </row>
    <row r="619">
      <c r="A619" s="5" t="inlineStr">
        <is>
          <t>#152</t>
        </is>
      </c>
      <c r="B619" s="5" t="inlineStr">
        <is>
          <t>삼각점</t>
        </is>
      </c>
      <c r="C619" s="5" t="inlineStr">
        <is>
          <t>임계309</t>
        </is>
      </c>
      <c r="D619" s="5" t="n">
        <v>3820</v>
      </c>
      <c r="E619" s="5" t="n">
        <v>37.3984741388887</v>
      </c>
      <c r="F619" s="5" t="n">
        <v>128.916887027779</v>
      </c>
      <c r="G619" s="6">
        <f>HYPERLINK("https://map.naver.com/v5/search/37.3984741388887,128.916887027779","📍 네이버")</f>
        <v/>
      </c>
      <c r="H619" s="6">
        <f>HYPERLINK("https://map.kakao.com/link/map/삼각점임계309,37.3984741388887,128.916887027779","📍 카카오")</f>
        <v/>
      </c>
    </row>
    <row r="620">
      <c r="A620" s="17" t="inlineStr">
        <is>
          <t>#152</t>
        </is>
      </c>
      <c r="B620" s="17" t="inlineStr">
        <is>
          <t>통합기준점</t>
        </is>
      </c>
      <c r="C620" s="17" t="inlineStr">
        <is>
          <t>U삼척09</t>
        </is>
      </c>
      <c r="D620" s="17" t="n">
        <v>4015</v>
      </c>
      <c r="E620" s="17" t="n">
        <v>37.3872018499998</v>
      </c>
      <c r="F620" s="17" t="n">
        <v>129.002686716668</v>
      </c>
      <c r="G620" s="18">
        <f>HYPERLINK("https://map.naver.com/v5/search/37.3872018499998,129.002686716668","📍 네이버")</f>
        <v/>
      </c>
      <c r="H620" s="18">
        <f>HYPERLINK("https://map.kakao.com/link/map/통합기준점U삼척09,37.3872018499998,129.002686716668","📍 카카오")</f>
        <v/>
      </c>
    </row>
    <row r="621">
      <c r="A621" s="17" t="inlineStr">
        <is>
          <t>#152</t>
        </is>
      </c>
      <c r="B621" s="17" t="inlineStr">
        <is>
          <t>통합기준점</t>
        </is>
      </c>
      <c r="C621" s="17" t="inlineStr">
        <is>
          <t>U임계34</t>
        </is>
      </c>
      <c r="D621" s="17" t="n">
        <v>4340</v>
      </c>
      <c r="E621" s="17" t="n">
        <v>37.3517708944442</v>
      </c>
      <c r="F621" s="17" t="n">
        <v>128.934824858334</v>
      </c>
      <c r="G621" s="18">
        <f>HYPERLINK("https://map.naver.com/v5/search/37.3517708944442,128.934824858334","📍 네이버")</f>
        <v/>
      </c>
      <c r="H621" s="18">
        <f>HYPERLINK("https://map.kakao.com/link/map/통합기준점U임계34,37.3517708944442,128.934824858334","📍 카카오")</f>
        <v/>
      </c>
    </row>
    <row r="622">
      <c r="A622" s="5" t="inlineStr">
        <is>
          <t>#152</t>
        </is>
      </c>
      <c r="B622" s="5" t="inlineStr">
        <is>
          <t>삼각점</t>
        </is>
      </c>
      <c r="C622" s="5" t="inlineStr">
        <is>
          <t>삼척442</t>
        </is>
      </c>
      <c r="D622" s="5" t="n">
        <v>4484</v>
      </c>
      <c r="E622" s="5" t="n">
        <v>37.4010454999998</v>
      </c>
      <c r="F622" s="5" t="n">
        <v>129.004612305557</v>
      </c>
      <c r="G622" s="6">
        <f>HYPERLINK("https://map.naver.com/v5/search/37.4010454999998,129.004612305557","📍 네이버")</f>
        <v/>
      </c>
      <c r="H622" s="6">
        <f>HYPERLINK("https://map.kakao.com/link/map/삼각점삼척442,37.4010454999998,129.004612305557","📍 카카오")</f>
        <v/>
      </c>
    </row>
    <row r="623">
      <c r="A623" s="17" t="inlineStr">
        <is>
          <t>#152</t>
        </is>
      </c>
      <c r="B623" s="17" t="inlineStr">
        <is>
          <t>통합기준점</t>
        </is>
      </c>
      <c r="C623" s="17" t="inlineStr">
        <is>
          <t>U0273</t>
        </is>
      </c>
      <c r="D623" s="17" t="n">
        <v>4856</v>
      </c>
      <c r="E623" s="17" t="n">
        <v>37.3431084861109</v>
      </c>
      <c r="F623" s="17" t="n">
        <v>128.950280027779</v>
      </c>
      <c r="G623" s="18">
        <f>HYPERLINK("https://map.naver.com/v5/search/37.3431084861109,128.950280027779","📍 네이버")</f>
        <v/>
      </c>
      <c r="H623" s="18">
        <f>HYPERLINK("https://map.kakao.com/link/map/통합기준점U0273,37.3431084861109,128.950280027779","📍 카카오")</f>
        <v/>
      </c>
    </row>
    <row r="624">
      <c r="A624" s="5" t="inlineStr">
        <is>
          <t>#152</t>
        </is>
      </c>
      <c r="B624" s="5" t="inlineStr">
        <is>
          <t>삼각점</t>
        </is>
      </c>
      <c r="C624" s="5" t="inlineStr">
        <is>
          <t>임계425</t>
        </is>
      </c>
      <c r="D624" s="5" t="n">
        <v>4971</v>
      </c>
      <c r="E624" s="5" t="n">
        <v>37.3536424999997</v>
      </c>
      <c r="F624" s="5" t="n">
        <v>128.995498194446</v>
      </c>
      <c r="G624" s="6">
        <f>HYPERLINK("https://map.naver.com/v5/search/37.3536424999997,128.995498194446","📍 네이버")</f>
        <v/>
      </c>
      <c r="H624" s="6">
        <f>HYPERLINK("https://map.kakao.com/link/map/삼각점임계425,37.3536424999997,128.995498194446","📍 카카오")</f>
        <v/>
      </c>
    </row>
    <row r="626" ht="18" customHeight="1">
      <c r="A626" s="16" t="inlineStr">
        <is>
          <t>▶ P1 #154  (35.493°N, 129.033°E) / 국가점수 58.6점 / 기준점 13개</t>
        </is>
      </c>
    </row>
    <row r="627">
      <c r="A627" s="5" t="inlineStr">
        <is>
          <t>#154</t>
        </is>
      </c>
      <c r="B627" s="5" t="inlineStr">
        <is>
          <t>삼각점</t>
        </is>
      </c>
      <c r="C627" s="5" t="inlineStr">
        <is>
          <t>양산404</t>
        </is>
      </c>
      <c r="D627" s="5" t="n">
        <v>843</v>
      </c>
      <c r="E627" s="5" t="n">
        <v>35.4978512499991</v>
      </c>
      <c r="F627" s="5" t="n">
        <v>129.039249944446</v>
      </c>
      <c r="G627" s="6">
        <f>HYPERLINK("https://map.naver.com/v5/search/35.4978512499991,129.039249944446","📍 네이버")</f>
        <v/>
      </c>
      <c r="H627" s="6">
        <f>HYPERLINK("https://map.kakao.com/link/map/삼각점양산404,35.4978512499991,129.039249944446","📍 카카오")</f>
        <v/>
      </c>
    </row>
    <row r="628">
      <c r="A628" s="5" t="inlineStr">
        <is>
          <t>#154</t>
        </is>
      </c>
      <c r="B628" s="5" t="inlineStr">
        <is>
          <t>삼각점</t>
        </is>
      </c>
      <c r="C628" s="5" t="inlineStr">
        <is>
          <t>양산21</t>
        </is>
      </c>
      <c r="D628" s="5" t="n">
        <v>958</v>
      </c>
      <c r="E628" s="5" t="n">
        <v>35.497049138888</v>
      </c>
      <c r="F628" s="5" t="n">
        <v>129.023572611112</v>
      </c>
      <c r="G628" s="6">
        <f>HYPERLINK("https://map.naver.com/v5/search/35.497049138888,129.023572611112","📍 네이버")</f>
        <v/>
      </c>
      <c r="H628" s="6">
        <f>HYPERLINK("https://map.kakao.com/link/map/삼각점양산21,35.497049138888,129.023572611112","📍 카카오")</f>
        <v/>
      </c>
    </row>
    <row r="629">
      <c r="A629" s="5" t="inlineStr">
        <is>
          <t>#154</t>
        </is>
      </c>
      <c r="B629" s="5" t="inlineStr">
        <is>
          <t>삼각점</t>
        </is>
      </c>
      <c r="C629" s="5" t="inlineStr">
        <is>
          <t>양산403</t>
        </is>
      </c>
      <c r="D629" s="5" t="n">
        <v>1404</v>
      </c>
      <c r="E629" s="5" t="n">
        <v>35.4826386944436</v>
      </c>
      <c r="F629" s="5" t="n">
        <v>129.042221527779</v>
      </c>
      <c r="G629" s="6">
        <f>HYPERLINK("https://map.naver.com/v5/search/35.4826386944436,129.042221527779","📍 네이버")</f>
        <v/>
      </c>
      <c r="H629" s="6">
        <f>HYPERLINK("https://map.kakao.com/link/map/삼각점양산403,35.4826386944436,129.042221527779","📍 카카오")</f>
        <v/>
      </c>
    </row>
    <row r="630">
      <c r="A630" s="5" t="inlineStr">
        <is>
          <t>#154</t>
        </is>
      </c>
      <c r="B630" s="5" t="inlineStr">
        <is>
          <t>삼각점</t>
        </is>
      </c>
      <c r="C630" s="5" t="inlineStr">
        <is>
          <t>양산401</t>
        </is>
      </c>
      <c r="D630" s="5" t="n">
        <v>2412</v>
      </c>
      <c r="E630" s="5" t="n">
        <v>35.4708610277769</v>
      </c>
      <c r="F630" s="5" t="n">
        <v>129.030760250001</v>
      </c>
      <c r="G630" s="6">
        <f>HYPERLINK("https://map.naver.com/v5/search/35.4708610277769,129.030760250001","📍 네이버")</f>
        <v/>
      </c>
      <c r="H630" s="6">
        <f>HYPERLINK("https://map.kakao.com/link/map/삼각점양산401,35.4708610277769,129.030760250001","📍 카카오")</f>
        <v/>
      </c>
    </row>
    <row r="631">
      <c r="A631" s="5" t="inlineStr">
        <is>
          <t>#154</t>
        </is>
      </c>
      <c r="B631" s="5" t="inlineStr">
        <is>
          <t>삼각점</t>
        </is>
      </c>
      <c r="C631" s="5" t="inlineStr">
        <is>
          <t>언양452</t>
        </is>
      </c>
      <c r="D631" s="5" t="n">
        <v>3178</v>
      </c>
      <c r="E631" s="5" t="n">
        <v>35.5160215277769</v>
      </c>
      <c r="F631" s="5" t="n">
        <v>129.052676694446</v>
      </c>
      <c r="G631" s="6">
        <f>HYPERLINK("https://map.naver.com/v5/search/35.5160215277769,129.052676694446","📍 네이버")</f>
        <v/>
      </c>
      <c r="H631" s="6">
        <f>HYPERLINK("https://map.kakao.com/link/map/삼각점언양452,35.5160215277769,129.052676694446","📍 카카오")</f>
        <v/>
      </c>
    </row>
    <row r="632">
      <c r="A632" s="17" t="inlineStr">
        <is>
          <t>#154</t>
        </is>
      </c>
      <c r="B632" s="17" t="inlineStr">
        <is>
          <t>통합기준점</t>
        </is>
      </c>
      <c r="C632" s="17" t="inlineStr">
        <is>
          <t>U언양32</t>
        </is>
      </c>
      <c r="D632" s="17" t="n">
        <v>3371</v>
      </c>
      <c r="E632" s="17" t="n">
        <v>35.505348113888</v>
      </c>
      <c r="F632" s="17" t="n">
        <v>128.998887300001</v>
      </c>
      <c r="G632" s="18">
        <f>HYPERLINK("https://map.naver.com/v5/search/35.505348113888,128.998887300001","📍 네이버")</f>
        <v/>
      </c>
      <c r="H632" s="18">
        <f>HYPERLINK("https://map.kakao.com/link/map/통합기준점U언양32,35.505348113888,128.998887300001","📍 카카오")</f>
        <v/>
      </c>
    </row>
    <row r="633">
      <c r="A633" s="5" t="inlineStr">
        <is>
          <t>#154</t>
        </is>
      </c>
      <c r="B633" s="5" t="inlineStr">
        <is>
          <t>삼각점</t>
        </is>
      </c>
      <c r="C633" s="5" t="inlineStr">
        <is>
          <t>양산407</t>
        </is>
      </c>
      <c r="D633" s="5" t="n">
        <v>3485</v>
      </c>
      <c r="E633" s="5" t="n">
        <v>35.5019633055547</v>
      </c>
      <c r="F633" s="5" t="n">
        <v>129.069236166668</v>
      </c>
      <c r="G633" s="6">
        <f>HYPERLINK("https://map.naver.com/v5/search/35.5019633055547,129.069236166668","📍 네이버")</f>
        <v/>
      </c>
      <c r="H633" s="6">
        <f>HYPERLINK("https://map.kakao.com/link/map/삼각점양산407,35.5019633055547,129.069236166668","📍 카카오")</f>
        <v/>
      </c>
    </row>
    <row r="634">
      <c r="A634" s="5" t="inlineStr">
        <is>
          <t>#154</t>
        </is>
      </c>
      <c r="B634" s="5" t="inlineStr">
        <is>
          <t>삼각점</t>
        </is>
      </c>
      <c r="C634" s="5" t="inlineStr">
        <is>
          <t>양산302</t>
        </is>
      </c>
      <c r="D634" s="5" t="n">
        <v>3548</v>
      </c>
      <c r="E634" s="5" t="n">
        <v>35.4763659166658</v>
      </c>
      <c r="F634" s="5" t="n">
        <v>129.066312444446</v>
      </c>
      <c r="G634" s="6">
        <f>HYPERLINK("https://map.naver.com/v5/search/35.4763659166658,129.066312444446","📍 네이버")</f>
        <v/>
      </c>
      <c r="H634" s="6">
        <f>HYPERLINK("https://map.kakao.com/link/map/삼각점양산302,35.4763659166658,129.066312444446","📍 카카오")</f>
        <v/>
      </c>
    </row>
    <row r="635">
      <c r="A635" s="17" t="inlineStr">
        <is>
          <t>#154</t>
        </is>
      </c>
      <c r="B635" s="17" t="inlineStr">
        <is>
          <t>통합기준점</t>
        </is>
      </c>
      <c r="C635" s="17" t="inlineStr">
        <is>
          <t>U밀양08</t>
        </is>
      </c>
      <c r="D635" s="17" t="n">
        <v>4102</v>
      </c>
      <c r="E635" s="17" t="n">
        <v>35.4883589111103</v>
      </c>
      <c r="F635" s="17" t="n">
        <v>128.98767218889</v>
      </c>
      <c r="G635" s="18">
        <f>HYPERLINK("https://map.naver.com/v5/search/35.4883589111103,128.98767218889","📍 네이버")</f>
        <v/>
      </c>
      <c r="H635" s="18">
        <f>HYPERLINK("https://map.kakao.com/link/map/통합기준점U밀양08,35.4883589111103,128.98767218889","📍 카카오")</f>
        <v/>
      </c>
    </row>
    <row r="636">
      <c r="A636" s="5" t="inlineStr">
        <is>
          <t>#154</t>
        </is>
      </c>
      <c r="B636" s="5" t="inlineStr">
        <is>
          <t>삼각점</t>
        </is>
      </c>
      <c r="C636" s="5" t="inlineStr">
        <is>
          <t>밀양423</t>
        </is>
      </c>
      <c r="D636" s="5" t="n">
        <v>4482</v>
      </c>
      <c r="E636" s="5" t="n">
        <v>35.4818323333325</v>
      </c>
      <c r="F636" s="5" t="n">
        <v>128.984964527779</v>
      </c>
      <c r="G636" s="6">
        <f>HYPERLINK("https://map.naver.com/v5/search/35.4818323333325,128.984964527779","📍 네이버")</f>
        <v/>
      </c>
      <c r="H636" s="6">
        <f>HYPERLINK("https://map.kakao.com/link/map/삼각점밀양423,35.4818323333325,128.984964527779","📍 카카오")</f>
        <v/>
      </c>
    </row>
    <row r="637">
      <c r="A637" s="5" t="inlineStr">
        <is>
          <t>#154</t>
        </is>
      </c>
      <c r="B637" s="5" t="inlineStr">
        <is>
          <t>삼각점</t>
        </is>
      </c>
      <c r="C637" s="5" t="inlineStr">
        <is>
          <t>양산402</t>
        </is>
      </c>
      <c r="D637" s="5" t="n">
        <v>4687</v>
      </c>
      <c r="E637" s="5" t="n">
        <v>35.4503067777769</v>
      </c>
      <c r="F637" s="5" t="n">
        <v>129.033590083335</v>
      </c>
      <c r="G637" s="6">
        <f>HYPERLINK("https://map.naver.com/v5/search/35.4503067777769,129.033590083335","📍 네이버")</f>
        <v/>
      </c>
      <c r="H637" s="6">
        <f>HYPERLINK("https://map.kakao.com/link/map/삼각점양산402,35.4503067777769,129.033590083335","📍 카카오")</f>
        <v/>
      </c>
    </row>
    <row r="638">
      <c r="A638" s="5" t="inlineStr">
        <is>
          <t>#154</t>
        </is>
      </c>
      <c r="B638" s="5" t="inlineStr">
        <is>
          <t>삼각점</t>
        </is>
      </c>
      <c r="C638" s="5" t="inlineStr">
        <is>
          <t>언양451</t>
        </is>
      </c>
      <c r="D638" s="5" t="n">
        <v>4722</v>
      </c>
      <c r="E638" s="5" t="n">
        <v>35.5339386944436</v>
      </c>
      <c r="F638" s="5" t="n">
        <v>129.020422305557</v>
      </c>
      <c r="G638" s="6">
        <f>HYPERLINK("https://map.naver.com/v5/search/35.5339386944436,129.020422305557","📍 네이버")</f>
        <v/>
      </c>
      <c r="H638" s="6">
        <f>HYPERLINK("https://map.kakao.com/link/map/삼각점언양451,35.5339386944436,129.020422305557","📍 카카오")</f>
        <v/>
      </c>
    </row>
    <row r="639">
      <c r="A639" s="17" t="inlineStr">
        <is>
          <t>#154</t>
        </is>
      </c>
      <c r="B639" s="17" t="inlineStr">
        <is>
          <t>통합기준점</t>
        </is>
      </c>
      <c r="C639" s="17" t="inlineStr">
        <is>
          <t>U양산06</t>
        </is>
      </c>
      <c r="D639" s="17" t="n">
        <v>4942</v>
      </c>
      <c r="E639" s="17" t="n">
        <v>35.4489846916658</v>
      </c>
      <c r="F639" s="17" t="n">
        <v>129.021184100001</v>
      </c>
      <c r="G639" s="18">
        <f>HYPERLINK("https://map.naver.com/v5/search/35.4489846916658,129.021184100001","📍 네이버")</f>
        <v/>
      </c>
      <c r="H639" s="18">
        <f>HYPERLINK("https://map.kakao.com/link/map/통합기준점U양산06,35.4489846916658,129.021184100001","📍 카카오")</f>
        <v/>
      </c>
    </row>
    <row r="641" ht="18" customHeight="1">
      <c r="A641" s="16" t="inlineStr">
        <is>
          <t>▶ P1 #155  (35.673°N, 129.036°E) / 국가점수 61.5점 / 기준점 14개</t>
        </is>
      </c>
    </row>
    <row r="642">
      <c r="A642" s="5" t="inlineStr">
        <is>
          <t>#155</t>
        </is>
      </c>
      <c r="B642" s="5" t="inlineStr">
        <is>
          <t>삼각점</t>
        </is>
      </c>
      <c r="C642" s="5" t="inlineStr">
        <is>
          <t>언양301</t>
        </is>
      </c>
      <c r="D642" s="5" t="n">
        <v>402</v>
      </c>
      <c r="E642" s="5" t="n">
        <v>35.6761084999992</v>
      </c>
      <c r="F642" s="5" t="n">
        <v>129.034158083335</v>
      </c>
      <c r="G642" s="6">
        <f>HYPERLINK("https://map.naver.com/v5/search/35.6761084999992,129.034158083335","📍 네이버")</f>
        <v/>
      </c>
      <c r="H642" s="6">
        <f>HYPERLINK("https://map.kakao.com/link/map/삼각점언양301,35.6761084999992,129.034158083335","📍 카카오")</f>
        <v/>
      </c>
    </row>
    <row r="643">
      <c r="A643" s="17" t="inlineStr">
        <is>
          <t>#155</t>
        </is>
      </c>
      <c r="B643" s="17" t="inlineStr">
        <is>
          <t>통합기준점</t>
        </is>
      </c>
      <c r="C643" s="17" t="inlineStr">
        <is>
          <t>U언양10</t>
        </is>
      </c>
      <c r="D643" s="17" t="n">
        <v>1398</v>
      </c>
      <c r="E643" s="17" t="n">
        <v>35.6729169749992</v>
      </c>
      <c r="F643" s="17" t="n">
        <v>129.051476150001</v>
      </c>
      <c r="G643" s="18">
        <f>HYPERLINK("https://map.naver.com/v5/search/35.6729169749992,129.051476150001","📍 네이버")</f>
        <v/>
      </c>
      <c r="H643" s="18">
        <f>HYPERLINK("https://map.kakao.com/link/map/통합기준점U언양10,35.6729169749992,129.051476150001","📍 카카오")</f>
        <v/>
      </c>
    </row>
    <row r="644">
      <c r="A644" s="5" t="inlineStr">
        <is>
          <t>#155</t>
        </is>
      </c>
      <c r="B644" s="5" t="inlineStr">
        <is>
          <t>삼각점</t>
        </is>
      </c>
      <c r="C644" s="5" t="inlineStr">
        <is>
          <t>언양447</t>
        </is>
      </c>
      <c r="D644" s="5" t="n">
        <v>2690</v>
      </c>
      <c r="E644" s="5" t="n">
        <v>35.6503206388881</v>
      </c>
      <c r="F644" s="5" t="n">
        <v>129.047096527779</v>
      </c>
      <c r="G644" s="6">
        <f>HYPERLINK("https://map.naver.com/v5/search/35.6503206388881,129.047096527779","📍 네이버")</f>
        <v/>
      </c>
      <c r="H644" s="6">
        <f>HYPERLINK("https://map.kakao.com/link/map/삼각점언양447,35.6503206388881,129.047096527779","📍 카카오")</f>
        <v/>
      </c>
    </row>
    <row r="645">
      <c r="A645" s="5" t="inlineStr">
        <is>
          <t>#155</t>
        </is>
      </c>
      <c r="B645" s="5" t="inlineStr">
        <is>
          <t>삼각점</t>
        </is>
      </c>
      <c r="C645" s="5" t="inlineStr">
        <is>
          <t>언양444</t>
        </is>
      </c>
      <c r="D645" s="5" t="n">
        <v>3070</v>
      </c>
      <c r="E645" s="5" t="n">
        <v>35.6619811944436</v>
      </c>
      <c r="F645" s="5" t="n">
        <v>129.067227694446</v>
      </c>
      <c r="G645" s="6">
        <f>HYPERLINK("https://map.naver.com/v5/search/35.6619811944436,129.067227694446","📍 네이버")</f>
        <v/>
      </c>
      <c r="H645" s="6">
        <f>HYPERLINK("https://map.kakao.com/link/map/삼각점언양444,35.6619811944436,129.067227694446","📍 카카오")</f>
        <v/>
      </c>
    </row>
    <row r="646">
      <c r="A646" s="5" t="inlineStr">
        <is>
          <t>#155</t>
        </is>
      </c>
      <c r="B646" s="5" t="inlineStr">
        <is>
          <t>삼각점</t>
        </is>
      </c>
      <c r="C646" s="5" t="inlineStr">
        <is>
          <t>언양449</t>
        </is>
      </c>
      <c r="D646" s="5" t="n">
        <v>3107</v>
      </c>
      <c r="E646" s="5" t="n">
        <v>35.6463765833325</v>
      </c>
      <c r="F646" s="5" t="n">
        <v>129.024710972223</v>
      </c>
      <c r="G646" s="6">
        <f>HYPERLINK("https://map.naver.com/v5/search/35.6463765833325,129.024710972223","📍 네이버")</f>
        <v/>
      </c>
      <c r="H646" s="6">
        <f>HYPERLINK("https://map.kakao.com/link/map/삼각점언양449,35.6463765833325,129.024710972223","📍 카카오")</f>
        <v/>
      </c>
    </row>
    <row r="647">
      <c r="A647" s="5" t="inlineStr">
        <is>
          <t>#155</t>
        </is>
      </c>
      <c r="B647" s="5" t="inlineStr">
        <is>
          <t>삼각점</t>
        </is>
      </c>
      <c r="C647" s="5" t="inlineStr">
        <is>
          <t>언양405</t>
        </is>
      </c>
      <c r="D647" s="5" t="n">
        <v>3245</v>
      </c>
      <c r="E647" s="5" t="n">
        <v>35.7007289444436</v>
      </c>
      <c r="F647" s="5" t="n">
        <v>129.04676213889</v>
      </c>
      <c r="G647" s="6">
        <f>HYPERLINK("https://map.naver.com/v5/search/35.7007289444436,129.04676213889","📍 네이버")</f>
        <v/>
      </c>
      <c r="H647" s="6">
        <f>HYPERLINK("https://map.kakao.com/link/map/삼각점언양405,35.7007289444436,129.04676213889","📍 카카오")</f>
        <v/>
      </c>
    </row>
    <row r="648">
      <c r="A648" s="5" t="inlineStr">
        <is>
          <t>#155</t>
        </is>
      </c>
      <c r="B648" s="5" t="inlineStr">
        <is>
          <t>삼각점</t>
        </is>
      </c>
      <c r="C648" s="5" t="inlineStr">
        <is>
          <t>언양401</t>
        </is>
      </c>
      <c r="D648" s="5" t="n">
        <v>3541</v>
      </c>
      <c r="E648" s="5" t="n">
        <v>35.6813981944436</v>
      </c>
      <c r="F648" s="5" t="n">
        <v>128.998344361112</v>
      </c>
      <c r="G648" s="6">
        <f>HYPERLINK("https://map.naver.com/v5/search/35.6813981944436,128.998344361112","📍 네이버")</f>
        <v/>
      </c>
      <c r="H648" s="6">
        <f>HYPERLINK("https://map.kakao.com/link/map/삼각점언양401,35.6813981944436,128.998344361112","📍 카카오")</f>
        <v/>
      </c>
    </row>
    <row r="649">
      <c r="A649" s="5" t="inlineStr">
        <is>
          <t>#155</t>
        </is>
      </c>
      <c r="B649" s="5" t="inlineStr">
        <is>
          <t>삼각점</t>
        </is>
      </c>
      <c r="C649" s="5" t="inlineStr">
        <is>
          <t>동곡441</t>
        </is>
      </c>
      <c r="D649" s="5" t="n">
        <v>3844</v>
      </c>
      <c r="E649" s="5" t="n">
        <v>35.6645813611103</v>
      </c>
      <c r="F649" s="5" t="n">
        <v>128.994783750001</v>
      </c>
      <c r="G649" s="6">
        <f>HYPERLINK("https://map.naver.com/v5/search/35.6645813611103,128.994783750001","📍 네이버")</f>
        <v/>
      </c>
      <c r="H649" s="6">
        <f>HYPERLINK("https://map.kakao.com/link/map/삼각점동곡441,35.6645813611103,128.994783750001","📍 카카오")</f>
        <v/>
      </c>
    </row>
    <row r="650">
      <c r="A650" s="5" t="inlineStr">
        <is>
          <t>#155</t>
        </is>
      </c>
      <c r="B650" s="5" t="inlineStr">
        <is>
          <t>삼각점</t>
        </is>
      </c>
      <c r="C650" s="5" t="inlineStr">
        <is>
          <t>언양23</t>
        </is>
      </c>
      <c r="D650" s="5" t="n">
        <v>3856</v>
      </c>
      <c r="E650" s="5" t="n">
        <v>35.6469699444436</v>
      </c>
      <c r="F650" s="5" t="n">
        <v>129.064498805557</v>
      </c>
      <c r="G650" s="6">
        <f>HYPERLINK("https://map.naver.com/v5/search/35.6469699444436,129.064498805557","📍 네이버")</f>
        <v/>
      </c>
      <c r="H650" s="6">
        <f>HYPERLINK("https://map.kakao.com/link/map/삼각점언양23,35.6469699444436,129.064498805557","📍 카카오")</f>
        <v/>
      </c>
    </row>
    <row r="651">
      <c r="A651" s="5" t="inlineStr">
        <is>
          <t>#155</t>
        </is>
      </c>
      <c r="B651" s="5" t="inlineStr">
        <is>
          <t>삼각점</t>
        </is>
      </c>
      <c r="C651" s="5" t="inlineStr">
        <is>
          <t>언양407</t>
        </is>
      </c>
      <c r="D651" s="5" t="n">
        <v>4015</v>
      </c>
      <c r="E651" s="5" t="n">
        <v>35.6972079166659</v>
      </c>
      <c r="F651" s="5" t="n">
        <v>129.068814833335</v>
      </c>
      <c r="G651" s="6">
        <f>HYPERLINK("https://map.naver.com/v5/search/35.6972079166659,129.068814833335","📍 네이버")</f>
        <v/>
      </c>
      <c r="H651" s="6">
        <f>HYPERLINK("https://map.kakao.com/link/map/삼각점언양407,35.6972079166659,129.068814833335","📍 카카오")</f>
        <v/>
      </c>
    </row>
    <row r="652">
      <c r="A652" s="17" t="inlineStr">
        <is>
          <t>#155</t>
        </is>
      </c>
      <c r="B652" s="17" t="inlineStr">
        <is>
          <t>통합기준점</t>
        </is>
      </c>
      <c r="C652" s="17" t="inlineStr">
        <is>
          <t>U0831</t>
        </is>
      </c>
      <c r="D652" s="17" t="n">
        <v>4570</v>
      </c>
      <c r="E652" s="17" t="n">
        <v>35.6705835361103</v>
      </c>
      <c r="F652" s="17" t="n">
        <v>129.086441850002</v>
      </c>
      <c r="G652" s="18">
        <f>HYPERLINK("https://map.naver.com/v5/search/35.6705835361103,129.086441850002","📍 네이버")</f>
        <v/>
      </c>
      <c r="H652" s="18">
        <f>HYPERLINK("https://map.kakao.com/link/map/통합기준점U0831,35.6705835361103,129.086441850002","📍 카카오")</f>
        <v/>
      </c>
    </row>
    <row r="653">
      <c r="A653" s="5" t="inlineStr">
        <is>
          <t>#155</t>
        </is>
      </c>
      <c r="B653" s="5" t="inlineStr">
        <is>
          <t>삼각점</t>
        </is>
      </c>
      <c r="C653" s="5" t="inlineStr">
        <is>
          <t>언양406</t>
        </is>
      </c>
      <c r="D653" s="5" t="n">
        <v>4708</v>
      </c>
      <c r="E653" s="5" t="n">
        <v>35.7066899722214</v>
      </c>
      <c r="F653" s="5" t="n">
        <v>129.067370166668</v>
      </c>
      <c r="G653" s="6">
        <f>HYPERLINK("https://map.naver.com/v5/search/35.7066899722214,129.067370166668","📍 네이버")</f>
        <v/>
      </c>
      <c r="H653" s="6">
        <f>HYPERLINK("https://map.kakao.com/link/map/삼각점언양406,35.7066899722214,129.067370166668","📍 카카오")</f>
        <v/>
      </c>
    </row>
    <row r="654">
      <c r="A654" s="5" t="inlineStr">
        <is>
          <t>#155</t>
        </is>
      </c>
      <c r="B654" s="5" t="inlineStr">
        <is>
          <t>삼각점</t>
        </is>
      </c>
      <c r="C654" s="5" t="inlineStr">
        <is>
          <t>언양403</t>
        </is>
      </c>
      <c r="D654" s="5" t="n">
        <v>4720</v>
      </c>
      <c r="E654" s="5" t="n">
        <v>35.7137316666659</v>
      </c>
      <c r="F654" s="5" t="n">
        <v>129.021695722223</v>
      </c>
      <c r="G654" s="6">
        <f>HYPERLINK("https://map.naver.com/v5/search/35.7137316666659,129.021695722223","📍 네이버")</f>
        <v/>
      </c>
      <c r="H654" s="6">
        <f>HYPERLINK("https://map.kakao.com/link/map/삼각점언양403,35.7137316666659,129.021695722223","📍 카카오")</f>
        <v/>
      </c>
    </row>
    <row r="655">
      <c r="A655" s="5" t="inlineStr">
        <is>
          <t>#155</t>
        </is>
      </c>
      <c r="B655" s="5" t="inlineStr">
        <is>
          <t>삼각점</t>
        </is>
      </c>
      <c r="C655" s="5" t="inlineStr">
        <is>
          <t>언양445</t>
        </is>
      </c>
      <c r="D655" s="5" t="n">
        <v>4802</v>
      </c>
      <c r="E655" s="5" t="n">
        <v>35.6381891111103</v>
      </c>
      <c r="F655" s="5" t="n">
        <v>129.067850194446</v>
      </c>
      <c r="G655" s="6">
        <f>HYPERLINK("https://map.naver.com/v5/search/35.6381891111103,129.067850194446","📍 네이버")</f>
        <v/>
      </c>
      <c r="H655" s="6">
        <f>HYPERLINK("https://map.kakao.com/link/map/삼각점언양445,35.6381891111103,129.067850194446","📍 카카오")</f>
        <v/>
      </c>
    </row>
    <row r="657" ht="18" customHeight="1">
      <c r="A657" s="16" t="inlineStr">
        <is>
          <t>▶ P1 #156  (35.763°N, 129.038°E) / 국가점수 59.0점 / 기준점 15개</t>
        </is>
      </c>
    </row>
    <row r="658">
      <c r="A658" s="5" t="inlineStr">
        <is>
          <t>#156</t>
        </is>
      </c>
      <c r="B658" s="5" t="inlineStr">
        <is>
          <t>삼각점</t>
        </is>
      </c>
      <c r="C658" s="5" t="inlineStr">
        <is>
          <t>경주460</t>
        </is>
      </c>
      <c r="D658" s="5" t="n">
        <v>122</v>
      </c>
      <c r="E658" s="5" t="n">
        <v>35.7628748888881</v>
      </c>
      <c r="F658" s="5" t="n">
        <v>129.039107000001</v>
      </c>
      <c r="G658" s="6">
        <f>HYPERLINK("https://map.naver.com/v5/search/35.7628748888881,129.039107000001","📍 네이버")</f>
        <v/>
      </c>
      <c r="H658" s="6">
        <f>HYPERLINK("https://map.kakao.com/link/map/삼각점경주460,35.7628748888881,129.039107000001","📍 카카오")</f>
        <v/>
      </c>
    </row>
    <row r="659">
      <c r="A659" s="5" t="inlineStr">
        <is>
          <t>#156</t>
        </is>
      </c>
      <c r="B659" s="5" t="inlineStr">
        <is>
          <t>삼각점</t>
        </is>
      </c>
      <c r="C659" s="5" t="inlineStr">
        <is>
          <t>경주459</t>
        </is>
      </c>
      <c r="D659" s="5" t="n">
        <v>1565</v>
      </c>
      <c r="E659" s="5" t="n">
        <v>35.751553527777</v>
      </c>
      <c r="F659" s="5" t="n">
        <v>129.027550111112</v>
      </c>
      <c r="G659" s="6">
        <f>HYPERLINK("https://map.naver.com/v5/search/35.751553527777,129.027550111112","📍 네이버")</f>
        <v/>
      </c>
      <c r="H659" s="6">
        <f>HYPERLINK("https://map.kakao.com/link/map/삼각점경주459,35.751553527777,129.027550111112","📍 카카오")</f>
        <v/>
      </c>
    </row>
    <row r="660">
      <c r="A660" s="5" t="inlineStr">
        <is>
          <t>#156</t>
        </is>
      </c>
      <c r="B660" s="5" t="inlineStr">
        <is>
          <t>삼각점</t>
        </is>
      </c>
      <c r="C660" s="5" t="inlineStr">
        <is>
          <t>경주320</t>
        </is>
      </c>
      <c r="D660" s="5" t="n">
        <v>1664</v>
      </c>
      <c r="E660" s="5" t="n">
        <v>35.7779515555548</v>
      </c>
      <c r="F660" s="5" t="n">
        <v>129.038030611112</v>
      </c>
      <c r="G660" s="6">
        <f>HYPERLINK("https://map.naver.com/v5/search/35.7779515555548,129.038030611112","📍 네이버")</f>
        <v/>
      </c>
      <c r="H660" s="6">
        <f>HYPERLINK("https://map.kakao.com/link/map/삼각점경주320,35.7779515555548,129.038030611112","📍 카카오")</f>
        <v/>
      </c>
    </row>
    <row r="661">
      <c r="A661" s="5" t="inlineStr">
        <is>
          <t>#156</t>
        </is>
      </c>
      <c r="B661" s="5" t="inlineStr">
        <is>
          <t>삼각점</t>
        </is>
      </c>
      <c r="C661" s="5" t="inlineStr">
        <is>
          <t>경주457</t>
        </is>
      </c>
      <c r="D661" s="5" t="n">
        <v>1921</v>
      </c>
      <c r="E661" s="5" t="n">
        <v>35.7636426388881</v>
      </c>
      <c r="F661" s="5" t="n">
        <v>129.016526916668</v>
      </c>
      <c r="G661" s="6">
        <f>HYPERLINK("https://map.naver.com/v5/search/35.7636426388881,129.016526916668","📍 네이버")</f>
        <v/>
      </c>
      <c r="H661" s="6">
        <f>HYPERLINK("https://map.kakao.com/link/map/삼각점경주457,35.7636426388881,129.016526916668","📍 카카오")</f>
        <v/>
      </c>
    </row>
    <row r="662">
      <c r="A662" s="5" t="inlineStr">
        <is>
          <t>#156</t>
        </is>
      </c>
      <c r="B662" s="5" t="inlineStr">
        <is>
          <t>삼각점</t>
        </is>
      </c>
      <c r="C662" s="5" t="inlineStr">
        <is>
          <t>경주461</t>
        </is>
      </c>
      <c r="D662" s="5" t="n">
        <v>2147</v>
      </c>
      <c r="E662" s="5" t="n">
        <v>35.7693311666659</v>
      </c>
      <c r="F662" s="5" t="n">
        <v>129.060173555557</v>
      </c>
      <c r="G662" s="6">
        <f>HYPERLINK("https://map.naver.com/v5/search/35.7693311666659,129.060173555557","📍 네이버")</f>
        <v/>
      </c>
      <c r="H662" s="6">
        <f>HYPERLINK("https://map.kakao.com/link/map/삼각점경주461,35.7693311666659,129.060173555557","📍 카카오")</f>
        <v/>
      </c>
    </row>
    <row r="663">
      <c r="A663" s="5" t="inlineStr">
        <is>
          <t>#156</t>
        </is>
      </c>
      <c r="B663" s="5" t="inlineStr">
        <is>
          <t>삼각점</t>
        </is>
      </c>
      <c r="C663" s="5" t="inlineStr">
        <is>
          <t>언양402</t>
        </is>
      </c>
      <c r="D663" s="5" t="n">
        <v>3484</v>
      </c>
      <c r="E663" s="5" t="n">
        <v>35.7390605555548</v>
      </c>
      <c r="F663" s="5" t="n">
        <v>129.012748944446</v>
      </c>
      <c r="G663" s="6">
        <f>HYPERLINK("https://map.naver.com/v5/search/35.7390605555548,129.012748944446","📍 네이버")</f>
        <v/>
      </c>
      <c r="H663" s="6">
        <f>HYPERLINK("https://map.kakao.com/link/map/삼각점언양402,35.7390605555548,129.012748944446","📍 카카오")</f>
        <v/>
      </c>
    </row>
    <row r="664">
      <c r="A664" s="5" t="inlineStr">
        <is>
          <t>#156</t>
        </is>
      </c>
      <c r="B664" s="5" t="inlineStr">
        <is>
          <t>삼각점</t>
        </is>
      </c>
      <c r="C664" s="5" t="inlineStr">
        <is>
          <t>언양302</t>
        </is>
      </c>
      <c r="D664" s="5" t="n">
        <v>3584</v>
      </c>
      <c r="E664" s="5" t="n">
        <v>35.7315038055548</v>
      </c>
      <c r="F664" s="5" t="n">
        <v>129.046869416668</v>
      </c>
      <c r="G664" s="6">
        <f>HYPERLINK("https://map.naver.com/v5/search/35.7315038055548,129.046869416668","📍 네이버")</f>
        <v/>
      </c>
      <c r="H664" s="6">
        <f>HYPERLINK("https://map.kakao.com/link/map/삼각점언양302,35.7315038055548,129.046869416668","📍 카카오")</f>
        <v/>
      </c>
    </row>
    <row r="665">
      <c r="A665" s="17" t="inlineStr">
        <is>
          <t>#156</t>
        </is>
      </c>
      <c r="B665" s="17" t="inlineStr">
        <is>
          <t>통합기준점</t>
        </is>
      </c>
      <c r="C665" s="17" t="inlineStr">
        <is>
          <t>U언양02</t>
        </is>
      </c>
      <c r="D665" s="17" t="n">
        <v>3708</v>
      </c>
      <c r="E665" s="17" t="n">
        <v>35.7350502388881</v>
      </c>
      <c r="F665" s="17" t="n">
        <v>129.060346780557</v>
      </c>
      <c r="G665" s="18">
        <f>HYPERLINK("https://map.naver.com/v5/search/35.7350502388881,129.060346780557","📍 네이버")</f>
        <v/>
      </c>
      <c r="H665" s="18">
        <f>HYPERLINK("https://map.kakao.com/link/map/통합기준점U언양02,35.7350502388881,129.060346780557","📍 카카오")</f>
        <v/>
      </c>
    </row>
    <row r="666">
      <c r="A666" s="17" t="inlineStr">
        <is>
          <t>#156</t>
        </is>
      </c>
      <c r="B666" s="17" t="inlineStr">
        <is>
          <t>통합기준점</t>
        </is>
      </c>
      <c r="C666" s="17" t="inlineStr">
        <is>
          <t>U영천30</t>
        </is>
      </c>
      <c r="D666" s="17" t="n">
        <v>3884</v>
      </c>
      <c r="E666" s="17" t="n">
        <v>35.761171327777</v>
      </c>
      <c r="F666" s="17" t="n">
        <v>128.994863455557</v>
      </c>
      <c r="G666" s="18">
        <f>HYPERLINK("https://map.naver.com/v5/search/35.761171327777,128.994863455557","📍 네이버")</f>
        <v/>
      </c>
      <c r="H666" s="18">
        <f>HYPERLINK("https://map.kakao.com/link/map/통합기준점U영천30,35.761171327777,128.994863455557","📍 카카오")</f>
        <v/>
      </c>
    </row>
    <row r="667">
      <c r="A667" s="17" t="inlineStr">
        <is>
          <t>#156</t>
        </is>
      </c>
      <c r="B667" s="17" t="inlineStr">
        <is>
          <t>통합기준점</t>
        </is>
      </c>
      <c r="C667" s="17" t="inlineStr">
        <is>
          <t>U언양01</t>
        </is>
      </c>
      <c r="D667" s="17" t="n">
        <v>4043</v>
      </c>
      <c r="E667" s="17" t="n">
        <v>35.7344087694437</v>
      </c>
      <c r="F667" s="17" t="n">
        <v>129.009967097223</v>
      </c>
      <c r="G667" s="18">
        <f>HYPERLINK("https://map.naver.com/v5/search/35.7344087694437,129.009967097223","📍 네이버")</f>
        <v/>
      </c>
      <c r="H667" s="18">
        <f>HYPERLINK("https://map.kakao.com/link/map/통합기준점U언양01,35.7344087694437,129.009967097223","📍 카카오")</f>
        <v/>
      </c>
    </row>
    <row r="668">
      <c r="A668" s="5" t="inlineStr">
        <is>
          <t>#156</t>
        </is>
      </c>
      <c r="B668" s="5" t="inlineStr">
        <is>
          <t>삼각점</t>
        </is>
      </c>
      <c r="C668" s="5" t="inlineStr">
        <is>
          <t>경주319</t>
        </is>
      </c>
      <c r="D668" s="5" t="n">
        <v>4091</v>
      </c>
      <c r="E668" s="5" t="n">
        <v>35.7778465833326</v>
      </c>
      <c r="F668" s="5" t="n">
        <v>128.996365416668</v>
      </c>
      <c r="G668" s="6">
        <f>HYPERLINK("https://map.naver.com/v5/search/35.7778465833326,128.996365416668","📍 네이버")</f>
        <v/>
      </c>
      <c r="H668" s="6">
        <f>HYPERLINK("https://map.kakao.com/link/map/삼각점경주319,35.7778465833326,128.996365416668","📍 카카오")</f>
        <v/>
      </c>
    </row>
    <row r="669">
      <c r="A669" s="5" t="inlineStr">
        <is>
          <t>#156</t>
        </is>
      </c>
      <c r="B669" s="5" t="inlineStr">
        <is>
          <t>삼각점</t>
        </is>
      </c>
      <c r="C669" s="5" t="inlineStr">
        <is>
          <t>동곡314</t>
        </is>
      </c>
      <c r="D669" s="5" t="n">
        <v>4466</v>
      </c>
      <c r="E669" s="5" t="n">
        <v>35.7490212222214</v>
      </c>
      <c r="F669" s="5" t="n">
        <v>128.991422555557</v>
      </c>
      <c r="G669" s="6">
        <f>HYPERLINK("https://map.naver.com/v5/search/35.7490212222214,128.991422555557","📍 네이버")</f>
        <v/>
      </c>
      <c r="H669" s="6">
        <f>HYPERLINK("https://map.kakao.com/link/map/삼각점동곡314,35.7490212222214,128.991422555557","📍 카카오")</f>
        <v/>
      </c>
    </row>
    <row r="670">
      <c r="A670" s="5" t="inlineStr">
        <is>
          <t>#156</t>
        </is>
      </c>
      <c r="B670" s="5" t="inlineStr">
        <is>
          <t>삼각점</t>
        </is>
      </c>
      <c r="C670" s="5" t="inlineStr">
        <is>
          <t>경주462</t>
        </is>
      </c>
      <c r="D670" s="5" t="n">
        <v>4486</v>
      </c>
      <c r="E670" s="5" t="n">
        <v>35.7979986111103</v>
      </c>
      <c r="F670" s="5" t="n">
        <v>129.062509833335</v>
      </c>
      <c r="G670" s="6">
        <f>HYPERLINK("https://map.naver.com/v5/search/35.7979986111103,129.062509833335","📍 네이버")</f>
        <v/>
      </c>
      <c r="H670" s="6">
        <f>HYPERLINK("https://map.kakao.com/link/map/삼각점경주462,35.7979986111103,129.062509833335","📍 카카오")</f>
        <v/>
      </c>
    </row>
    <row r="671">
      <c r="A671" s="5" t="inlineStr">
        <is>
          <t>#156</t>
        </is>
      </c>
      <c r="B671" s="5" t="inlineStr">
        <is>
          <t>삼각점</t>
        </is>
      </c>
      <c r="C671" s="5" t="inlineStr">
        <is>
          <t>언양408</t>
        </is>
      </c>
      <c r="D671" s="5" t="n">
        <v>4794</v>
      </c>
      <c r="E671" s="5" t="n">
        <v>35.7319731111103</v>
      </c>
      <c r="F671" s="5" t="n">
        <v>129.074719500001</v>
      </c>
      <c r="G671" s="6">
        <f>HYPERLINK("https://map.naver.com/v5/search/35.7319731111103,129.074719500001","📍 네이버")</f>
        <v/>
      </c>
      <c r="H671" s="6">
        <f>HYPERLINK("https://map.kakao.com/link/map/삼각점언양408,35.7319731111103,129.074719500001","📍 카카오")</f>
        <v/>
      </c>
    </row>
    <row r="672">
      <c r="A672" s="5" t="inlineStr">
        <is>
          <t>#156</t>
        </is>
      </c>
      <c r="B672" s="5" t="inlineStr">
        <is>
          <t>삼각점</t>
        </is>
      </c>
      <c r="C672" s="5" t="inlineStr">
        <is>
          <t>언양404</t>
        </is>
      </c>
      <c r="D672" s="5" t="n">
        <v>4902</v>
      </c>
      <c r="E672" s="5" t="n">
        <v>35.7189676944436</v>
      </c>
      <c r="F672" s="5" t="n">
        <v>129.04296138889</v>
      </c>
      <c r="G672" s="6">
        <f>HYPERLINK("https://map.naver.com/v5/search/35.7189676944436,129.04296138889","📍 네이버")</f>
        <v/>
      </c>
      <c r="H672" s="6">
        <f>HYPERLINK("https://map.kakao.com/link/map/삼각점언양404,35.7189676944436,129.04296138889","📍 카카오")</f>
        <v/>
      </c>
    </row>
    <row r="674" ht="18" customHeight="1">
      <c r="A674" s="16" t="inlineStr">
        <is>
          <t>▶ P1 #157  (36.123°N, 129.045°E) / 국가점수 62.5점 / 기준점 24개</t>
        </is>
      </c>
    </row>
    <row r="675">
      <c r="A675" s="5" t="inlineStr">
        <is>
          <t>#157</t>
        </is>
      </c>
      <c r="B675" s="5" t="inlineStr">
        <is>
          <t>삼각점</t>
        </is>
      </c>
      <c r="C675" s="5" t="inlineStr">
        <is>
          <t>기계314</t>
        </is>
      </c>
      <c r="D675" s="5" t="n">
        <v>581</v>
      </c>
      <c r="E675" s="5" t="n">
        <v>36.1188934444438</v>
      </c>
      <c r="F675" s="5" t="n">
        <v>129.041610527779</v>
      </c>
      <c r="G675" s="6">
        <f>HYPERLINK("https://map.naver.com/v5/search/36.1188934444438,129.041610527779","📍 네이버")</f>
        <v/>
      </c>
      <c r="H675" s="6">
        <f>HYPERLINK("https://map.kakao.com/link/map/삼각점기계314,36.1188934444438,129.041610527779","📍 카카오")</f>
        <v/>
      </c>
    </row>
    <row r="676">
      <c r="A676" s="5" t="inlineStr">
        <is>
          <t>#157</t>
        </is>
      </c>
      <c r="B676" s="5" t="inlineStr">
        <is>
          <t>삼각점</t>
        </is>
      </c>
      <c r="C676" s="5" t="inlineStr">
        <is>
          <t>기계443</t>
        </is>
      </c>
      <c r="D676" s="5" t="n">
        <v>957</v>
      </c>
      <c r="E676" s="5" t="n">
        <v>36.1180877222215</v>
      </c>
      <c r="F676" s="5" t="n">
        <v>129.053073055557</v>
      </c>
      <c r="G676" s="6">
        <f>HYPERLINK("https://map.naver.com/v5/search/36.1180877222215,129.053073055557","📍 네이버")</f>
        <v/>
      </c>
      <c r="H676" s="6">
        <f>HYPERLINK("https://map.kakao.com/link/map/삼각점기계443,36.1180877222215,129.053073055557","📍 카카오")</f>
        <v/>
      </c>
    </row>
    <row r="677">
      <c r="A677" s="5" t="inlineStr">
        <is>
          <t>#157</t>
        </is>
      </c>
      <c r="B677" s="5" t="inlineStr">
        <is>
          <t>삼각점</t>
        </is>
      </c>
      <c r="C677" s="5" t="inlineStr">
        <is>
          <t>기계446</t>
        </is>
      </c>
      <c r="D677" s="5" t="n">
        <v>1665</v>
      </c>
      <c r="E677" s="5" t="n">
        <v>36.1299176944438</v>
      </c>
      <c r="F677" s="5" t="n">
        <v>129.028062027779</v>
      </c>
      <c r="G677" s="6">
        <f>HYPERLINK("https://map.naver.com/v5/search/36.1299176944438,129.028062027779","📍 네이버")</f>
        <v/>
      </c>
      <c r="H677" s="6">
        <f>HYPERLINK("https://map.kakao.com/link/map/삼각점기계446,36.1299176944438,129.028062027779","📍 카카오")</f>
        <v/>
      </c>
    </row>
    <row r="678">
      <c r="A678" s="5" t="inlineStr">
        <is>
          <t>#157</t>
        </is>
      </c>
      <c r="B678" s="5" t="inlineStr">
        <is>
          <t>삼각점</t>
        </is>
      </c>
      <c r="C678" s="5" t="inlineStr">
        <is>
          <t>기계444</t>
        </is>
      </c>
      <c r="D678" s="5" t="n">
        <v>1735</v>
      </c>
      <c r="E678" s="5" t="n">
        <v>36.1388695833327</v>
      </c>
      <c r="F678" s="5" t="n">
        <v>129.048079166668</v>
      </c>
      <c r="G678" s="6">
        <f>HYPERLINK("https://map.naver.com/v5/search/36.1388695833327,129.048079166668","📍 네이버")</f>
        <v/>
      </c>
      <c r="H678" s="6">
        <f>HYPERLINK("https://map.kakao.com/link/map/삼각점기계444,36.1388695833327,129.048079166668","📍 카카오")</f>
        <v/>
      </c>
    </row>
    <row r="679">
      <c r="A679" s="5" t="inlineStr">
        <is>
          <t>#157</t>
        </is>
      </c>
      <c r="B679" s="5" t="inlineStr">
        <is>
          <t>삼각점</t>
        </is>
      </c>
      <c r="C679" s="5" t="inlineStr">
        <is>
          <t>기계442</t>
        </is>
      </c>
      <c r="D679" s="5" t="n">
        <v>2553</v>
      </c>
      <c r="E679" s="5" t="n">
        <v>36.1329886111104</v>
      </c>
      <c r="F679" s="5" t="n">
        <v>129.070575861113</v>
      </c>
      <c r="G679" s="6">
        <f>HYPERLINK("https://map.naver.com/v5/search/36.1329886111104,129.070575861113","📍 네이버")</f>
        <v/>
      </c>
      <c r="H679" s="6">
        <f>HYPERLINK("https://map.kakao.com/link/map/삼각점기계442,36.1329886111104,129.070575861113","📍 카카오")</f>
        <v/>
      </c>
    </row>
    <row r="680">
      <c r="A680" s="5" t="inlineStr">
        <is>
          <t>#157</t>
        </is>
      </c>
      <c r="B680" s="5" t="inlineStr">
        <is>
          <t>삼각점</t>
        </is>
      </c>
      <c r="C680" s="5" t="inlineStr">
        <is>
          <t>기계312</t>
        </is>
      </c>
      <c r="D680" s="5" t="n">
        <v>2625</v>
      </c>
      <c r="E680" s="5" t="n">
        <v>36.1439211111104</v>
      </c>
      <c r="F680" s="5" t="n">
        <v>129.059402694446</v>
      </c>
      <c r="G680" s="6">
        <f>HYPERLINK("https://map.naver.com/v5/search/36.1439211111104,129.059402694446","📍 네이버")</f>
        <v/>
      </c>
      <c r="H680" s="6">
        <f>HYPERLINK("https://map.kakao.com/link/map/삼각점기계312,36.1439211111104,129.059402694446","📍 카카오")</f>
        <v/>
      </c>
    </row>
    <row r="681">
      <c r="A681" s="5" t="inlineStr">
        <is>
          <t>#157</t>
        </is>
      </c>
      <c r="B681" s="5" t="inlineStr">
        <is>
          <t>삼각점</t>
        </is>
      </c>
      <c r="C681" s="5" t="inlineStr">
        <is>
          <t>기계447</t>
        </is>
      </c>
      <c r="D681" s="5" t="n">
        <v>2820</v>
      </c>
      <c r="E681" s="5" t="n">
        <v>36.1438556111104</v>
      </c>
      <c r="F681" s="5" t="n">
        <v>129.026054222223</v>
      </c>
      <c r="G681" s="6">
        <f>HYPERLINK("https://map.naver.com/v5/search/36.1438556111104,129.026054222223","📍 네이버")</f>
        <v/>
      </c>
      <c r="H681" s="6">
        <f>HYPERLINK("https://map.kakao.com/link/map/삼각점기계447,36.1438556111104,129.026054222223","📍 카카오")</f>
        <v/>
      </c>
    </row>
    <row r="682">
      <c r="A682" s="5" t="inlineStr">
        <is>
          <t>#157</t>
        </is>
      </c>
      <c r="B682" s="5" t="inlineStr">
        <is>
          <t>삼각점</t>
        </is>
      </c>
      <c r="C682" s="5" t="inlineStr">
        <is>
          <t>기계317</t>
        </is>
      </c>
      <c r="D682" s="5" t="n">
        <v>2884</v>
      </c>
      <c r="E682" s="5" t="n">
        <v>36.1203812499993</v>
      </c>
      <c r="F682" s="5" t="n">
        <v>129.012946472223</v>
      </c>
      <c r="G682" s="6">
        <f>HYPERLINK("https://map.naver.com/v5/search/36.1203812499993,129.012946472223","📍 네이버")</f>
        <v/>
      </c>
      <c r="H682" s="6">
        <f>HYPERLINK("https://map.kakao.com/link/map/삼각점기계317,36.1203812499993,129.012946472223","📍 카카오")</f>
        <v/>
      </c>
    </row>
    <row r="683">
      <c r="A683" s="5" t="inlineStr">
        <is>
          <t>#157</t>
        </is>
      </c>
      <c r="B683" s="5" t="inlineStr">
        <is>
          <t>삼각점</t>
        </is>
      </c>
      <c r="C683" s="5" t="inlineStr">
        <is>
          <t>기계24</t>
        </is>
      </c>
      <c r="D683" s="5" t="n">
        <v>2974</v>
      </c>
      <c r="E683" s="5" t="n">
        <v>36.1491932222215</v>
      </c>
      <c r="F683" s="5" t="n">
        <v>129.054009611112</v>
      </c>
      <c r="G683" s="6">
        <f>HYPERLINK("https://map.naver.com/v5/search/36.1491932222215,129.054009611112","📍 네이버")</f>
        <v/>
      </c>
      <c r="H683" s="6">
        <f>HYPERLINK("https://map.kakao.com/link/map/삼각점기계24,36.1491932222215,129.054009611112","📍 카카오")</f>
        <v/>
      </c>
    </row>
    <row r="684">
      <c r="A684" s="5" t="inlineStr">
        <is>
          <t>#157</t>
        </is>
      </c>
      <c r="B684" s="5" t="inlineStr">
        <is>
          <t>삼각점</t>
        </is>
      </c>
      <c r="C684" s="5" t="inlineStr">
        <is>
          <t>기계445</t>
        </is>
      </c>
      <c r="D684" s="5" t="n">
        <v>2982</v>
      </c>
      <c r="E684" s="5" t="n">
        <v>36.096658166666</v>
      </c>
      <c r="F684" s="5" t="n">
        <v>129.042300194446</v>
      </c>
      <c r="G684" s="6">
        <f>HYPERLINK("https://map.naver.com/v5/search/36.096658166666,129.042300194446","📍 네이버")</f>
        <v/>
      </c>
      <c r="H684" s="6">
        <f>HYPERLINK("https://map.kakao.com/link/map/삼각점기계445,36.096658166666,129.042300194446","📍 카카오")</f>
        <v/>
      </c>
    </row>
    <row r="685">
      <c r="A685" s="5" t="inlineStr">
        <is>
          <t>#157</t>
        </is>
      </c>
      <c r="B685" s="5" t="inlineStr">
        <is>
          <t>삼각점</t>
        </is>
      </c>
      <c r="C685" s="5" t="inlineStr">
        <is>
          <t>기계311</t>
        </is>
      </c>
      <c r="D685" s="5" t="n">
        <v>3241</v>
      </c>
      <c r="E685" s="5" t="n">
        <v>36.098010666666</v>
      </c>
      <c r="F685" s="5" t="n">
        <v>129.062434250001</v>
      </c>
      <c r="G685" s="6">
        <f>HYPERLINK("https://map.naver.com/v5/search/36.098010666666,129.062434250001","📍 네이버")</f>
        <v/>
      </c>
      <c r="H685" s="6">
        <f>HYPERLINK("https://map.kakao.com/link/map/삼각점기계311,36.098010666666,129.062434250001","📍 카카오")</f>
        <v/>
      </c>
    </row>
    <row r="686">
      <c r="A686" s="17" t="inlineStr">
        <is>
          <t>#157</t>
        </is>
      </c>
      <c r="B686" s="17" t="inlineStr">
        <is>
          <t>통합기준점</t>
        </is>
      </c>
      <c r="C686" s="17" t="inlineStr">
        <is>
          <t>U기계54</t>
        </is>
      </c>
      <c r="D686" s="17" t="n">
        <v>3377</v>
      </c>
      <c r="E686" s="17" t="n">
        <v>36.1223184833326</v>
      </c>
      <c r="F686" s="17" t="n">
        <v>129.082255208335</v>
      </c>
      <c r="G686" s="18">
        <f>HYPERLINK("https://map.naver.com/v5/search/36.1223184833326,129.082255208335","📍 네이버")</f>
        <v/>
      </c>
      <c r="H686" s="18">
        <f>HYPERLINK("https://map.kakao.com/link/map/통합기준점U기계54,36.1223184833326,129.082255208335","📍 카카오")</f>
        <v/>
      </c>
    </row>
    <row r="687">
      <c r="A687" s="5" t="inlineStr">
        <is>
          <t>#157</t>
        </is>
      </c>
      <c r="B687" s="5" t="inlineStr">
        <is>
          <t>삼각점</t>
        </is>
      </c>
      <c r="C687" s="5" t="inlineStr">
        <is>
          <t>기계316</t>
        </is>
      </c>
      <c r="D687" s="5" t="n">
        <v>3865</v>
      </c>
      <c r="E687" s="5" t="n">
        <v>36.0962319722215</v>
      </c>
      <c r="F687" s="5" t="n">
        <v>129.017972000001</v>
      </c>
      <c r="G687" s="6">
        <f>HYPERLINK("https://map.naver.com/v5/search/36.0962319722215,129.017972000001","📍 네이버")</f>
        <v/>
      </c>
      <c r="H687" s="6">
        <f>HYPERLINK("https://map.kakao.com/link/map/삼각점기계316,36.0962319722215,129.017972000001","📍 카카오")</f>
        <v/>
      </c>
    </row>
    <row r="688">
      <c r="A688" s="5" t="inlineStr">
        <is>
          <t>#157</t>
        </is>
      </c>
      <c r="B688" s="5" t="inlineStr">
        <is>
          <t>삼각점</t>
        </is>
      </c>
      <c r="C688" s="5" t="inlineStr">
        <is>
          <t>기계441</t>
        </is>
      </c>
      <c r="D688" s="5" t="n">
        <v>3906</v>
      </c>
      <c r="E688" s="5" t="n">
        <v>36.1078426944438</v>
      </c>
      <c r="F688" s="5" t="n">
        <v>129.083652527779</v>
      </c>
      <c r="G688" s="6">
        <f>HYPERLINK("https://map.naver.com/v5/search/36.1078426944438,129.083652527779","📍 네이버")</f>
        <v/>
      </c>
      <c r="H688" s="6">
        <f>HYPERLINK("https://map.kakao.com/link/map/삼각점기계441,36.1078426944438,129.083652527779","📍 카카오")</f>
        <v/>
      </c>
    </row>
    <row r="689">
      <c r="A689" s="5" t="inlineStr">
        <is>
          <t>#157</t>
        </is>
      </c>
      <c r="B689" s="5" t="inlineStr">
        <is>
          <t>삼각점</t>
        </is>
      </c>
      <c r="C689" s="5" t="inlineStr">
        <is>
          <t>기계313</t>
        </is>
      </c>
      <c r="D689" s="5" t="n">
        <v>4003</v>
      </c>
      <c r="E689" s="5" t="n">
        <v>36.0891168611104</v>
      </c>
      <c r="F689" s="5" t="n">
        <v>129.05838513889</v>
      </c>
      <c r="G689" s="6">
        <f>HYPERLINK("https://map.naver.com/v5/search/36.0891168611104,129.05838513889","📍 네이버")</f>
        <v/>
      </c>
      <c r="H689" s="6">
        <f>HYPERLINK("https://map.kakao.com/link/map/삼각점기계313,36.0891168611104,129.05838513889","📍 카카오")</f>
        <v/>
      </c>
    </row>
    <row r="690">
      <c r="A690" s="17" t="inlineStr">
        <is>
          <t>#157</t>
        </is>
      </c>
      <c r="B690" s="17" t="inlineStr">
        <is>
          <t>통합기준점</t>
        </is>
      </c>
      <c r="C690" s="17" t="inlineStr">
        <is>
          <t>U기계63</t>
        </is>
      </c>
      <c r="D690" s="17" t="n">
        <v>4232</v>
      </c>
      <c r="E690" s="17" t="n">
        <v>36.0859493138882</v>
      </c>
      <c r="F690" s="17" t="n">
        <v>129.053320480557</v>
      </c>
      <c r="G690" s="18">
        <f>HYPERLINK("https://map.naver.com/v5/search/36.0859493138882,129.053320480557","📍 네이버")</f>
        <v/>
      </c>
      <c r="H690" s="18">
        <f>HYPERLINK("https://map.kakao.com/link/map/통합기준점U기계63,36.0859493138882,129.053320480557","📍 카카오")</f>
        <v/>
      </c>
    </row>
    <row r="691">
      <c r="A691" s="5" t="inlineStr">
        <is>
          <t>#157</t>
        </is>
      </c>
      <c r="B691" s="5" t="inlineStr">
        <is>
          <t>삼각점</t>
        </is>
      </c>
      <c r="C691" s="5" t="inlineStr">
        <is>
          <t>기계448</t>
        </is>
      </c>
      <c r="D691" s="5" t="n">
        <v>4316</v>
      </c>
      <c r="E691" s="5" t="n">
        <v>36.1415753888882</v>
      </c>
      <c r="F691" s="5" t="n">
        <v>129.002326027779</v>
      </c>
      <c r="G691" s="6">
        <f>HYPERLINK("https://map.naver.com/v5/search/36.1415753888882,129.002326027779","📍 네이버")</f>
        <v/>
      </c>
      <c r="H691" s="6">
        <f>HYPERLINK("https://map.kakao.com/link/map/삼각점기계448,36.1415753888882,129.002326027779","📍 카카오")</f>
        <v/>
      </c>
    </row>
    <row r="692">
      <c r="A692" s="5" t="inlineStr">
        <is>
          <t>#157</t>
        </is>
      </c>
      <c r="B692" s="5" t="inlineStr">
        <is>
          <t>삼각점</t>
        </is>
      </c>
      <c r="C692" s="5" t="inlineStr">
        <is>
          <t>기계412</t>
        </is>
      </c>
      <c r="D692" s="5" t="n">
        <v>4364</v>
      </c>
      <c r="E692" s="5" t="n">
        <v>36.1451877499993</v>
      </c>
      <c r="F692" s="5" t="n">
        <v>129.085187000001</v>
      </c>
      <c r="G692" s="6">
        <f>HYPERLINK("https://map.naver.com/v5/search/36.1451877499993,129.085187000001","📍 네이버")</f>
        <v/>
      </c>
      <c r="H692" s="6">
        <f>HYPERLINK("https://map.kakao.com/link/map/삼각점기계412,36.1451877499993,129.085187000001","📍 카카오")</f>
        <v/>
      </c>
    </row>
    <row r="693">
      <c r="A693" s="5" t="inlineStr">
        <is>
          <t>#157</t>
        </is>
      </c>
      <c r="B693" s="5" t="inlineStr">
        <is>
          <t>삼각점</t>
        </is>
      </c>
      <c r="C693" s="5" t="inlineStr">
        <is>
          <t>기계310</t>
        </is>
      </c>
      <c r="D693" s="5" t="n">
        <v>4581</v>
      </c>
      <c r="E693" s="5" t="n">
        <v>36.1212109722215</v>
      </c>
      <c r="F693" s="5" t="n">
        <v>129.095580750002</v>
      </c>
      <c r="G693" s="6">
        <f>HYPERLINK("https://map.naver.com/v5/search/36.1212109722215,129.095580750002","📍 네이버")</f>
        <v/>
      </c>
      <c r="H693" s="6">
        <f>HYPERLINK("https://map.kakao.com/link/map/삼각점기계310,36.1212109722215,129.095580750002","📍 카카오")</f>
        <v/>
      </c>
    </row>
    <row r="694">
      <c r="A694" s="5" t="inlineStr">
        <is>
          <t>#157</t>
        </is>
      </c>
      <c r="B694" s="5" t="inlineStr">
        <is>
          <t>삼각점</t>
        </is>
      </c>
      <c r="C694" s="5" t="inlineStr">
        <is>
          <t>기계315</t>
        </is>
      </c>
      <c r="D694" s="5" t="n">
        <v>4610</v>
      </c>
      <c r="E694" s="5" t="n">
        <v>36.1600998055549</v>
      </c>
      <c r="F694" s="5" t="n">
        <v>129.020600333335</v>
      </c>
      <c r="G694" s="6">
        <f>HYPERLINK("https://map.naver.com/v5/search/36.1600998055549,129.020600333335","📍 네이버")</f>
        <v/>
      </c>
      <c r="H694" s="6">
        <f>HYPERLINK("https://map.kakao.com/link/map/삼각점기계315,36.1600998055549,129.020600333335","📍 카카오")</f>
        <v/>
      </c>
    </row>
    <row r="695">
      <c r="A695" s="5" t="inlineStr">
        <is>
          <t>#157</t>
        </is>
      </c>
      <c r="B695" s="5" t="inlineStr">
        <is>
          <t>삼각점</t>
        </is>
      </c>
      <c r="C695" s="5" t="inlineStr">
        <is>
          <t>기계439</t>
        </is>
      </c>
      <c r="D695" s="5" t="n">
        <v>4613</v>
      </c>
      <c r="E695" s="5" t="n">
        <v>36.1383037499993</v>
      </c>
      <c r="F695" s="5" t="n">
        <v>129.092641444446</v>
      </c>
      <c r="G695" s="6">
        <f>HYPERLINK("https://map.naver.com/v5/search/36.1383037499993,129.092641444446","📍 네이버")</f>
        <v/>
      </c>
      <c r="H695" s="6">
        <f>HYPERLINK("https://map.kakao.com/link/map/삼각점기계439,36.1383037499993,129.092641444446","📍 카카오")</f>
        <v/>
      </c>
    </row>
    <row r="696">
      <c r="A696" s="5" t="inlineStr">
        <is>
          <t>#157</t>
        </is>
      </c>
      <c r="B696" s="5" t="inlineStr">
        <is>
          <t>삼각점</t>
        </is>
      </c>
      <c r="C696" s="5" t="inlineStr">
        <is>
          <t>기계449</t>
        </is>
      </c>
      <c r="D696" s="5" t="n">
        <v>4737</v>
      </c>
      <c r="E696" s="5" t="n">
        <v>36.1005058333327</v>
      </c>
      <c r="F696" s="5" t="n">
        <v>129.000385055557</v>
      </c>
      <c r="G696" s="6">
        <f>HYPERLINK("https://map.naver.com/v5/search/36.1005058333327,129.000385055557","📍 네이버")</f>
        <v/>
      </c>
      <c r="H696" s="6">
        <f>HYPERLINK("https://map.kakao.com/link/map/삼각점기계449,36.1005058333327,129.000385055557","📍 카카오")</f>
        <v/>
      </c>
    </row>
    <row r="697">
      <c r="A697" s="5" t="inlineStr">
        <is>
          <t>#157</t>
        </is>
      </c>
      <c r="B697" s="5" t="inlineStr">
        <is>
          <t>삼각점</t>
        </is>
      </c>
      <c r="C697" s="5" t="inlineStr">
        <is>
          <t>기계320</t>
        </is>
      </c>
      <c r="D697" s="5" t="n">
        <v>4891</v>
      </c>
      <c r="E697" s="5" t="n">
        <v>36.1675449444438</v>
      </c>
      <c r="F697" s="5" t="n">
        <v>129.044043750001</v>
      </c>
      <c r="G697" s="6">
        <f>HYPERLINK("https://map.naver.com/v5/search/36.1675449444438,129.044043750001","📍 네이버")</f>
        <v/>
      </c>
      <c r="H697" s="6">
        <f>HYPERLINK("https://map.kakao.com/link/map/삼각점기계320,36.1675449444438,129.044043750001","📍 카카오")</f>
        <v/>
      </c>
    </row>
    <row r="698">
      <c r="A698" s="5" t="inlineStr">
        <is>
          <t>#157</t>
        </is>
      </c>
      <c r="B698" s="5" t="inlineStr">
        <is>
          <t>삼각점</t>
        </is>
      </c>
      <c r="C698" s="5" t="inlineStr">
        <is>
          <t>기계450</t>
        </is>
      </c>
      <c r="D698" s="5" t="n">
        <v>4943</v>
      </c>
      <c r="E698" s="5" t="n">
        <v>36.1476073611104</v>
      </c>
      <c r="F698" s="5" t="n">
        <v>128.998602472223</v>
      </c>
      <c r="G698" s="6">
        <f>HYPERLINK("https://map.naver.com/v5/search/36.1476073611104,128.998602472223","📍 네이버")</f>
        <v/>
      </c>
      <c r="H698" s="6">
        <f>HYPERLINK("https://map.kakao.com/link/map/삼각점기계450,36.1476073611104,128.998602472223","📍 카카오")</f>
        <v/>
      </c>
    </row>
    <row r="700" ht="18" customHeight="1">
      <c r="A700" s="16" t="inlineStr">
        <is>
          <t>▶ P1 #160  (36.392°N, 129.162°E) / 국가점수 60.3점 / 기준점 15개</t>
        </is>
      </c>
    </row>
    <row r="701">
      <c r="A701" s="5" t="inlineStr">
        <is>
          <t>#160</t>
        </is>
      </c>
      <c r="B701" s="5" t="inlineStr">
        <is>
          <t>삼각점</t>
        </is>
      </c>
      <c r="C701" s="5" t="inlineStr">
        <is>
          <t>청송306</t>
        </is>
      </c>
      <c r="D701" s="5" t="n">
        <v>441</v>
      </c>
      <c r="E701" s="5" t="n">
        <v>36.3883698333327</v>
      </c>
      <c r="F701" s="5" t="n">
        <v>129.161146000002</v>
      </c>
      <c r="G701" s="6">
        <f>HYPERLINK("https://map.naver.com/v5/search/36.3883698333327,129.161146000002","📍 네이버")</f>
        <v/>
      </c>
      <c r="H701" s="6">
        <f>HYPERLINK("https://map.kakao.com/link/map/삼각점청송306,36.3883698333327,129.161146000002","📍 카카오")</f>
        <v/>
      </c>
    </row>
    <row r="702">
      <c r="A702" s="5" t="inlineStr">
        <is>
          <t>#160</t>
        </is>
      </c>
      <c r="B702" s="5" t="inlineStr">
        <is>
          <t>삼각점</t>
        </is>
      </c>
      <c r="C702" s="5" t="inlineStr">
        <is>
          <t>청송430</t>
        </is>
      </c>
      <c r="D702" s="5" t="n">
        <v>2423</v>
      </c>
      <c r="E702" s="5" t="n">
        <v>36.3796758888883</v>
      </c>
      <c r="F702" s="5" t="n">
        <v>129.183572972224</v>
      </c>
      <c r="G702" s="6">
        <f>HYPERLINK("https://map.naver.com/v5/search/36.3796758888883,129.183572972224","📍 네이버")</f>
        <v/>
      </c>
      <c r="H702" s="6">
        <f>HYPERLINK("https://map.kakao.com/link/map/삼각점청송430,36.3796758888883,129.183572972224","📍 카카오")</f>
        <v/>
      </c>
    </row>
    <row r="703">
      <c r="A703" s="5" t="inlineStr">
        <is>
          <t>#160</t>
        </is>
      </c>
      <c r="B703" s="5" t="inlineStr">
        <is>
          <t>삼각점</t>
        </is>
      </c>
      <c r="C703" s="5" t="inlineStr">
        <is>
          <t>청송435</t>
        </is>
      </c>
      <c r="D703" s="5" t="n">
        <v>2627</v>
      </c>
      <c r="E703" s="5" t="n">
        <v>36.3901481944438</v>
      </c>
      <c r="F703" s="5" t="n">
        <v>129.132395805557</v>
      </c>
      <c r="G703" s="6">
        <f>HYPERLINK("https://map.naver.com/v5/search/36.3901481944438,129.132395805557","📍 네이버")</f>
        <v/>
      </c>
      <c r="H703" s="6">
        <f>HYPERLINK("https://map.kakao.com/link/map/삼각점청송435,36.3901481944438,129.132395805557","📍 카카오")</f>
        <v/>
      </c>
    </row>
    <row r="704">
      <c r="A704" s="5" t="inlineStr">
        <is>
          <t>#160</t>
        </is>
      </c>
      <c r="B704" s="5" t="inlineStr">
        <is>
          <t>삼각점</t>
        </is>
      </c>
      <c r="C704" s="5" t="inlineStr">
        <is>
          <t>청송307</t>
        </is>
      </c>
      <c r="D704" s="5" t="n">
        <v>2653</v>
      </c>
      <c r="E704" s="5" t="n">
        <v>36.4072652222216</v>
      </c>
      <c r="F704" s="5" t="n">
        <v>129.138460750002</v>
      </c>
      <c r="G704" s="6">
        <f>HYPERLINK("https://map.naver.com/v5/search/36.4072652222216,129.138460750002","📍 네이버")</f>
        <v/>
      </c>
      <c r="H704" s="6">
        <f>HYPERLINK("https://map.kakao.com/link/map/삼각점청송307,36.4072652222216,129.138460750002","📍 카카오")</f>
        <v/>
      </c>
    </row>
    <row r="705">
      <c r="A705" s="5" t="inlineStr">
        <is>
          <t>#160</t>
        </is>
      </c>
      <c r="B705" s="5" t="inlineStr">
        <is>
          <t>삼각점</t>
        </is>
      </c>
      <c r="C705" s="5" t="inlineStr">
        <is>
          <t>청송434</t>
        </is>
      </c>
      <c r="D705" s="5" t="n">
        <v>2712</v>
      </c>
      <c r="E705" s="5" t="n">
        <v>36.3714676111105</v>
      </c>
      <c r="F705" s="5" t="n">
        <v>129.145802805557</v>
      </c>
      <c r="G705" s="6">
        <f>HYPERLINK("https://map.naver.com/v5/search/36.3714676111105,129.145802805557","📍 네이버")</f>
        <v/>
      </c>
      <c r="H705" s="6">
        <f>HYPERLINK("https://map.kakao.com/link/map/삼각점청송434,36.3714676111105,129.145802805557","📍 카카오")</f>
        <v/>
      </c>
    </row>
    <row r="706">
      <c r="A706" s="5" t="inlineStr">
        <is>
          <t>#160</t>
        </is>
      </c>
      <c r="B706" s="5" t="inlineStr">
        <is>
          <t>삼각점</t>
        </is>
      </c>
      <c r="C706" s="5" t="inlineStr">
        <is>
          <t>청송432</t>
        </is>
      </c>
      <c r="D706" s="5" t="n">
        <v>2954</v>
      </c>
      <c r="E706" s="5" t="n">
        <v>36.4189374444438</v>
      </c>
      <c r="F706" s="5" t="n">
        <v>129.162557833335</v>
      </c>
      <c r="G706" s="6">
        <f>HYPERLINK("https://map.naver.com/v5/search/36.4189374444438,129.162557833335","📍 네이버")</f>
        <v/>
      </c>
      <c r="H706" s="6">
        <f>HYPERLINK("https://map.kakao.com/link/map/삼각점청송432,36.4189374444438,129.162557833335","📍 카카오")</f>
        <v/>
      </c>
    </row>
    <row r="707">
      <c r="A707" s="17" t="inlineStr">
        <is>
          <t>#160</t>
        </is>
      </c>
      <c r="B707" s="17" t="inlineStr">
        <is>
          <t>통합기준점</t>
        </is>
      </c>
      <c r="C707" s="17" t="inlineStr">
        <is>
          <t>U0596</t>
        </is>
      </c>
      <c r="D707" s="17" t="n">
        <v>3871</v>
      </c>
      <c r="E707" s="17" t="n">
        <v>36.3575531666661</v>
      </c>
      <c r="F707" s="17" t="n">
        <v>129.158102766669</v>
      </c>
      <c r="G707" s="18">
        <f>HYPERLINK("https://map.naver.com/v5/search/36.3575531666661,129.158102766669","📍 네이버")</f>
        <v/>
      </c>
      <c r="H707" s="18">
        <f>HYPERLINK("https://map.kakao.com/link/map/통합기준점U0596,36.3575531666661,129.158102766669","📍 카카오")</f>
        <v/>
      </c>
    </row>
    <row r="708">
      <c r="A708" s="5" t="inlineStr">
        <is>
          <t>#160</t>
        </is>
      </c>
      <c r="B708" s="5" t="inlineStr">
        <is>
          <t>삼각점</t>
        </is>
      </c>
      <c r="C708" s="5" t="inlineStr">
        <is>
          <t>청송431</t>
        </is>
      </c>
      <c r="D708" s="5" t="n">
        <v>4034</v>
      </c>
      <c r="E708" s="5" t="n">
        <v>36.3577300277772</v>
      </c>
      <c r="F708" s="5" t="n">
        <v>129.175375055558</v>
      </c>
      <c r="G708" s="6">
        <f>HYPERLINK("https://map.naver.com/v5/search/36.3577300277772,129.175375055558","📍 네이버")</f>
        <v/>
      </c>
      <c r="H708" s="6">
        <f>HYPERLINK("https://map.kakao.com/link/map/삼각점청송431,36.3577300277772,129.175375055558","📍 카카오")</f>
        <v/>
      </c>
    </row>
    <row r="709">
      <c r="A709" s="5" t="inlineStr">
        <is>
          <t>#160</t>
        </is>
      </c>
      <c r="B709" s="5" t="inlineStr">
        <is>
          <t>삼각점</t>
        </is>
      </c>
      <c r="C709" s="5" t="inlineStr">
        <is>
          <t>청송429</t>
        </is>
      </c>
      <c r="D709" s="5" t="n">
        <v>4183</v>
      </c>
      <c r="E709" s="5" t="n">
        <v>36.3821081666661</v>
      </c>
      <c r="F709" s="5" t="n">
        <v>129.206437416669</v>
      </c>
      <c r="G709" s="6">
        <f>HYPERLINK("https://map.naver.com/v5/search/36.3821081666661,129.206437416669","📍 네이버")</f>
        <v/>
      </c>
      <c r="H709" s="6">
        <f>HYPERLINK("https://map.kakao.com/link/map/삼각점청송429,36.3821081666661,129.206437416669","📍 카카오")</f>
        <v/>
      </c>
    </row>
    <row r="710">
      <c r="A710" s="5" t="inlineStr">
        <is>
          <t>#160</t>
        </is>
      </c>
      <c r="B710" s="5" t="inlineStr">
        <is>
          <t>삼각점</t>
        </is>
      </c>
      <c r="C710" s="5" t="inlineStr">
        <is>
          <t>청송437</t>
        </is>
      </c>
      <c r="D710" s="5" t="n">
        <v>4307</v>
      </c>
      <c r="E710" s="5" t="n">
        <v>36.3745331666661</v>
      </c>
      <c r="F710" s="5" t="n">
        <v>129.118890111113</v>
      </c>
      <c r="G710" s="6">
        <f>HYPERLINK("https://map.naver.com/v5/search/36.3745331666661,129.118890111113","📍 네이버")</f>
        <v/>
      </c>
      <c r="H710" s="6">
        <f>HYPERLINK("https://map.kakao.com/link/map/삼각점청송437,36.3745331666661,129.118890111113","📍 카카오")</f>
        <v/>
      </c>
    </row>
    <row r="711">
      <c r="A711" s="5" t="inlineStr">
        <is>
          <t>#160</t>
        </is>
      </c>
      <c r="B711" s="5" t="inlineStr">
        <is>
          <t>삼각점</t>
        </is>
      </c>
      <c r="C711" s="5" t="inlineStr">
        <is>
          <t>청송418</t>
        </is>
      </c>
      <c r="D711" s="5" t="n">
        <v>4441</v>
      </c>
      <c r="E711" s="5" t="n">
        <v>36.4262081111105</v>
      </c>
      <c r="F711" s="5" t="n">
        <v>129.18792277778</v>
      </c>
      <c r="G711" s="6">
        <f>HYPERLINK("https://map.naver.com/v5/search/36.4262081111105,129.18792277778","📍 네이버")</f>
        <v/>
      </c>
      <c r="H711" s="6">
        <f>HYPERLINK("https://map.kakao.com/link/map/삼각점청송418,36.4262081111105,129.18792277778","📍 카카오")</f>
        <v/>
      </c>
    </row>
    <row r="712">
      <c r="A712" s="5" t="inlineStr">
        <is>
          <t>#160</t>
        </is>
      </c>
      <c r="B712" s="5" t="inlineStr">
        <is>
          <t>삼각점</t>
        </is>
      </c>
      <c r="C712" s="5" t="inlineStr">
        <is>
          <t>청송24</t>
        </is>
      </c>
      <c r="D712" s="5" t="n">
        <v>4494</v>
      </c>
      <c r="E712" s="5" t="n">
        <v>36.407781805555</v>
      </c>
      <c r="F712" s="5" t="n">
        <v>129.207869361113</v>
      </c>
      <c r="G712" s="6">
        <f>HYPERLINK("https://map.naver.com/v5/search/36.407781805555,129.207869361113","📍 네이버")</f>
        <v/>
      </c>
      <c r="H712" s="6">
        <f>HYPERLINK("https://map.kakao.com/link/map/삼각점청송24,36.407781805555,129.207869361113","📍 카카오")</f>
        <v/>
      </c>
    </row>
    <row r="713">
      <c r="A713" s="5" t="inlineStr">
        <is>
          <t>#160</t>
        </is>
      </c>
      <c r="B713" s="5" t="inlineStr">
        <is>
          <t>삼각점</t>
        </is>
      </c>
      <c r="C713" s="5" t="inlineStr">
        <is>
          <t>청송438</t>
        </is>
      </c>
      <c r="D713" s="5" t="n">
        <v>4847</v>
      </c>
      <c r="E713" s="5" t="n">
        <v>36.409772555555</v>
      </c>
      <c r="F713" s="5" t="n">
        <v>129.112009333335</v>
      </c>
      <c r="G713" s="6">
        <f>HYPERLINK("https://map.naver.com/v5/search/36.409772555555,129.112009333335","📍 네이버")</f>
        <v/>
      </c>
      <c r="H713" s="6">
        <f>HYPERLINK("https://map.kakao.com/link/map/삼각점청송438,36.409772555555,129.112009333335","📍 카카오")</f>
        <v/>
      </c>
    </row>
    <row r="714">
      <c r="A714" s="5" t="inlineStr">
        <is>
          <t>#160</t>
        </is>
      </c>
      <c r="B714" s="5" t="inlineStr">
        <is>
          <t>삼각점</t>
        </is>
      </c>
      <c r="C714" s="5" t="inlineStr">
        <is>
          <t>청송413</t>
        </is>
      </c>
      <c r="D714" s="5" t="n">
        <v>4928</v>
      </c>
      <c r="E714" s="5" t="n">
        <v>36.4336554722216</v>
      </c>
      <c r="F714" s="5" t="n">
        <v>129.141416638891</v>
      </c>
      <c r="G714" s="6">
        <f>HYPERLINK("https://map.naver.com/v5/search/36.4336554722216,129.141416638891","📍 네이버")</f>
        <v/>
      </c>
      <c r="H714" s="6">
        <f>HYPERLINK("https://map.kakao.com/link/map/삼각점청송413,36.4336554722216,129.141416638891","📍 카카오")</f>
        <v/>
      </c>
    </row>
    <row r="715">
      <c r="A715" s="5" t="inlineStr">
        <is>
          <t>#160</t>
        </is>
      </c>
      <c r="B715" s="5" t="inlineStr">
        <is>
          <t>삼각점</t>
        </is>
      </c>
      <c r="C715" s="5" t="inlineStr">
        <is>
          <t>청송417</t>
        </is>
      </c>
      <c r="D715" s="5" t="n">
        <v>4990</v>
      </c>
      <c r="E715" s="5" t="n">
        <v>36.4367151666661</v>
      </c>
      <c r="F715" s="5" t="n">
        <v>129.170548916669</v>
      </c>
      <c r="G715" s="6">
        <f>HYPERLINK("https://map.naver.com/v5/search/36.4367151666661,129.170548916669","📍 네이버")</f>
        <v/>
      </c>
      <c r="H715" s="6">
        <f>HYPERLINK("https://map.kakao.com/link/map/삼각점청송417,36.4367151666661,129.170548916669","📍 카카오")</f>
        <v/>
      </c>
    </row>
    <row r="717" ht="18" customHeight="1">
      <c r="A717" s="16" t="inlineStr">
        <is>
          <t>▶ P1 #161  (36.663°N, 129.167°E) / 국가점수 58.3점 / 기준점 17개</t>
        </is>
      </c>
    </row>
    <row r="718">
      <c r="A718" s="5" t="inlineStr">
        <is>
          <t>#161</t>
        </is>
      </c>
      <c r="B718" s="5" t="inlineStr">
        <is>
          <t>삼각점</t>
        </is>
      </c>
      <c r="C718" s="5" t="inlineStr">
        <is>
          <t>영양433</t>
        </is>
      </c>
      <c r="D718" s="5" t="n">
        <v>1195</v>
      </c>
      <c r="E718" s="5" t="n">
        <v>36.6548543333328</v>
      </c>
      <c r="F718" s="5" t="n">
        <v>129.158162861113</v>
      </c>
      <c r="G718" s="6">
        <f>HYPERLINK("https://map.naver.com/v5/search/36.6548543333328,129.158162861113","📍 네이버")</f>
        <v/>
      </c>
      <c r="H718" s="6">
        <f>HYPERLINK("https://map.kakao.com/link/map/삼각점영양433,36.6548543333328,129.158162861113","📍 카카오")</f>
        <v/>
      </c>
    </row>
    <row r="719">
      <c r="A719" s="5" t="inlineStr">
        <is>
          <t>#161</t>
        </is>
      </c>
      <c r="B719" s="5" t="inlineStr">
        <is>
          <t>삼각점</t>
        </is>
      </c>
      <c r="C719" s="5" t="inlineStr">
        <is>
          <t>영양418</t>
        </is>
      </c>
      <c r="D719" s="5" t="n">
        <v>1416</v>
      </c>
      <c r="E719" s="5" t="n">
        <v>36.6720130277773</v>
      </c>
      <c r="F719" s="5" t="n">
        <v>129.178155694447</v>
      </c>
      <c r="G719" s="6">
        <f>HYPERLINK("https://map.naver.com/v5/search/36.6720130277773,129.178155694447","📍 네이버")</f>
        <v/>
      </c>
      <c r="H719" s="6">
        <f>HYPERLINK("https://map.kakao.com/link/map/삼각점영양418,36.6720130277773,129.178155694447","📍 카카오")</f>
        <v/>
      </c>
    </row>
    <row r="720">
      <c r="A720" s="5" t="inlineStr">
        <is>
          <t>#161</t>
        </is>
      </c>
      <c r="B720" s="5" t="inlineStr">
        <is>
          <t>삼각점</t>
        </is>
      </c>
      <c r="C720" s="5" t="inlineStr">
        <is>
          <t>영양416</t>
        </is>
      </c>
      <c r="D720" s="5" t="n">
        <v>1759</v>
      </c>
      <c r="E720" s="5" t="n">
        <v>36.6749884166662</v>
      </c>
      <c r="F720" s="5" t="n">
        <v>129.154976500002</v>
      </c>
      <c r="G720" s="6">
        <f>HYPERLINK("https://map.naver.com/v5/search/36.6749884166662,129.154976500002","📍 네이버")</f>
        <v/>
      </c>
      <c r="H720" s="6">
        <f>HYPERLINK("https://map.kakao.com/link/map/삼각점영양416,36.6749884166662,129.154976500002","📍 카카오")</f>
        <v/>
      </c>
    </row>
    <row r="721">
      <c r="A721" s="17" t="inlineStr">
        <is>
          <t>#161</t>
        </is>
      </c>
      <c r="B721" s="17" t="inlineStr">
        <is>
          <t>통합기준점</t>
        </is>
      </c>
      <c r="C721" s="17" t="inlineStr">
        <is>
          <t>U영양36</t>
        </is>
      </c>
      <c r="D721" s="17" t="n">
        <v>1967</v>
      </c>
      <c r="E721" s="17" t="n">
        <v>36.6555536749995</v>
      </c>
      <c r="F721" s="17" t="n">
        <v>129.147208036113</v>
      </c>
      <c r="G721" s="18">
        <f>HYPERLINK("https://map.naver.com/v5/search/36.6555536749995,129.147208036113","📍 네이버")</f>
        <v/>
      </c>
      <c r="H721" s="18">
        <f>HYPERLINK("https://map.kakao.com/link/map/통합기준점U영양36,36.6555536749995,129.147208036113","📍 카카오")</f>
        <v/>
      </c>
    </row>
    <row r="722">
      <c r="A722" s="17" t="inlineStr">
        <is>
          <t>#161</t>
        </is>
      </c>
      <c r="B722" s="17" t="inlineStr">
        <is>
          <t>통합기준점</t>
        </is>
      </c>
      <c r="C722" s="17" t="inlineStr">
        <is>
          <t>U영양47</t>
        </is>
      </c>
      <c r="D722" s="17" t="n">
        <v>2601</v>
      </c>
      <c r="E722" s="17" t="n">
        <v>36.6399381694439</v>
      </c>
      <c r="F722" s="17" t="n">
        <v>129.174461497224</v>
      </c>
      <c r="G722" s="18">
        <f>HYPERLINK("https://map.naver.com/v5/search/36.6399381694439,129.174461497224","📍 네이버")</f>
        <v/>
      </c>
      <c r="H722" s="18">
        <f>HYPERLINK("https://map.kakao.com/link/map/통합기준점U영양47,36.6399381694439,129.174461497224","📍 카카오")</f>
        <v/>
      </c>
    </row>
    <row r="723">
      <c r="A723" s="5" t="inlineStr">
        <is>
          <t>#161</t>
        </is>
      </c>
      <c r="B723" s="5" t="inlineStr">
        <is>
          <t>삼각점</t>
        </is>
      </c>
      <c r="C723" s="5" t="inlineStr">
        <is>
          <t>영양431</t>
        </is>
      </c>
      <c r="D723" s="5" t="n">
        <v>2780</v>
      </c>
      <c r="E723" s="5" t="n">
        <v>36.6449721388884</v>
      </c>
      <c r="F723" s="5" t="n">
        <v>129.189370555558</v>
      </c>
      <c r="G723" s="6">
        <f>HYPERLINK("https://map.naver.com/v5/search/36.6449721388884,129.189370555558","📍 네이버")</f>
        <v/>
      </c>
      <c r="H723" s="6">
        <f>HYPERLINK("https://map.kakao.com/link/map/삼각점영양431,36.6449721388884,129.189370555558","📍 카카오")</f>
        <v/>
      </c>
    </row>
    <row r="724">
      <c r="A724" s="5" t="inlineStr">
        <is>
          <t>#161</t>
        </is>
      </c>
      <c r="B724" s="5" t="inlineStr">
        <is>
          <t>삼각점</t>
        </is>
      </c>
      <c r="C724" s="5" t="inlineStr">
        <is>
          <t>영양23</t>
        </is>
      </c>
      <c r="D724" s="5" t="n">
        <v>3373</v>
      </c>
      <c r="E724" s="5" t="n">
        <v>36.6750328333328</v>
      </c>
      <c r="F724" s="5" t="n">
        <v>129.201832944447</v>
      </c>
      <c r="G724" s="6">
        <f>HYPERLINK("https://map.naver.com/v5/search/36.6750328333328,129.201832944447","📍 네이버")</f>
        <v/>
      </c>
      <c r="H724" s="6">
        <f>HYPERLINK("https://map.kakao.com/link/map/삼각점영양23,36.6750328333328,129.201832944447","📍 카카오")</f>
        <v/>
      </c>
    </row>
    <row r="725">
      <c r="A725" s="5" t="inlineStr">
        <is>
          <t>#161</t>
        </is>
      </c>
      <c r="B725" s="5" t="inlineStr">
        <is>
          <t>삼각점</t>
        </is>
      </c>
      <c r="C725" s="5" t="inlineStr">
        <is>
          <t>영양307</t>
        </is>
      </c>
      <c r="D725" s="5" t="n">
        <v>3478</v>
      </c>
      <c r="E725" s="5" t="n">
        <v>36.631413055555</v>
      </c>
      <c r="F725" s="5" t="n">
        <v>129.164429833335</v>
      </c>
      <c r="G725" s="6">
        <f>HYPERLINK("https://map.naver.com/v5/search/36.631413055555,129.164429833335","📍 네이버")</f>
        <v/>
      </c>
      <c r="H725" s="6">
        <f>HYPERLINK("https://map.kakao.com/link/map/삼각점영양307,36.631413055555,129.164429833335","📍 카카오")</f>
        <v/>
      </c>
    </row>
    <row r="726">
      <c r="A726" s="17" t="inlineStr">
        <is>
          <t>#161</t>
        </is>
      </c>
      <c r="B726" s="17" t="inlineStr">
        <is>
          <t>통합기준점</t>
        </is>
      </c>
      <c r="C726" s="17" t="inlineStr">
        <is>
          <t>U영양48</t>
        </is>
      </c>
      <c r="D726" s="17" t="n">
        <v>3512</v>
      </c>
      <c r="E726" s="17" t="n">
        <v>36.6384363638884</v>
      </c>
      <c r="F726" s="17" t="n">
        <v>129.192637066669</v>
      </c>
      <c r="G726" s="18">
        <f>HYPERLINK("https://map.naver.com/v5/search/36.6384363638884,129.192637066669","📍 네이버")</f>
        <v/>
      </c>
      <c r="H726" s="18">
        <f>HYPERLINK("https://map.kakao.com/link/map/통합기준점U영양48,36.6384363638884,129.192637066669","📍 카카오")</f>
        <v/>
      </c>
    </row>
    <row r="727">
      <c r="A727" s="5" t="inlineStr">
        <is>
          <t>#161</t>
        </is>
      </c>
      <c r="B727" s="5" t="inlineStr">
        <is>
          <t>삼각점</t>
        </is>
      </c>
      <c r="C727" s="5" t="inlineStr">
        <is>
          <t>영양436</t>
        </is>
      </c>
      <c r="D727" s="5" t="n">
        <v>3621</v>
      </c>
      <c r="E727" s="5" t="n">
        <v>36.6454285277772</v>
      </c>
      <c r="F727" s="5" t="n">
        <v>129.132971222224</v>
      </c>
      <c r="G727" s="6">
        <f>HYPERLINK("https://map.naver.com/v5/search/36.6454285277772,129.132971222224","📍 네이버")</f>
        <v/>
      </c>
      <c r="H727" s="6">
        <f>HYPERLINK("https://map.kakao.com/link/map/삼각점영양436,36.6454285277772,129.132971222224","📍 카카오")</f>
        <v/>
      </c>
    </row>
    <row r="728">
      <c r="A728" s="5" t="inlineStr">
        <is>
          <t>#161</t>
        </is>
      </c>
      <c r="B728" s="5" t="inlineStr">
        <is>
          <t>삼각점</t>
        </is>
      </c>
      <c r="C728" s="5" t="inlineStr">
        <is>
          <t>영양303</t>
        </is>
      </c>
      <c r="D728" s="5" t="n">
        <v>4221</v>
      </c>
      <c r="E728" s="5" t="n">
        <v>36.6968041944439</v>
      </c>
      <c r="F728" s="5" t="n">
        <v>129.146520166668</v>
      </c>
      <c r="G728" s="6">
        <f>HYPERLINK("https://map.naver.com/v5/search/36.6968041944439,129.146520166668","📍 네이버")</f>
        <v/>
      </c>
      <c r="H728" s="6">
        <f>HYPERLINK("https://map.kakao.com/link/map/삼각점영양303,36.6968041944439,129.146520166668","📍 카카오")</f>
        <v/>
      </c>
    </row>
    <row r="729">
      <c r="A729" s="5" t="inlineStr">
        <is>
          <t>#161</t>
        </is>
      </c>
      <c r="B729" s="5" t="inlineStr">
        <is>
          <t>삼각점</t>
        </is>
      </c>
      <c r="C729" s="5" t="inlineStr">
        <is>
          <t>영양417</t>
        </is>
      </c>
      <c r="D729" s="5" t="n">
        <v>4311</v>
      </c>
      <c r="E729" s="5" t="n">
        <v>36.7010210277773</v>
      </c>
      <c r="F729" s="5" t="n">
        <v>129.175081972224</v>
      </c>
      <c r="G729" s="6">
        <f>HYPERLINK("https://map.naver.com/v5/search/36.7010210277773,129.175081972224","📍 네이버")</f>
        <v/>
      </c>
      <c r="H729" s="6">
        <f>HYPERLINK("https://map.kakao.com/link/map/삼각점영양417,36.7010210277773,129.175081972224","📍 카카오")</f>
        <v/>
      </c>
    </row>
    <row r="730">
      <c r="A730" s="5" t="inlineStr">
        <is>
          <t>#161</t>
        </is>
      </c>
      <c r="B730" s="5" t="inlineStr">
        <is>
          <t>삼각점</t>
        </is>
      </c>
      <c r="C730" s="5" t="inlineStr">
        <is>
          <t>영양438</t>
        </is>
      </c>
      <c r="D730" s="5" t="n">
        <v>4348</v>
      </c>
      <c r="E730" s="5" t="n">
        <v>36.6674968888884</v>
      </c>
      <c r="F730" s="5" t="n">
        <v>129.119092250002</v>
      </c>
      <c r="G730" s="6">
        <f>HYPERLINK("https://map.naver.com/v5/search/36.6674968888884,129.119092250002","📍 네이버")</f>
        <v/>
      </c>
      <c r="H730" s="6">
        <f>HYPERLINK("https://map.kakao.com/link/map/삼각점영양438,36.6674968888884,129.119092250002","📍 카카오")</f>
        <v/>
      </c>
    </row>
    <row r="731">
      <c r="A731" s="17" t="inlineStr">
        <is>
          <t>#161</t>
        </is>
      </c>
      <c r="B731" s="17" t="inlineStr">
        <is>
          <t>통합기준점</t>
        </is>
      </c>
      <c r="C731" s="17" t="inlineStr">
        <is>
          <t>U0517</t>
        </is>
      </c>
      <c r="D731" s="17" t="n">
        <v>4417</v>
      </c>
      <c r="E731" s="17" t="n">
        <v>36.6575647777773</v>
      </c>
      <c r="F731" s="17" t="n">
        <v>129.118352305557</v>
      </c>
      <c r="G731" s="18">
        <f>HYPERLINK("https://map.naver.com/v5/search/36.6575647777773,129.118352305557","📍 네이버")</f>
        <v/>
      </c>
      <c r="H731" s="18">
        <f>HYPERLINK("https://map.kakao.com/link/map/통합기준점U0517,36.6575647777773,129.118352305557","📍 카카오")</f>
        <v/>
      </c>
    </row>
    <row r="732">
      <c r="A732" s="5" t="inlineStr">
        <is>
          <t>#161</t>
        </is>
      </c>
      <c r="B732" s="5" t="inlineStr">
        <is>
          <t>삼각점</t>
        </is>
      </c>
      <c r="C732" s="5" t="inlineStr">
        <is>
          <t>영양427</t>
        </is>
      </c>
      <c r="D732" s="5" t="n">
        <v>4477</v>
      </c>
      <c r="E732" s="5" t="n">
        <v>36.6517688888883</v>
      </c>
      <c r="F732" s="5" t="n">
        <v>129.215576916669</v>
      </c>
      <c r="G732" s="6">
        <f>HYPERLINK("https://map.naver.com/v5/search/36.6517688888883,129.215576916669","📍 네이버")</f>
        <v/>
      </c>
      <c r="H732" s="6">
        <f>HYPERLINK("https://map.kakao.com/link/map/삼각점영양427,36.6517688888883,129.215576916669","📍 카카오")</f>
        <v/>
      </c>
    </row>
    <row r="733">
      <c r="A733" s="5" t="inlineStr">
        <is>
          <t>#161</t>
        </is>
      </c>
      <c r="B733" s="5" t="inlineStr">
        <is>
          <t>삼각점</t>
        </is>
      </c>
      <c r="C733" s="5" t="inlineStr">
        <is>
          <t>영양435</t>
        </is>
      </c>
      <c r="D733" s="5" t="n">
        <v>4772</v>
      </c>
      <c r="E733" s="5" t="n">
        <v>36.6238836388884</v>
      </c>
      <c r="F733" s="5" t="n">
        <v>129.144306666668</v>
      </c>
      <c r="G733" s="6">
        <f>HYPERLINK("https://map.naver.com/v5/search/36.6238836388884,129.144306666668","📍 네이버")</f>
        <v/>
      </c>
      <c r="H733" s="6">
        <f>HYPERLINK("https://map.kakao.com/link/map/삼각점영양435,36.6238836388884,129.144306666668","📍 카카오")</f>
        <v/>
      </c>
    </row>
    <row r="734">
      <c r="A734" s="17" t="inlineStr">
        <is>
          <t>#161</t>
        </is>
      </c>
      <c r="B734" s="17" t="inlineStr">
        <is>
          <t>통합기준점</t>
        </is>
      </c>
      <c r="C734" s="17" t="inlineStr">
        <is>
          <t>U0516</t>
        </is>
      </c>
      <c r="D734" s="17" t="n">
        <v>4850</v>
      </c>
      <c r="E734" s="17" t="n">
        <v>36.7007969194439</v>
      </c>
      <c r="F734" s="17" t="n">
        <v>129.193905425002</v>
      </c>
      <c r="G734" s="18">
        <f>HYPERLINK("https://map.naver.com/v5/search/36.7007969194439,129.193905425002","📍 네이버")</f>
        <v/>
      </c>
      <c r="H734" s="18">
        <f>HYPERLINK("https://map.kakao.com/link/map/통합기준점U0516,36.7007969194439,129.193905425002","📍 카카오")</f>
        <v/>
      </c>
    </row>
    <row r="736" ht="18" customHeight="1">
      <c r="A736" s="16" t="inlineStr">
        <is>
          <t>▶ P1 #162  (36.753°N, 129.169°E) / 국가점수 61.2점 / 기준점 16개</t>
        </is>
      </c>
    </row>
    <row r="737">
      <c r="A737" s="5" t="inlineStr">
        <is>
          <t>#162</t>
        </is>
      </c>
      <c r="B737" s="5" t="inlineStr">
        <is>
          <t>삼각점</t>
        </is>
      </c>
      <c r="C737" s="5" t="inlineStr">
        <is>
          <t>영양22</t>
        </is>
      </c>
      <c r="D737" s="5" t="n">
        <v>834</v>
      </c>
      <c r="E737" s="5" t="n">
        <v>36.7480089166662</v>
      </c>
      <c r="F737" s="5" t="n">
        <v>129.176524972224</v>
      </c>
      <c r="G737" s="6">
        <f>HYPERLINK("https://map.naver.com/v5/search/36.7480089166662,129.176524972224","📍 네이버")</f>
        <v/>
      </c>
      <c r="H737" s="6">
        <f>HYPERLINK("https://map.kakao.com/link/map/삼각점영양22,36.7480089166662,129.176524972224","📍 카카오")</f>
        <v/>
      </c>
    </row>
    <row r="738">
      <c r="A738" s="5" t="inlineStr">
        <is>
          <t>#162</t>
        </is>
      </c>
      <c r="B738" s="5" t="inlineStr">
        <is>
          <t>삼각점</t>
        </is>
      </c>
      <c r="C738" s="5" t="inlineStr">
        <is>
          <t>영양414</t>
        </is>
      </c>
      <c r="D738" s="5" t="n">
        <v>1839</v>
      </c>
      <c r="E738" s="5" t="n">
        <v>36.7532828611106</v>
      </c>
      <c r="F738" s="5" t="n">
        <v>129.14872127778</v>
      </c>
      <c r="G738" s="6">
        <f>HYPERLINK("https://map.naver.com/v5/search/36.7532828611106,129.14872127778","📍 네이버")</f>
        <v/>
      </c>
      <c r="H738" s="6">
        <f>HYPERLINK("https://map.kakao.com/link/map/삼각점영양414,36.7532828611106,129.14872127778","📍 카카오")</f>
        <v/>
      </c>
    </row>
    <row r="739">
      <c r="A739" s="5" t="inlineStr">
        <is>
          <t>#162</t>
        </is>
      </c>
      <c r="B739" s="5" t="inlineStr">
        <is>
          <t>삼각점</t>
        </is>
      </c>
      <c r="C739" s="5" t="inlineStr">
        <is>
          <t>소천461</t>
        </is>
      </c>
      <c r="D739" s="5" t="n">
        <v>2300</v>
      </c>
      <c r="E739" s="5" t="n">
        <v>36.7735075833328</v>
      </c>
      <c r="F739" s="5" t="n">
        <v>129.169057611113</v>
      </c>
      <c r="G739" s="6">
        <f>HYPERLINK("https://map.naver.com/v5/search/36.7735075833328,129.169057611113","📍 네이버")</f>
        <v/>
      </c>
      <c r="H739" s="6">
        <f>HYPERLINK("https://map.kakao.com/link/map/삼각점소천461,36.7735075833328,129.169057611113","📍 카카오")</f>
        <v/>
      </c>
    </row>
    <row r="740">
      <c r="A740" s="5" t="inlineStr">
        <is>
          <t>#162</t>
        </is>
      </c>
      <c r="B740" s="5" t="inlineStr">
        <is>
          <t>삼각점</t>
        </is>
      </c>
      <c r="C740" s="5" t="inlineStr">
        <is>
          <t>영양419</t>
        </is>
      </c>
      <c r="D740" s="5" t="n">
        <v>2436</v>
      </c>
      <c r="E740" s="5" t="n">
        <v>36.7330619166661</v>
      </c>
      <c r="F740" s="5" t="n">
        <v>129.181294138891</v>
      </c>
      <c r="G740" s="6">
        <f>HYPERLINK("https://map.naver.com/v5/search/36.7330619166661,129.181294138891","📍 네이버")</f>
        <v/>
      </c>
      <c r="H740" s="6">
        <f>HYPERLINK("https://map.kakao.com/link/map/삼각점영양419,36.7330619166661,129.181294138891","📍 카카오")</f>
        <v/>
      </c>
    </row>
    <row r="741">
      <c r="A741" s="5" t="inlineStr">
        <is>
          <t>#162</t>
        </is>
      </c>
      <c r="B741" s="5" t="inlineStr">
        <is>
          <t>삼각점</t>
        </is>
      </c>
      <c r="C741" s="5" t="inlineStr">
        <is>
          <t>소천464</t>
        </is>
      </c>
      <c r="D741" s="5" t="n">
        <v>2815</v>
      </c>
      <c r="E741" s="5" t="n">
        <v>36.7607753611106</v>
      </c>
      <c r="F741" s="5" t="n">
        <v>129.199233500002</v>
      </c>
      <c r="G741" s="6">
        <f>HYPERLINK("https://map.naver.com/v5/search/36.7607753611106,129.199233500002","📍 네이버")</f>
        <v/>
      </c>
      <c r="H741" s="6">
        <f>HYPERLINK("https://map.kakao.com/link/map/삼각점소천464,36.7607753611106,129.199233500002","📍 카카오")</f>
        <v/>
      </c>
    </row>
    <row r="742">
      <c r="A742" s="17" t="inlineStr">
        <is>
          <t>#162</t>
        </is>
      </c>
      <c r="B742" s="17" t="inlineStr">
        <is>
          <t>통합기준점</t>
        </is>
      </c>
      <c r="C742" s="17" t="inlineStr">
        <is>
          <t>U0431</t>
        </is>
      </c>
      <c r="D742" s="17" t="n">
        <v>3231</v>
      </c>
      <c r="E742" s="17" t="n">
        <v>36.766214344444</v>
      </c>
      <c r="F742" s="17" t="n">
        <v>129.201419488891</v>
      </c>
      <c r="G742" s="18">
        <f>HYPERLINK("https://map.naver.com/v5/search/36.766214344444,129.201419488891","📍 네이버")</f>
        <v/>
      </c>
      <c r="H742" s="18">
        <f>HYPERLINK("https://map.kakao.com/link/map/통합기준점U0431,36.766214344444,129.201419488891","📍 카카오")</f>
        <v/>
      </c>
    </row>
    <row r="743">
      <c r="A743" s="5" t="inlineStr">
        <is>
          <t>#162</t>
        </is>
      </c>
      <c r="B743" s="5" t="inlineStr">
        <is>
          <t>삼각점</t>
        </is>
      </c>
      <c r="C743" s="5" t="inlineStr">
        <is>
          <t>영양413</t>
        </is>
      </c>
      <c r="D743" s="5" t="n">
        <v>3445</v>
      </c>
      <c r="E743" s="5" t="n">
        <v>36.7335706111106</v>
      </c>
      <c r="F743" s="5" t="n">
        <v>129.139003361113</v>
      </c>
      <c r="G743" s="6">
        <f>HYPERLINK("https://map.naver.com/v5/search/36.7335706111106,129.139003361113","📍 네이버")</f>
        <v/>
      </c>
      <c r="H743" s="6">
        <f>HYPERLINK("https://map.kakao.com/link/map/삼각점영양413,36.7335706111106,129.139003361113","📍 카카오")</f>
        <v/>
      </c>
    </row>
    <row r="744">
      <c r="A744" s="5" t="inlineStr">
        <is>
          <t>#162</t>
        </is>
      </c>
      <c r="B744" s="5" t="inlineStr">
        <is>
          <t>삼각점</t>
        </is>
      </c>
      <c r="C744" s="5" t="inlineStr">
        <is>
          <t>소천459</t>
        </is>
      </c>
      <c r="D744" s="5" t="n">
        <v>3756</v>
      </c>
      <c r="E744" s="5" t="n">
        <v>36.7848129166662</v>
      </c>
      <c r="F744" s="5" t="n">
        <v>129.155695361113</v>
      </c>
      <c r="G744" s="6">
        <f>HYPERLINK("https://map.naver.com/v5/search/36.7848129166662,129.155695361113","📍 네이버")</f>
        <v/>
      </c>
      <c r="H744" s="6">
        <f>HYPERLINK("https://map.kakao.com/link/map/삼각점소천459,36.7848129166662,129.155695361113","📍 카카오")</f>
        <v/>
      </c>
    </row>
    <row r="745">
      <c r="A745" s="5" t="inlineStr">
        <is>
          <t>#162</t>
        </is>
      </c>
      <c r="B745" s="5" t="inlineStr">
        <is>
          <t>삼각점</t>
        </is>
      </c>
      <c r="C745" s="5" t="inlineStr">
        <is>
          <t>영양420</t>
        </is>
      </c>
      <c r="D745" s="5" t="n">
        <v>4012</v>
      </c>
      <c r="E745" s="5" t="n">
        <v>36.7197221388884</v>
      </c>
      <c r="F745" s="5" t="n">
        <v>129.187514750002</v>
      </c>
      <c r="G745" s="6">
        <f>HYPERLINK("https://map.naver.com/v5/search/36.7197221388884,129.187514750002","📍 네이버")</f>
        <v/>
      </c>
      <c r="H745" s="6">
        <f>HYPERLINK("https://map.kakao.com/link/map/삼각점영양420,36.7197221388884,129.187514750002","📍 카카오")</f>
        <v/>
      </c>
    </row>
    <row r="746">
      <c r="A746" s="5" t="inlineStr">
        <is>
          <t>#162</t>
        </is>
      </c>
      <c r="B746" s="5" t="inlineStr">
        <is>
          <t>삼각점</t>
        </is>
      </c>
      <c r="C746" s="5" t="inlineStr">
        <is>
          <t>영양415</t>
        </is>
      </c>
      <c r="D746" s="5" t="n">
        <v>4159</v>
      </c>
      <c r="E746" s="5" t="n">
        <v>36.7210978611106</v>
      </c>
      <c r="F746" s="5" t="n">
        <v>129.144421583335</v>
      </c>
      <c r="G746" s="6">
        <f>HYPERLINK("https://map.naver.com/v5/search/36.7210978611106,129.144421583335","📍 네이버")</f>
        <v/>
      </c>
      <c r="H746" s="6">
        <f>HYPERLINK("https://map.kakao.com/link/map/삼각점영양415,36.7210978611106,129.144421583335","📍 카카오")</f>
        <v/>
      </c>
    </row>
    <row r="747">
      <c r="A747" s="5" t="inlineStr">
        <is>
          <t>#162</t>
        </is>
      </c>
      <c r="B747" s="5" t="inlineStr">
        <is>
          <t>삼각점</t>
        </is>
      </c>
      <c r="C747" s="5" t="inlineStr">
        <is>
          <t>소천313</t>
        </is>
      </c>
      <c r="D747" s="5" t="n">
        <v>4198</v>
      </c>
      <c r="E747" s="5" t="n">
        <v>36.7903637777773</v>
      </c>
      <c r="F747" s="5" t="n">
        <v>129.163911083335</v>
      </c>
      <c r="G747" s="6">
        <f>HYPERLINK("https://map.naver.com/v5/search/36.7903637777773,129.163911083335","📍 네이버")</f>
        <v/>
      </c>
      <c r="H747" s="6">
        <f>HYPERLINK("https://map.kakao.com/link/map/삼각점소천313,36.7903637777773,129.163911083335","📍 카카오")</f>
        <v/>
      </c>
    </row>
    <row r="748">
      <c r="A748" s="5" t="inlineStr">
        <is>
          <t>#162</t>
        </is>
      </c>
      <c r="B748" s="5" t="inlineStr">
        <is>
          <t>삼각점</t>
        </is>
      </c>
      <c r="C748" s="5" t="inlineStr">
        <is>
          <t>소천312</t>
        </is>
      </c>
      <c r="D748" s="5" t="n">
        <v>4239</v>
      </c>
      <c r="E748" s="5" t="n">
        <v>36.7594351388884</v>
      </c>
      <c r="F748" s="5" t="n">
        <v>129.122562805557</v>
      </c>
      <c r="G748" s="6">
        <f>HYPERLINK("https://map.naver.com/v5/search/36.7594351388884,129.122562805557","📍 네이버")</f>
        <v/>
      </c>
      <c r="H748" s="6">
        <f>HYPERLINK("https://map.kakao.com/link/map/삼각점소천312,36.7594351388884,129.122562805557","📍 카카오")</f>
        <v/>
      </c>
    </row>
    <row r="749">
      <c r="A749" s="5" t="inlineStr">
        <is>
          <t>#162</t>
        </is>
      </c>
      <c r="B749" s="5" t="inlineStr">
        <is>
          <t>삼각점</t>
        </is>
      </c>
      <c r="C749" s="5" t="inlineStr">
        <is>
          <t>소천465</t>
        </is>
      </c>
      <c r="D749" s="5" t="n">
        <v>4422</v>
      </c>
      <c r="E749" s="5" t="n">
        <v>36.7831737777773</v>
      </c>
      <c r="F749" s="5" t="n">
        <v>129.201344861113</v>
      </c>
      <c r="G749" s="6">
        <f>HYPERLINK("https://map.naver.com/v5/search/36.7831737777773,129.201344861113","📍 네이버")</f>
        <v/>
      </c>
      <c r="H749" s="6">
        <f>HYPERLINK("https://map.kakao.com/link/map/삼각점소천465,36.7831737777773,129.201344861113","📍 카카오")</f>
        <v/>
      </c>
    </row>
    <row r="750">
      <c r="A750" s="5" t="inlineStr">
        <is>
          <t>#162</t>
        </is>
      </c>
      <c r="B750" s="5" t="inlineStr">
        <is>
          <t>삼각점</t>
        </is>
      </c>
      <c r="C750" s="5" t="inlineStr">
        <is>
          <t>소천463</t>
        </is>
      </c>
      <c r="D750" s="5" t="n">
        <v>4498</v>
      </c>
      <c r="E750" s="5" t="n">
        <v>36.7903368055551</v>
      </c>
      <c r="F750" s="5" t="n">
        <v>129.188271222224</v>
      </c>
      <c r="G750" s="6">
        <f>HYPERLINK("https://map.naver.com/v5/search/36.7903368055551,129.188271222224","📍 네이버")</f>
        <v/>
      </c>
      <c r="H750" s="6">
        <f>HYPERLINK("https://map.kakao.com/link/map/삼각점소천463,36.7903368055551,129.188271222224","📍 카카오")</f>
        <v/>
      </c>
    </row>
    <row r="751">
      <c r="A751" s="5" t="inlineStr">
        <is>
          <t>#162</t>
        </is>
      </c>
      <c r="B751" s="5" t="inlineStr">
        <is>
          <t>삼각점</t>
        </is>
      </c>
      <c r="C751" s="5" t="inlineStr">
        <is>
          <t>소천466</t>
        </is>
      </c>
      <c r="D751" s="5" t="n">
        <v>4578</v>
      </c>
      <c r="E751" s="5" t="n">
        <v>36.7582763055551</v>
      </c>
      <c r="F751" s="5" t="n">
        <v>129.220124194447</v>
      </c>
      <c r="G751" s="6">
        <f>HYPERLINK("https://map.naver.com/v5/search/36.7582763055551,129.220124194447","📍 네이버")</f>
        <v/>
      </c>
      <c r="H751" s="6">
        <f>HYPERLINK("https://map.kakao.com/link/map/삼각점소천466,36.7582763055551,129.220124194447","📍 카카오")</f>
        <v/>
      </c>
    </row>
    <row r="752">
      <c r="A752" s="5" t="inlineStr">
        <is>
          <t>#162</t>
        </is>
      </c>
      <c r="B752" s="5" t="inlineStr">
        <is>
          <t>삼각점</t>
        </is>
      </c>
      <c r="C752" s="5" t="inlineStr">
        <is>
          <t>영양421</t>
        </is>
      </c>
      <c r="D752" s="5" t="n">
        <v>4605</v>
      </c>
      <c r="E752" s="5" t="n">
        <v>36.7373466388884</v>
      </c>
      <c r="F752" s="5" t="n">
        <v>129.217179944447</v>
      </c>
      <c r="G752" s="6">
        <f>HYPERLINK("https://map.naver.com/v5/search/36.7373466388884,129.217179944447","📍 네이버")</f>
        <v/>
      </c>
      <c r="H752" s="6">
        <f>HYPERLINK("https://map.kakao.com/link/map/삼각점영양421,36.7373466388884,129.217179944447","📍 카카오")</f>
        <v/>
      </c>
    </row>
    <row r="754" ht="18" customHeight="1">
      <c r="A754" s="16" t="inlineStr">
        <is>
          <t>▶ P1 #163  (37.023°N, 129.175°E) / 국가점수 58.4점 / 기준점 13개</t>
        </is>
      </c>
    </row>
    <row r="755">
      <c r="A755" s="5" t="inlineStr">
        <is>
          <t>#163</t>
        </is>
      </c>
      <c r="B755" s="5" t="inlineStr">
        <is>
          <t>삼각점</t>
        </is>
      </c>
      <c r="C755" s="5" t="inlineStr">
        <is>
          <t>장성317</t>
        </is>
      </c>
      <c r="D755" s="5" t="n">
        <v>1519</v>
      </c>
      <c r="E755" s="5" t="n">
        <v>37.0163326666663</v>
      </c>
      <c r="F755" s="5" t="n">
        <v>129.16036652778</v>
      </c>
      <c r="G755" s="6">
        <f>HYPERLINK("https://map.naver.com/v5/search/37.0163326666663,129.16036652778","📍 네이버")</f>
        <v/>
      </c>
      <c r="H755" s="6">
        <f>HYPERLINK("https://map.kakao.com/link/map/삼각점장성317,37.0163326666663,129.16036652778","📍 카카오")</f>
        <v/>
      </c>
    </row>
    <row r="756">
      <c r="A756" s="5" t="inlineStr">
        <is>
          <t>#163</t>
        </is>
      </c>
      <c r="B756" s="5" t="inlineStr">
        <is>
          <t>삼각점</t>
        </is>
      </c>
      <c r="C756" s="5" t="inlineStr">
        <is>
          <t>장성457</t>
        </is>
      </c>
      <c r="D756" s="5" t="n">
        <v>1704</v>
      </c>
      <c r="E756" s="5" t="n">
        <v>37.0199899166663</v>
      </c>
      <c r="F756" s="5" t="n">
        <v>129.193953055558</v>
      </c>
      <c r="G756" s="6">
        <f>HYPERLINK("https://map.naver.com/v5/search/37.0199899166663,129.193953055558","📍 네이버")</f>
        <v/>
      </c>
      <c r="H756" s="6">
        <f>HYPERLINK("https://map.kakao.com/link/map/삼각점장성457,37.0199899166663,129.193953055558","📍 카카오")</f>
        <v/>
      </c>
    </row>
    <row r="757">
      <c r="A757" s="5" t="inlineStr">
        <is>
          <t>#163</t>
        </is>
      </c>
      <c r="B757" s="5" t="inlineStr">
        <is>
          <t>삼각점</t>
        </is>
      </c>
      <c r="C757" s="5" t="inlineStr">
        <is>
          <t>장성318</t>
        </is>
      </c>
      <c r="D757" s="5" t="n">
        <v>2009</v>
      </c>
      <c r="E757" s="5" t="n">
        <v>37.005178194444</v>
      </c>
      <c r="F757" s="5" t="n">
        <v>129.178395444446</v>
      </c>
      <c r="G757" s="6">
        <f>HYPERLINK("https://map.naver.com/v5/search/37.005178194444,129.178395444446","📍 네이버")</f>
        <v/>
      </c>
      <c r="H757" s="6">
        <f>HYPERLINK("https://map.kakao.com/link/map/삼각점장성318,37.005178194444,129.178395444446","📍 카카오")</f>
        <v/>
      </c>
    </row>
    <row r="758">
      <c r="A758" s="5" t="inlineStr">
        <is>
          <t>#163</t>
        </is>
      </c>
      <c r="B758" s="5" t="inlineStr">
        <is>
          <t>삼각점</t>
        </is>
      </c>
      <c r="C758" s="5" t="inlineStr">
        <is>
          <t>장성456</t>
        </is>
      </c>
      <c r="D758" s="5" t="n">
        <v>2266</v>
      </c>
      <c r="E758" s="5" t="n">
        <v>37.0418479166663</v>
      </c>
      <c r="F758" s="5" t="n">
        <v>129.185290166669</v>
      </c>
      <c r="G758" s="6">
        <f>HYPERLINK("https://map.naver.com/v5/search/37.0418479166663,129.185290166669","📍 네이버")</f>
        <v/>
      </c>
      <c r="H758" s="6">
        <f>HYPERLINK("https://map.kakao.com/link/map/삼각점장성456,37.0418479166663,129.185290166669","📍 카카오")</f>
        <v/>
      </c>
    </row>
    <row r="759">
      <c r="A759" s="5" t="inlineStr">
        <is>
          <t>#163</t>
        </is>
      </c>
      <c r="B759" s="5" t="inlineStr">
        <is>
          <t>삼각점</t>
        </is>
      </c>
      <c r="C759" s="5" t="inlineStr">
        <is>
          <t>소천415</t>
        </is>
      </c>
      <c r="D759" s="5" t="n">
        <v>3490</v>
      </c>
      <c r="E759" s="5" t="n">
        <v>37.0015120555552</v>
      </c>
      <c r="F759" s="5" t="n">
        <v>129.146671000002</v>
      </c>
      <c r="G759" s="6">
        <f>HYPERLINK("https://map.naver.com/v5/search/37.0015120555552,129.146671000002","📍 네이버")</f>
        <v/>
      </c>
      <c r="H759" s="6">
        <f>HYPERLINK("https://map.kakao.com/link/map/삼각점소천415,37.0015120555552,129.146671000002","📍 카카오")</f>
        <v/>
      </c>
    </row>
    <row r="760">
      <c r="A760" s="5" t="inlineStr">
        <is>
          <t>#163</t>
        </is>
      </c>
      <c r="B760" s="5" t="inlineStr">
        <is>
          <t>삼각점</t>
        </is>
      </c>
      <c r="C760" s="5" t="inlineStr">
        <is>
          <t>장성455</t>
        </is>
      </c>
      <c r="D760" s="5" t="n">
        <v>3955</v>
      </c>
      <c r="E760" s="5" t="n">
        <v>37.0587334722218</v>
      </c>
      <c r="F760" s="5" t="n">
        <v>129.173996916669</v>
      </c>
      <c r="G760" s="6">
        <f>HYPERLINK("https://map.naver.com/v5/search/37.0587334722218,129.173996916669","📍 네이버")</f>
        <v/>
      </c>
      <c r="H760" s="6">
        <f>HYPERLINK("https://map.kakao.com/link/map/삼각점장성455,37.0587334722218,129.173996916669","📍 카카오")</f>
        <v/>
      </c>
    </row>
    <row r="761">
      <c r="A761" s="5" t="inlineStr">
        <is>
          <t>#163</t>
        </is>
      </c>
      <c r="B761" s="5" t="inlineStr">
        <is>
          <t>삼각점</t>
        </is>
      </c>
      <c r="C761" s="5" t="inlineStr">
        <is>
          <t>소천418</t>
        </is>
      </c>
      <c r="D761" s="5" t="n">
        <v>4038</v>
      </c>
      <c r="E761" s="5" t="n">
        <v>36.9869333333329</v>
      </c>
      <c r="F761" s="5" t="n">
        <v>129.180182055558</v>
      </c>
      <c r="G761" s="6">
        <f>HYPERLINK("https://map.naver.com/v5/search/36.9869333333329,129.180182055558","📍 네이버")</f>
        <v/>
      </c>
      <c r="H761" s="6">
        <f>HYPERLINK("https://map.kakao.com/link/map/삼각점소천418,36.9869333333329,129.180182055558","📍 카카오")</f>
        <v/>
      </c>
    </row>
    <row r="762">
      <c r="A762" s="5" t="inlineStr">
        <is>
          <t>#163</t>
        </is>
      </c>
      <c r="B762" s="5" t="inlineStr">
        <is>
          <t>삼각점</t>
        </is>
      </c>
      <c r="C762" s="5" t="inlineStr">
        <is>
          <t>장성319</t>
        </is>
      </c>
      <c r="D762" s="5" t="n">
        <v>4084</v>
      </c>
      <c r="E762" s="5" t="n">
        <v>37.0430328333329</v>
      </c>
      <c r="F762" s="5" t="n">
        <v>129.213789694447</v>
      </c>
      <c r="G762" s="6">
        <f>HYPERLINK("https://map.naver.com/v5/search/37.0430328333329,129.213789694447","📍 네이버")</f>
        <v/>
      </c>
      <c r="H762" s="6">
        <f>HYPERLINK("https://map.kakao.com/link/map/삼각점장성319,37.0430328333329,129.213789694447","📍 카카오")</f>
        <v/>
      </c>
    </row>
    <row r="763">
      <c r="A763" s="5" t="inlineStr">
        <is>
          <t>#163</t>
        </is>
      </c>
      <c r="B763" s="5" t="inlineStr">
        <is>
          <t>삼각점</t>
        </is>
      </c>
      <c r="C763" s="5" t="inlineStr">
        <is>
          <t>장성460</t>
        </is>
      </c>
      <c r="D763" s="5" t="n">
        <v>4226</v>
      </c>
      <c r="E763" s="5" t="n">
        <v>37.0093351111107</v>
      </c>
      <c r="F763" s="5" t="n">
        <v>129.219478444447</v>
      </c>
      <c r="G763" s="6">
        <f>HYPERLINK("https://map.naver.com/v5/search/37.0093351111107,129.219478444447","📍 네이버")</f>
        <v/>
      </c>
      <c r="H763" s="6">
        <f>HYPERLINK("https://map.kakao.com/link/map/삼각점장성460,37.0093351111107,129.219478444447","📍 카카오")</f>
        <v/>
      </c>
    </row>
    <row r="764">
      <c r="A764" s="5" t="inlineStr">
        <is>
          <t>#163</t>
        </is>
      </c>
      <c r="B764" s="5" t="inlineStr">
        <is>
          <t>삼각점</t>
        </is>
      </c>
      <c r="C764" s="5" t="inlineStr">
        <is>
          <t>장성461</t>
        </is>
      </c>
      <c r="D764" s="5" t="n">
        <v>4347</v>
      </c>
      <c r="E764" s="5" t="n">
        <v>37.0240059722218</v>
      </c>
      <c r="F764" s="5" t="n">
        <v>129.22404102778</v>
      </c>
      <c r="G764" s="6">
        <f>HYPERLINK("https://map.naver.com/v5/search/37.0240059722218,129.22404102778","📍 네이버")</f>
        <v/>
      </c>
      <c r="H764" s="6">
        <f>HYPERLINK("https://map.kakao.com/link/map/삼각점장성461,37.0240059722218,129.22404102778","📍 카카오")</f>
        <v/>
      </c>
    </row>
    <row r="765">
      <c r="A765" s="5" t="inlineStr">
        <is>
          <t>#163</t>
        </is>
      </c>
      <c r="B765" s="5" t="inlineStr">
        <is>
          <t>삼각점</t>
        </is>
      </c>
      <c r="C765" s="5" t="inlineStr">
        <is>
          <t>장성452</t>
        </is>
      </c>
      <c r="D765" s="5" t="n">
        <v>4704</v>
      </c>
      <c r="E765" s="5" t="n">
        <v>37.0115336666663</v>
      </c>
      <c r="F765" s="5" t="n">
        <v>129.124338722224</v>
      </c>
      <c r="G765" s="6">
        <f>HYPERLINK("https://map.naver.com/v5/search/37.0115336666663,129.124338722224","📍 네이버")</f>
        <v/>
      </c>
      <c r="H765" s="6">
        <f>HYPERLINK("https://map.kakao.com/link/map/삼각점장성452,37.0115336666663,129.124338722224","📍 카카오")</f>
        <v/>
      </c>
    </row>
    <row r="766">
      <c r="A766" s="5" t="inlineStr">
        <is>
          <t>#163</t>
        </is>
      </c>
      <c r="B766" s="5" t="inlineStr">
        <is>
          <t>삼각점</t>
        </is>
      </c>
      <c r="C766" s="5" t="inlineStr">
        <is>
          <t>소천22</t>
        </is>
      </c>
      <c r="D766" s="5" t="n">
        <v>4924</v>
      </c>
      <c r="E766" s="5" t="n">
        <v>36.9809257499996</v>
      </c>
      <c r="F766" s="5" t="n">
        <v>129.158004416669</v>
      </c>
      <c r="G766" s="6">
        <f>HYPERLINK("https://map.naver.com/v5/search/36.9809257499996,129.158004416669","📍 네이버")</f>
        <v/>
      </c>
      <c r="H766" s="6">
        <f>HYPERLINK("https://map.kakao.com/link/map/삼각점소천22,36.9809257499996,129.158004416669","📍 카카오")</f>
        <v/>
      </c>
    </row>
    <row r="767">
      <c r="A767" s="5" t="inlineStr">
        <is>
          <t>#163</t>
        </is>
      </c>
      <c r="B767" s="5" t="inlineStr">
        <is>
          <t>삼각점</t>
        </is>
      </c>
      <c r="C767" s="5" t="inlineStr">
        <is>
          <t>장성458</t>
        </is>
      </c>
      <c r="D767" s="5" t="n">
        <v>4993</v>
      </c>
      <c r="E767" s="5" t="n">
        <v>37.0618667499996</v>
      </c>
      <c r="F767" s="5" t="n">
        <v>129.203703388891</v>
      </c>
      <c r="G767" s="6">
        <f>HYPERLINK("https://map.naver.com/v5/search/37.0618667499996,129.203703388891","📍 네이버")</f>
        <v/>
      </c>
      <c r="H767" s="6">
        <f>HYPERLINK("https://map.kakao.com/link/map/삼각점장성458,37.0618667499996,129.203703388891","📍 카카오")</f>
        <v/>
      </c>
    </row>
    <row r="769" ht="18" customHeight="1">
      <c r="A769" s="16" t="inlineStr">
        <is>
          <t>▶ P1 #164  (37.203°N, 129.179°E) / 국가점수 58.7점 / 기준점 17개</t>
        </is>
      </c>
    </row>
    <row r="770">
      <c r="A770" s="5" t="inlineStr">
        <is>
          <t>#164</t>
        </is>
      </c>
      <c r="B770" s="5" t="inlineStr">
        <is>
          <t>삼각점</t>
        </is>
      </c>
      <c r="C770" s="5" t="inlineStr">
        <is>
          <t>장성304</t>
        </is>
      </c>
      <c r="D770" s="5" t="n">
        <v>569</v>
      </c>
      <c r="E770" s="5" t="n">
        <v>37.2015883055552</v>
      </c>
      <c r="F770" s="5" t="n">
        <v>129.185220944447</v>
      </c>
      <c r="G770" s="6">
        <f>HYPERLINK("https://map.naver.com/v5/search/37.2015883055552,129.185220944447","📍 네이버")</f>
        <v/>
      </c>
      <c r="H770" s="6">
        <f>HYPERLINK("https://map.kakao.com/link/map/삼각점장성304,37.2015883055552,129.185220944447","📍 카카오")</f>
        <v/>
      </c>
    </row>
    <row r="771">
      <c r="A771" s="5" t="inlineStr">
        <is>
          <t>#164</t>
        </is>
      </c>
      <c r="B771" s="5" t="inlineStr">
        <is>
          <t>삼각점</t>
        </is>
      </c>
      <c r="C771" s="5" t="inlineStr">
        <is>
          <t>장성419</t>
        </is>
      </c>
      <c r="D771" s="5" t="n">
        <v>2020</v>
      </c>
      <c r="E771" s="5" t="n">
        <v>37.2168809722219</v>
      </c>
      <c r="F771" s="5" t="n">
        <v>129.164009611113</v>
      </c>
      <c r="G771" s="6">
        <f>HYPERLINK("https://map.naver.com/v5/search/37.2168809722219,129.164009611113","📍 네이버")</f>
        <v/>
      </c>
      <c r="H771" s="6">
        <f>HYPERLINK("https://map.kakao.com/link/map/삼각점장성419,37.2168809722219,129.164009611113","📍 카카오")</f>
        <v/>
      </c>
    </row>
    <row r="772">
      <c r="A772" s="5" t="inlineStr">
        <is>
          <t>#164</t>
        </is>
      </c>
      <c r="B772" s="5" t="inlineStr">
        <is>
          <t>삼각점</t>
        </is>
      </c>
      <c r="C772" s="5" t="inlineStr">
        <is>
          <t>장성420</t>
        </is>
      </c>
      <c r="D772" s="5" t="n">
        <v>2209</v>
      </c>
      <c r="E772" s="5" t="n">
        <v>37.1866722222219</v>
      </c>
      <c r="F772" s="5" t="n">
        <v>129.165514194446</v>
      </c>
      <c r="G772" s="6">
        <f>HYPERLINK("https://map.naver.com/v5/search/37.1866722222219,129.165514194446","📍 네이버")</f>
        <v/>
      </c>
      <c r="H772" s="6">
        <f>HYPERLINK("https://map.kakao.com/link/map/삼각점장성420,37.1866722222219,129.165514194446","📍 카카오")</f>
        <v/>
      </c>
    </row>
    <row r="773">
      <c r="A773" s="5" t="inlineStr">
        <is>
          <t>#164</t>
        </is>
      </c>
      <c r="B773" s="5" t="inlineStr">
        <is>
          <t>삼각점</t>
        </is>
      </c>
      <c r="C773" s="5" t="inlineStr">
        <is>
          <t>장성417</t>
        </is>
      </c>
      <c r="D773" s="5" t="n">
        <v>2366</v>
      </c>
      <c r="E773" s="5" t="n">
        <v>37.200754083333</v>
      </c>
      <c r="F773" s="5" t="n">
        <v>129.152719944446</v>
      </c>
      <c r="G773" s="6">
        <f>HYPERLINK("https://map.naver.com/v5/search/37.200754083333,129.152719944446","📍 네이버")</f>
        <v/>
      </c>
      <c r="H773" s="6">
        <f>HYPERLINK("https://map.kakao.com/link/map/삼각점장성417,37.200754083333,129.152719944446","📍 카카오")</f>
        <v/>
      </c>
    </row>
    <row r="774">
      <c r="A774" s="5" t="inlineStr">
        <is>
          <t>#164</t>
        </is>
      </c>
      <c r="B774" s="5" t="inlineStr">
        <is>
          <t>삼각점</t>
        </is>
      </c>
      <c r="C774" s="5" t="inlineStr">
        <is>
          <t>장성423</t>
        </is>
      </c>
      <c r="D774" s="5" t="n">
        <v>2520</v>
      </c>
      <c r="E774" s="5" t="n">
        <v>37.1867402499997</v>
      </c>
      <c r="F774" s="5" t="n">
        <v>129.198598361113</v>
      </c>
      <c r="G774" s="6">
        <f>HYPERLINK("https://map.naver.com/v5/search/37.1867402499997,129.198598361113","📍 네이버")</f>
        <v/>
      </c>
      <c r="H774" s="6">
        <f>HYPERLINK("https://map.kakao.com/link/map/삼각점장성423,37.1867402499997,129.198598361113","📍 카카오")</f>
        <v/>
      </c>
    </row>
    <row r="775">
      <c r="A775" s="5" t="inlineStr">
        <is>
          <t>#164</t>
        </is>
      </c>
      <c r="B775" s="5" t="inlineStr">
        <is>
          <t>삼각점</t>
        </is>
      </c>
      <c r="C775" s="5" t="inlineStr">
        <is>
          <t>장성422</t>
        </is>
      </c>
      <c r="D775" s="5" t="n">
        <v>2801</v>
      </c>
      <c r="E775" s="5" t="n">
        <v>37.2229219999997</v>
      </c>
      <c r="F775" s="5" t="n">
        <v>129.199056500002</v>
      </c>
      <c r="G775" s="6">
        <f>HYPERLINK("https://map.naver.com/v5/search/37.2229219999997,129.199056500002","📍 네이버")</f>
        <v/>
      </c>
      <c r="H775" s="6">
        <f>HYPERLINK("https://map.kakao.com/link/map/삼각점장성422,37.2229219999997,129.199056500002","📍 카카오")</f>
        <v/>
      </c>
    </row>
    <row r="776">
      <c r="A776" s="17" t="inlineStr">
        <is>
          <t>#164</t>
        </is>
      </c>
      <c r="B776" s="17" t="inlineStr">
        <is>
          <t>통합기준점</t>
        </is>
      </c>
      <c r="C776" s="17" t="inlineStr">
        <is>
          <t>U0337</t>
        </is>
      </c>
      <c r="D776" s="17" t="n">
        <v>3034</v>
      </c>
      <c r="E776" s="17" t="n">
        <v>37.2083642777774</v>
      </c>
      <c r="F776" s="17" t="n">
        <v>129.145585330557</v>
      </c>
      <c r="G776" s="18">
        <f>HYPERLINK("https://map.naver.com/v5/search/37.2083642777774,129.145585330557","📍 네이버")</f>
        <v/>
      </c>
      <c r="H776" s="18">
        <f>HYPERLINK("https://map.kakao.com/link/map/통합기준점U0337,37.2083642777774,129.145585330557","📍 카카오")</f>
        <v/>
      </c>
    </row>
    <row r="777">
      <c r="A777" s="5" t="inlineStr">
        <is>
          <t>#164</t>
        </is>
      </c>
      <c r="B777" s="5" t="inlineStr">
        <is>
          <t>삼각점</t>
        </is>
      </c>
      <c r="C777" s="5" t="inlineStr">
        <is>
          <t>장성416</t>
        </is>
      </c>
      <c r="D777" s="5" t="n">
        <v>3270</v>
      </c>
      <c r="E777" s="5" t="n">
        <v>37.1882559722219</v>
      </c>
      <c r="F777" s="5" t="n">
        <v>129.147513333335</v>
      </c>
      <c r="G777" s="6">
        <f>HYPERLINK("https://map.naver.com/v5/search/37.1882559722219,129.147513333335","📍 네이버")</f>
        <v/>
      </c>
      <c r="H777" s="6">
        <f>HYPERLINK("https://map.kakao.com/link/map/삼각점장성416,37.1882559722219,129.147513333335","📍 카카오")</f>
        <v/>
      </c>
    </row>
    <row r="778">
      <c r="A778" s="5" t="inlineStr">
        <is>
          <t>#164</t>
        </is>
      </c>
      <c r="B778" s="5" t="inlineStr">
        <is>
          <t>삼각점</t>
        </is>
      </c>
      <c r="C778" s="5" t="inlineStr">
        <is>
          <t>장성424</t>
        </is>
      </c>
      <c r="D778" s="5" t="n">
        <v>3289</v>
      </c>
      <c r="E778" s="5" t="n">
        <v>37.2070929999997</v>
      </c>
      <c r="F778" s="5" t="n">
        <v>129.215929416669</v>
      </c>
      <c r="G778" s="6">
        <f>HYPERLINK("https://map.naver.com/v5/search/37.2070929999997,129.215929416669","📍 네이버")</f>
        <v/>
      </c>
      <c r="H778" s="6">
        <f>HYPERLINK("https://map.kakao.com/link/map/삼각점장성424,37.2070929999997,129.215929416669","📍 카카오")</f>
        <v/>
      </c>
    </row>
    <row r="779">
      <c r="A779" s="17" t="inlineStr">
        <is>
          <t>#164</t>
        </is>
      </c>
      <c r="B779" s="17" t="inlineStr">
        <is>
          <t>통합기준점</t>
        </is>
      </c>
      <c r="C779" s="17" t="inlineStr">
        <is>
          <t>U장성05</t>
        </is>
      </c>
      <c r="D779" s="17" t="n">
        <v>3471</v>
      </c>
      <c r="E779" s="17" t="n">
        <v>37.2326909277775</v>
      </c>
      <c r="F779" s="17" t="n">
        <v>129.165757983335</v>
      </c>
      <c r="G779" s="18">
        <f>HYPERLINK("https://map.naver.com/v5/search/37.2326909277775,129.165757983335","📍 네이버")</f>
        <v/>
      </c>
      <c r="H779" s="18">
        <f>HYPERLINK("https://map.kakao.com/link/map/통합기준점U장성05,37.2326909277775,129.165757983335","📍 카카오")</f>
        <v/>
      </c>
    </row>
    <row r="780">
      <c r="A780" s="5" t="inlineStr">
        <is>
          <t>#164</t>
        </is>
      </c>
      <c r="B780" s="5" t="inlineStr">
        <is>
          <t>삼각점</t>
        </is>
      </c>
      <c r="C780" s="5" t="inlineStr">
        <is>
          <t>장성421</t>
        </is>
      </c>
      <c r="D780" s="5" t="n">
        <v>3660</v>
      </c>
      <c r="E780" s="5" t="n">
        <v>37.2359764444441</v>
      </c>
      <c r="F780" s="5" t="n">
        <v>129.184879805558</v>
      </c>
      <c r="G780" s="6">
        <f>HYPERLINK("https://map.naver.com/v5/search/37.2359764444441,129.184879805558","📍 네이버")</f>
        <v/>
      </c>
      <c r="H780" s="6">
        <f>HYPERLINK("https://map.kakao.com/link/map/삼각점장성421,37.2359764444441,129.184879805558","📍 카카오")</f>
        <v/>
      </c>
    </row>
    <row r="781">
      <c r="A781" s="17" t="inlineStr">
        <is>
          <t>#164</t>
        </is>
      </c>
      <c r="B781" s="17" t="inlineStr">
        <is>
          <t>통합기준점</t>
        </is>
      </c>
      <c r="C781" s="17" t="inlineStr">
        <is>
          <t>U장성06</t>
        </is>
      </c>
      <c r="D781" s="17" t="n">
        <v>3711</v>
      </c>
      <c r="E781" s="17" t="n">
        <v>37.170285908333</v>
      </c>
      <c r="F781" s="17" t="n">
        <v>129.172606286113</v>
      </c>
      <c r="G781" s="18">
        <f>HYPERLINK("https://map.naver.com/v5/search/37.170285908333,129.172606286113","📍 네이버")</f>
        <v/>
      </c>
      <c r="H781" s="18">
        <f>HYPERLINK("https://map.kakao.com/link/map/통합기준점U장성06,37.170285908333,129.172606286113","📍 카카오")</f>
        <v/>
      </c>
    </row>
    <row r="782">
      <c r="A782" s="5" t="inlineStr">
        <is>
          <t>#164</t>
        </is>
      </c>
      <c r="B782" s="5" t="inlineStr">
        <is>
          <t>삼각점</t>
        </is>
      </c>
      <c r="C782" s="5" t="inlineStr">
        <is>
          <t>장성418</t>
        </is>
      </c>
      <c r="D782" s="5" t="n">
        <v>4199</v>
      </c>
      <c r="E782" s="5" t="n">
        <v>37.1720007499997</v>
      </c>
      <c r="F782" s="5" t="n">
        <v>129.152611638891</v>
      </c>
      <c r="G782" s="6">
        <f>HYPERLINK("https://map.naver.com/v5/search/37.1720007499997,129.152611638891","📍 네이버")</f>
        <v/>
      </c>
      <c r="H782" s="6">
        <f>HYPERLINK("https://map.kakao.com/link/map/삼각점장성418,37.1720007499997,129.152611638891","📍 카카오")</f>
        <v/>
      </c>
    </row>
    <row r="783">
      <c r="A783" s="17" t="inlineStr">
        <is>
          <t>#164</t>
        </is>
      </c>
      <c r="B783" s="17" t="inlineStr">
        <is>
          <t>통합기준점</t>
        </is>
      </c>
      <c r="C783" s="17" t="inlineStr">
        <is>
          <t>U장성04</t>
        </is>
      </c>
      <c r="D783" s="17" t="n">
        <v>4619</v>
      </c>
      <c r="E783" s="17" t="n">
        <v>37.180222433333</v>
      </c>
      <c r="F783" s="17" t="n">
        <v>129.135892147224</v>
      </c>
      <c r="G783" s="18">
        <f>HYPERLINK("https://map.naver.com/v5/search/37.180222433333,129.135892147224","📍 네이버")</f>
        <v/>
      </c>
      <c r="H783" s="18">
        <f>HYPERLINK("https://map.kakao.com/link/map/통합기준점U장성04,37.180222433333,129.135892147224","📍 카카오")</f>
        <v/>
      </c>
    </row>
    <row r="784">
      <c r="A784" s="5" t="inlineStr">
        <is>
          <t>#164</t>
        </is>
      </c>
      <c r="B784" s="5" t="inlineStr">
        <is>
          <t>삼각점</t>
        </is>
      </c>
      <c r="C784" s="5" t="inlineStr">
        <is>
          <t>장성414</t>
        </is>
      </c>
      <c r="D784" s="5" t="n">
        <v>4801</v>
      </c>
      <c r="E784" s="5" t="n">
        <v>37.1882251388885</v>
      </c>
      <c r="F784" s="5" t="n">
        <v>129.128489750002</v>
      </c>
      <c r="G784" s="6">
        <f>HYPERLINK("https://map.naver.com/v5/search/37.1882251388885,129.128489750002","📍 네이버")</f>
        <v/>
      </c>
      <c r="H784" s="6">
        <f>HYPERLINK("https://map.kakao.com/link/map/삼각점장성414,37.1882251388885,129.128489750002","📍 카카오")</f>
        <v/>
      </c>
    </row>
    <row r="785">
      <c r="A785" s="5" t="inlineStr">
        <is>
          <t>#164</t>
        </is>
      </c>
      <c r="B785" s="5" t="inlineStr">
        <is>
          <t>삼각점</t>
        </is>
      </c>
      <c r="C785" s="5" t="inlineStr">
        <is>
          <t>장성11</t>
        </is>
      </c>
      <c r="D785" s="5" t="n">
        <v>4861</v>
      </c>
      <c r="E785" s="5" t="n">
        <v>37.2247389999997</v>
      </c>
      <c r="F785" s="5" t="n">
        <v>129.131408388891</v>
      </c>
      <c r="G785" s="6">
        <f>HYPERLINK("https://map.naver.com/v5/search/37.2247389999997,129.131408388891","📍 네이버")</f>
        <v/>
      </c>
      <c r="H785" s="6">
        <f>HYPERLINK("https://map.kakao.com/link/map/삼각점장성11,37.2247389999997,129.131408388891","📍 카카오")</f>
        <v/>
      </c>
    </row>
    <row r="786">
      <c r="A786" s="5" t="inlineStr">
        <is>
          <t>#164</t>
        </is>
      </c>
      <c r="B786" s="5" t="inlineStr">
        <is>
          <t>삼각점</t>
        </is>
      </c>
      <c r="C786" s="5" t="inlineStr">
        <is>
          <t>장성412</t>
        </is>
      </c>
      <c r="D786" s="5" t="n">
        <v>4871</v>
      </c>
      <c r="E786" s="5" t="n">
        <v>37.2072969166663</v>
      </c>
      <c r="F786" s="5" t="n">
        <v>129.124532277779</v>
      </c>
      <c r="G786" s="6">
        <f>HYPERLINK("https://map.naver.com/v5/search/37.2072969166663,129.124532277779","📍 네이버")</f>
        <v/>
      </c>
      <c r="H786" s="6">
        <f>HYPERLINK("https://map.kakao.com/link/map/삼각점장성412,37.2072969166663,129.124532277779","📍 카카오")</f>
        <v/>
      </c>
    </row>
    <row r="788" ht="18" customHeight="1">
      <c r="A788" s="16" t="inlineStr">
        <is>
          <t>▶ P1 #167  (36.301°N, 129.271°E) / 국가점수 59.0점 / 기준점 12개</t>
        </is>
      </c>
    </row>
    <row r="789">
      <c r="A789" s="5" t="inlineStr">
        <is>
          <t>#167</t>
        </is>
      </c>
      <c r="B789" s="5" t="inlineStr">
        <is>
          <t>삼각점</t>
        </is>
      </c>
      <c r="C789" s="5" t="inlineStr">
        <is>
          <t>영덕434</t>
        </is>
      </c>
      <c r="D789" s="5" t="n">
        <v>1254</v>
      </c>
      <c r="E789" s="5" t="n">
        <v>36.3098323611105</v>
      </c>
      <c r="F789" s="5" t="n">
        <v>129.262907111114</v>
      </c>
      <c r="G789" s="6">
        <f>HYPERLINK("https://map.naver.com/v5/search/36.3098323611105,129.262907111114","📍 네이버")</f>
        <v/>
      </c>
      <c r="H789" s="6">
        <f>HYPERLINK("https://map.kakao.com/link/map/삼각점영덕434,36.3098323611105,129.262907111114","📍 카카오")</f>
        <v/>
      </c>
    </row>
    <row r="790">
      <c r="A790" s="5" t="inlineStr">
        <is>
          <t>#167</t>
        </is>
      </c>
      <c r="B790" s="5" t="inlineStr">
        <is>
          <t>삼각점</t>
        </is>
      </c>
      <c r="C790" s="5" t="inlineStr">
        <is>
          <t>영덕435</t>
        </is>
      </c>
      <c r="D790" s="5" t="n">
        <v>1990</v>
      </c>
      <c r="E790" s="5" t="n">
        <v>36.306146416666</v>
      </c>
      <c r="F790" s="5" t="n">
        <v>129.292054888892</v>
      </c>
      <c r="G790" s="6">
        <f>HYPERLINK("https://map.naver.com/v5/search/36.306146416666,129.292054888892","📍 네이버")</f>
        <v/>
      </c>
      <c r="H790" s="6">
        <f>HYPERLINK("https://map.kakao.com/link/map/삼각점영덕435,36.306146416666,129.292054888892","📍 카카오")</f>
        <v/>
      </c>
    </row>
    <row r="791">
      <c r="A791" s="17" t="inlineStr">
        <is>
          <t>#167</t>
        </is>
      </c>
      <c r="B791" s="17" t="inlineStr">
        <is>
          <t>통합기준점</t>
        </is>
      </c>
      <c r="C791" s="17" t="inlineStr">
        <is>
          <t>U영덕81</t>
        </is>
      </c>
      <c r="D791" s="17" t="n">
        <v>2122</v>
      </c>
      <c r="E791" s="17" t="n">
        <v>36.2912936777771</v>
      </c>
      <c r="F791" s="17" t="n">
        <v>129.250348058336</v>
      </c>
      <c r="G791" s="18">
        <f>HYPERLINK("https://map.naver.com/v5/search/36.2912936777771,129.250348058336","📍 네이버")</f>
        <v/>
      </c>
      <c r="H791" s="18">
        <f>HYPERLINK("https://map.kakao.com/link/map/통합기준점U영덕81,36.2912936777771,129.250348058336","📍 카카오")</f>
        <v/>
      </c>
    </row>
    <row r="792">
      <c r="A792" s="5" t="inlineStr">
        <is>
          <t>#167</t>
        </is>
      </c>
      <c r="B792" s="5" t="inlineStr">
        <is>
          <t>삼각점</t>
        </is>
      </c>
      <c r="C792" s="5" t="inlineStr">
        <is>
          <t>영덕432</t>
        </is>
      </c>
      <c r="D792" s="5" t="n">
        <v>2421</v>
      </c>
      <c r="E792" s="5" t="n">
        <v>36.2880902499993</v>
      </c>
      <c r="F792" s="5" t="n">
        <v>129.248908361114</v>
      </c>
      <c r="G792" s="6">
        <f>HYPERLINK("https://map.naver.com/v5/search/36.2880902499993,129.248908361114","📍 네이버")</f>
        <v/>
      </c>
      <c r="H792" s="6">
        <f>HYPERLINK("https://map.kakao.com/link/map/삼각점영덕432,36.2880902499993,129.248908361114","📍 카카오")</f>
        <v/>
      </c>
    </row>
    <row r="793">
      <c r="A793" s="5" t="inlineStr">
        <is>
          <t>#167</t>
        </is>
      </c>
      <c r="B793" s="5" t="inlineStr">
        <is>
          <t>삼각점</t>
        </is>
      </c>
      <c r="C793" s="5" t="inlineStr">
        <is>
          <t>청송470</t>
        </is>
      </c>
      <c r="D793" s="5" t="n">
        <v>3447</v>
      </c>
      <c r="E793" s="5" t="n">
        <v>36.3143095277771</v>
      </c>
      <c r="F793" s="5" t="n">
        <v>129.236530333336</v>
      </c>
      <c r="G793" s="6">
        <f>HYPERLINK("https://map.naver.com/v5/search/36.3143095277771,129.236530333336","📍 네이버")</f>
        <v/>
      </c>
      <c r="H793" s="6">
        <f>HYPERLINK("https://map.kakao.com/link/map/삼각점청송470,36.3143095277771,129.236530333336","📍 카카오")</f>
        <v/>
      </c>
    </row>
    <row r="794">
      <c r="A794" s="17" t="inlineStr">
        <is>
          <t>#167</t>
        </is>
      </c>
      <c r="B794" s="17" t="inlineStr">
        <is>
          <t>통합기준점</t>
        </is>
      </c>
      <c r="C794" s="17" t="inlineStr">
        <is>
          <t>U영덕61</t>
        </is>
      </c>
      <c r="D794" s="17" t="n">
        <v>3627</v>
      </c>
      <c r="E794" s="17" t="n">
        <v>36.3332929805549</v>
      </c>
      <c r="F794" s="17" t="n">
        <v>129.270495855558</v>
      </c>
      <c r="G794" s="18">
        <f>HYPERLINK("https://map.naver.com/v5/search/36.3332929805549,129.270495855558","📍 네이버")</f>
        <v/>
      </c>
      <c r="H794" s="18">
        <f>HYPERLINK("https://map.kakao.com/link/map/통합기준점U영덕61,36.3332929805549,129.270495855558","📍 카카오")</f>
        <v/>
      </c>
    </row>
    <row r="795">
      <c r="A795" s="5" t="inlineStr">
        <is>
          <t>#167</t>
        </is>
      </c>
      <c r="B795" s="5" t="inlineStr">
        <is>
          <t>삼각점</t>
        </is>
      </c>
      <c r="C795" s="5" t="inlineStr">
        <is>
          <t>영덕308</t>
        </is>
      </c>
      <c r="D795" s="5" t="n">
        <v>3784</v>
      </c>
      <c r="E795" s="5" t="n">
        <v>36.2894510833327</v>
      </c>
      <c r="F795" s="5" t="n">
        <v>129.310790305559</v>
      </c>
      <c r="G795" s="6">
        <f>HYPERLINK("https://map.naver.com/v5/search/36.2894510833327,129.310790305559","📍 네이버")</f>
        <v/>
      </c>
      <c r="H795" s="6">
        <f>HYPERLINK("https://map.kakao.com/link/map/삼각점영덕308,36.2894510833327,129.310790305559","📍 카카오")</f>
        <v/>
      </c>
    </row>
    <row r="796">
      <c r="A796" s="5" t="inlineStr">
        <is>
          <t>#167</t>
        </is>
      </c>
      <c r="B796" s="5" t="inlineStr">
        <is>
          <t>삼각점</t>
        </is>
      </c>
      <c r="C796" s="5" t="inlineStr">
        <is>
          <t>영덕25</t>
        </is>
      </c>
      <c r="D796" s="5" t="n">
        <v>3845</v>
      </c>
      <c r="E796" s="5" t="n">
        <v>36.3332489722216</v>
      </c>
      <c r="F796" s="5" t="n">
        <v>129.285373000003</v>
      </c>
      <c r="G796" s="6">
        <f>HYPERLINK("https://map.naver.com/v5/search/36.3332489722216,129.285373000003","📍 네이버")</f>
        <v/>
      </c>
      <c r="H796" s="6">
        <f>HYPERLINK("https://map.kakao.com/link/map/삼각점영덕25,36.3332489722216,129.285373000003","📍 카카오")</f>
        <v/>
      </c>
    </row>
    <row r="797">
      <c r="A797" s="5" t="inlineStr">
        <is>
          <t>#167</t>
        </is>
      </c>
      <c r="B797" s="5" t="inlineStr">
        <is>
          <t>삼각점</t>
        </is>
      </c>
      <c r="C797" s="5" t="inlineStr">
        <is>
          <t>영덕433</t>
        </is>
      </c>
      <c r="D797" s="5" t="n">
        <v>4233</v>
      </c>
      <c r="E797" s="5" t="n">
        <v>36.3361486944438</v>
      </c>
      <c r="F797" s="5" t="n">
        <v>129.253833222225</v>
      </c>
      <c r="G797" s="6">
        <f>HYPERLINK("https://map.naver.com/v5/search/36.3361486944438,129.253833222225","📍 네이버")</f>
        <v/>
      </c>
      <c r="H797" s="6">
        <f>HYPERLINK("https://map.kakao.com/link/map/삼각점영덕433,36.3361486944438,129.253833222225","📍 카카오")</f>
        <v/>
      </c>
    </row>
    <row r="798">
      <c r="A798" s="5" t="inlineStr">
        <is>
          <t>#167</t>
        </is>
      </c>
      <c r="B798" s="5" t="inlineStr">
        <is>
          <t>삼각점</t>
        </is>
      </c>
      <c r="C798" s="5" t="inlineStr">
        <is>
          <t>영덕11</t>
        </is>
      </c>
      <c r="D798" s="5" t="n">
        <v>4287</v>
      </c>
      <c r="E798" s="5" t="n">
        <v>36.2633276388882</v>
      </c>
      <c r="F798" s="5" t="n">
        <v>129.258465944447</v>
      </c>
      <c r="G798" s="6">
        <f>HYPERLINK("https://map.naver.com/v5/search/36.2633276388882,129.258465944447","📍 네이버")</f>
        <v/>
      </c>
      <c r="H798" s="6">
        <f>HYPERLINK("https://map.kakao.com/link/map/삼각점영덕11,36.2633276388882,129.258465944447","📍 카카오")</f>
        <v/>
      </c>
    </row>
    <row r="799">
      <c r="A799" s="5" t="inlineStr">
        <is>
          <t>#167</t>
        </is>
      </c>
      <c r="B799" s="5" t="inlineStr">
        <is>
          <t>삼각점</t>
        </is>
      </c>
      <c r="C799" s="5" t="inlineStr">
        <is>
          <t>영덕436</t>
        </is>
      </c>
      <c r="D799" s="5" t="n">
        <v>4289</v>
      </c>
      <c r="E799" s="5" t="n">
        <v>36.316963416666</v>
      </c>
      <c r="F799" s="5" t="n">
        <v>129.314251500003</v>
      </c>
      <c r="G799" s="6">
        <f>HYPERLINK("https://map.naver.com/v5/search/36.316963416666,129.314251500003","📍 네이버")</f>
        <v/>
      </c>
      <c r="H799" s="6">
        <f>HYPERLINK("https://map.kakao.com/link/map/삼각점영덕436,36.316963416666,129.314251500003","📍 카카오")</f>
        <v/>
      </c>
    </row>
    <row r="800">
      <c r="A800" s="5" t="inlineStr">
        <is>
          <t>#167</t>
        </is>
      </c>
      <c r="B800" s="5" t="inlineStr">
        <is>
          <t>삼각점</t>
        </is>
      </c>
      <c r="C800" s="5" t="inlineStr">
        <is>
          <t>청송314</t>
        </is>
      </c>
      <c r="D800" s="5" t="n">
        <v>4711</v>
      </c>
      <c r="E800" s="5" t="n">
        <v>36.2878109999994</v>
      </c>
      <c r="F800" s="5" t="n">
        <v>129.220975444447</v>
      </c>
      <c r="G800" s="6">
        <f>HYPERLINK("https://map.naver.com/v5/search/36.2878109999994,129.220975444447","📍 네이버")</f>
        <v/>
      </c>
      <c r="H800" s="6">
        <f>HYPERLINK("https://map.kakao.com/link/map/삼각점청송314,36.2878109999994,129.220975444447","📍 카카오")</f>
        <v/>
      </c>
    </row>
    <row r="802" ht="18" customHeight="1">
      <c r="A802" s="16" t="inlineStr">
        <is>
          <t>▶ P1 #170  (36.751°N, 129.281°E) / 국가점수 58.3점 / 기준점 11개</t>
        </is>
      </c>
    </row>
    <row r="803">
      <c r="A803" s="5" t="inlineStr">
        <is>
          <t>#170</t>
        </is>
      </c>
      <c r="B803" s="5" t="inlineStr">
        <is>
          <t>삼각점</t>
        </is>
      </c>
      <c r="C803" s="5" t="inlineStr">
        <is>
          <t>울진438</t>
        </is>
      </c>
      <c r="D803" s="5" t="n">
        <v>875</v>
      </c>
      <c r="E803" s="5" t="n">
        <v>36.7536771944439</v>
      </c>
      <c r="F803" s="5" t="n">
        <v>129.290565861114</v>
      </c>
      <c r="G803" s="6">
        <f>HYPERLINK("https://map.naver.com/v5/search/36.7536771944439,129.290565861114","📍 네이버")</f>
        <v/>
      </c>
      <c r="H803" s="6">
        <f>HYPERLINK("https://map.kakao.com/link/map/삼각점울진438,36.7536771944439,129.290565861114","📍 카카오")</f>
        <v/>
      </c>
    </row>
    <row r="804">
      <c r="A804" s="5" t="inlineStr">
        <is>
          <t>#170</t>
        </is>
      </c>
      <c r="B804" s="5" t="inlineStr">
        <is>
          <t>삼각점</t>
        </is>
      </c>
      <c r="C804" s="5" t="inlineStr">
        <is>
          <t>병곡401</t>
        </is>
      </c>
      <c r="D804" s="5" t="n">
        <v>1660</v>
      </c>
      <c r="E804" s="5" t="n">
        <v>36.7470034166662</v>
      </c>
      <c r="F804" s="5" t="n">
        <v>129.263412750003</v>
      </c>
      <c r="G804" s="6">
        <f>HYPERLINK("https://map.naver.com/v5/search/36.7470034166662,129.263412750003","📍 네이버")</f>
        <v/>
      </c>
      <c r="H804" s="6">
        <f>HYPERLINK("https://map.kakao.com/link/map/삼각점병곡401,36.7470034166662,129.263412750003","📍 카카오")</f>
        <v/>
      </c>
    </row>
    <row r="805">
      <c r="A805" s="5" t="inlineStr">
        <is>
          <t>#170</t>
        </is>
      </c>
      <c r="B805" s="5" t="inlineStr">
        <is>
          <t>삼각점</t>
        </is>
      </c>
      <c r="C805" s="5" t="inlineStr">
        <is>
          <t>병곡403</t>
        </is>
      </c>
      <c r="D805" s="5" t="n">
        <v>2899</v>
      </c>
      <c r="E805" s="5" t="n">
        <v>36.7263147777773</v>
      </c>
      <c r="F805" s="5" t="n">
        <v>129.271214833336</v>
      </c>
      <c r="G805" s="6">
        <f>HYPERLINK("https://map.naver.com/v5/search/36.7263147777773,129.271214833336","📍 네이버")</f>
        <v/>
      </c>
      <c r="H805" s="6">
        <f>HYPERLINK("https://map.kakao.com/link/map/삼각점병곡403,36.7263147777773,129.271214833336","📍 카카오")</f>
        <v/>
      </c>
    </row>
    <row r="806">
      <c r="A806" s="5" t="inlineStr">
        <is>
          <t>#170</t>
        </is>
      </c>
      <c r="B806" s="5" t="inlineStr">
        <is>
          <t>삼각점</t>
        </is>
      </c>
      <c r="C806" s="5" t="inlineStr">
        <is>
          <t>울진437</t>
        </is>
      </c>
      <c r="D806" s="5" t="n">
        <v>2971</v>
      </c>
      <c r="E806" s="5" t="n">
        <v>36.7756587777773</v>
      </c>
      <c r="F806" s="5" t="n">
        <v>129.26788002778</v>
      </c>
      <c r="G806" s="6">
        <f>HYPERLINK("https://map.naver.com/v5/search/36.7756587777773,129.26788002778","📍 네이버")</f>
        <v/>
      </c>
      <c r="H806" s="6">
        <f>HYPERLINK("https://map.kakao.com/link/map/삼각점울진437,36.7756587777773,129.26788002778","📍 카카오")</f>
        <v/>
      </c>
    </row>
    <row r="807">
      <c r="A807" s="5" t="inlineStr">
        <is>
          <t>#170</t>
        </is>
      </c>
      <c r="B807" s="5" t="inlineStr">
        <is>
          <t>삼각점</t>
        </is>
      </c>
      <c r="C807" s="5" t="inlineStr">
        <is>
          <t>울진309</t>
        </is>
      </c>
      <c r="D807" s="5" t="n">
        <v>3537</v>
      </c>
      <c r="E807" s="5" t="n">
        <v>36.7738026666662</v>
      </c>
      <c r="F807" s="5" t="n">
        <v>129.309157027781</v>
      </c>
      <c r="G807" s="6">
        <f>HYPERLINK("https://map.naver.com/v5/search/36.7738026666662,129.309157027781","📍 네이버")</f>
        <v/>
      </c>
      <c r="H807" s="6">
        <f>HYPERLINK("https://map.kakao.com/link/map/삼각점울진309,36.7738026666662,129.309157027781","📍 카카오")</f>
        <v/>
      </c>
    </row>
    <row r="808">
      <c r="A808" s="5" t="inlineStr">
        <is>
          <t>#170</t>
        </is>
      </c>
      <c r="B808" s="5" t="inlineStr">
        <is>
          <t>삼각점</t>
        </is>
      </c>
      <c r="C808" s="5" t="inlineStr">
        <is>
          <t>영양423</t>
        </is>
      </c>
      <c r="D808" s="5" t="n">
        <v>3772</v>
      </c>
      <c r="E808" s="5" t="n">
        <v>36.7370983611106</v>
      </c>
      <c r="F808" s="5" t="n">
        <v>129.242818416669</v>
      </c>
      <c r="G808" s="6">
        <f>HYPERLINK("https://map.naver.com/v5/search/36.7370983611106,129.242818416669","📍 네이버")</f>
        <v/>
      </c>
      <c r="H808" s="6">
        <f>HYPERLINK("https://map.kakao.com/link/map/삼각점영양423,36.7370983611106,129.242818416669","📍 카카오")</f>
        <v/>
      </c>
    </row>
    <row r="809">
      <c r="A809" s="5" t="inlineStr">
        <is>
          <t>#170</t>
        </is>
      </c>
      <c r="B809" s="5" t="inlineStr">
        <is>
          <t>삼각점</t>
        </is>
      </c>
      <c r="C809" s="5" t="inlineStr">
        <is>
          <t>병곡406</t>
        </is>
      </c>
      <c r="D809" s="5" t="n">
        <v>3795</v>
      </c>
      <c r="E809" s="5" t="n">
        <v>36.7331519444439</v>
      </c>
      <c r="F809" s="5" t="n">
        <v>129.317408833336</v>
      </c>
      <c r="G809" s="6">
        <f>HYPERLINK("https://map.naver.com/v5/search/36.7331519444439,129.317408833336","📍 네이버")</f>
        <v/>
      </c>
      <c r="H809" s="6">
        <f>HYPERLINK("https://map.kakao.com/link/map/삼각점병곡406,36.7331519444439,129.317408833336","📍 카카오")</f>
        <v/>
      </c>
    </row>
    <row r="810">
      <c r="A810" s="5" t="inlineStr">
        <is>
          <t>#170</t>
        </is>
      </c>
      <c r="B810" s="5" t="inlineStr">
        <is>
          <t>삼각점</t>
        </is>
      </c>
      <c r="C810" s="5" t="inlineStr">
        <is>
          <t>울진440</t>
        </is>
      </c>
      <c r="D810" s="5" t="n">
        <v>3810</v>
      </c>
      <c r="E810" s="5" t="n">
        <v>36.7552777777773</v>
      </c>
      <c r="F810" s="5" t="n">
        <v>129.323635361114</v>
      </c>
      <c r="G810" s="6">
        <f>HYPERLINK("https://map.naver.com/v5/search/36.7552777777773,129.323635361114","📍 네이버")</f>
        <v/>
      </c>
      <c r="H810" s="6">
        <f>HYPERLINK("https://map.kakao.com/link/map/삼각점울진440,36.7552777777773,129.323635361114","📍 카카오")</f>
        <v/>
      </c>
    </row>
    <row r="811">
      <c r="A811" s="5" t="inlineStr">
        <is>
          <t>#170</t>
        </is>
      </c>
      <c r="B811" s="5" t="inlineStr">
        <is>
          <t>삼각점</t>
        </is>
      </c>
      <c r="C811" s="5" t="inlineStr">
        <is>
          <t>병곡11</t>
        </is>
      </c>
      <c r="D811" s="5" t="n">
        <v>4171</v>
      </c>
      <c r="E811" s="5" t="n">
        <v>36.7164418888884</v>
      </c>
      <c r="F811" s="5" t="n">
        <v>129.299213444447</v>
      </c>
      <c r="G811" s="6">
        <f>HYPERLINK("https://map.naver.com/v5/search/36.7164418888884,129.299213444447","📍 네이버")</f>
        <v/>
      </c>
      <c r="H811" s="6">
        <f>HYPERLINK("https://map.kakao.com/link/map/삼각점병곡11,36.7164418888884,129.299213444447","📍 카카오")</f>
        <v/>
      </c>
    </row>
    <row r="812">
      <c r="A812" s="5" t="inlineStr">
        <is>
          <t>#170</t>
        </is>
      </c>
      <c r="B812" s="5" t="inlineStr">
        <is>
          <t>삼각점</t>
        </is>
      </c>
      <c r="C812" s="5" t="inlineStr">
        <is>
          <t>병곡402</t>
        </is>
      </c>
      <c r="D812" s="5" t="n">
        <v>4521</v>
      </c>
      <c r="E812" s="5" t="n">
        <v>36.7129604166662</v>
      </c>
      <c r="F812" s="5" t="n">
        <v>129.263635944447</v>
      </c>
      <c r="G812" s="6">
        <f>HYPERLINK("https://map.naver.com/v5/search/36.7129604166662,129.263635944447","📍 네이버")</f>
        <v/>
      </c>
      <c r="H812" s="6">
        <f>HYPERLINK("https://map.kakao.com/link/map/삼각점병곡402,36.7129604166662,129.263635944447","📍 카카오")</f>
        <v/>
      </c>
    </row>
    <row r="813">
      <c r="A813" s="5" t="inlineStr">
        <is>
          <t>#170</t>
        </is>
      </c>
      <c r="B813" s="5" t="inlineStr">
        <is>
          <t>삼각점</t>
        </is>
      </c>
      <c r="C813" s="5" t="inlineStr">
        <is>
          <t>소천314</t>
        </is>
      </c>
      <c r="D813" s="5" t="n">
        <v>4609</v>
      </c>
      <c r="E813" s="5" t="n">
        <v>36.7713329166662</v>
      </c>
      <c r="F813" s="5" t="n">
        <v>129.236156333336</v>
      </c>
      <c r="G813" s="6">
        <f>HYPERLINK("https://map.naver.com/v5/search/36.7713329166662,129.236156333336","📍 네이버")</f>
        <v/>
      </c>
      <c r="H813" s="6">
        <f>HYPERLINK("https://map.kakao.com/link/map/삼각점소천314,36.7713329166662,129.236156333336","📍 카카오")</f>
        <v/>
      </c>
    </row>
    <row r="815" ht="18" customHeight="1">
      <c r="A815" s="16" t="inlineStr">
        <is>
          <t>▶ P1 #172  (36.931°N, 129.285°E) / 국가점수 59.0점 / 기준점 14개</t>
        </is>
      </c>
    </row>
    <row r="816">
      <c r="A816" s="5" t="inlineStr">
        <is>
          <t>#172</t>
        </is>
      </c>
      <c r="B816" s="5" t="inlineStr">
        <is>
          <t>삼각점</t>
        </is>
      </c>
      <c r="C816" s="5" t="inlineStr">
        <is>
          <t>울진302</t>
        </is>
      </c>
      <c r="D816" s="5" t="n">
        <v>1178</v>
      </c>
      <c r="E816" s="5" t="n">
        <v>36.9309981666662</v>
      </c>
      <c r="F816" s="5" t="n">
        <v>129.298691111114</v>
      </c>
      <c r="G816" s="6">
        <f>HYPERLINK("https://map.naver.com/v5/search/36.9309981666662,129.298691111114","📍 네이버")</f>
        <v/>
      </c>
      <c r="H816" s="6">
        <f>HYPERLINK("https://map.kakao.com/link/map/삼각점울진302,36.9309981666662,129.298691111114","📍 카카오")</f>
        <v/>
      </c>
    </row>
    <row r="817">
      <c r="A817" s="5" t="inlineStr">
        <is>
          <t>#172</t>
        </is>
      </c>
      <c r="B817" s="5" t="inlineStr">
        <is>
          <t>삼각점</t>
        </is>
      </c>
      <c r="C817" s="5" t="inlineStr">
        <is>
          <t>울진403</t>
        </is>
      </c>
      <c r="D817" s="5" t="n">
        <v>1632</v>
      </c>
      <c r="E817" s="5" t="n">
        <v>36.9255612777773</v>
      </c>
      <c r="F817" s="5" t="n">
        <v>129.268632194447</v>
      </c>
      <c r="G817" s="6">
        <f>HYPERLINK("https://map.naver.com/v5/search/36.9255612777773,129.268632194447","📍 네이버")</f>
        <v/>
      </c>
      <c r="H817" s="6">
        <f>HYPERLINK("https://map.kakao.com/link/map/삼각점울진403,36.9255612777773,129.268632194447","📍 카카오")</f>
        <v/>
      </c>
    </row>
    <row r="818">
      <c r="A818" s="17" t="inlineStr">
        <is>
          <t>#172</t>
        </is>
      </c>
      <c r="B818" s="17" t="inlineStr">
        <is>
          <t>통합기준점</t>
        </is>
      </c>
      <c r="C818" s="17" t="inlineStr">
        <is>
          <t>U울진22</t>
        </is>
      </c>
      <c r="D818" s="17" t="n">
        <v>1835</v>
      </c>
      <c r="E818" s="17" t="n">
        <v>36.9478986416662</v>
      </c>
      <c r="F818" s="17" t="n">
        <v>129.285387611114</v>
      </c>
      <c r="G818" s="18">
        <f>HYPERLINK("https://map.naver.com/v5/search/36.9478986416662,129.285387611114","📍 네이버")</f>
        <v/>
      </c>
      <c r="H818" s="18">
        <f>HYPERLINK("https://map.kakao.com/link/map/통합기준점U울진22,36.9478986416662,129.285387611114","📍 카카오")</f>
        <v/>
      </c>
    </row>
    <row r="819">
      <c r="A819" s="5" t="inlineStr">
        <is>
          <t>#172</t>
        </is>
      </c>
      <c r="B819" s="5" t="inlineStr">
        <is>
          <t>삼각점</t>
        </is>
      </c>
      <c r="C819" s="5" t="inlineStr">
        <is>
          <t>울진401</t>
        </is>
      </c>
      <c r="D819" s="5" t="n">
        <v>2370</v>
      </c>
      <c r="E819" s="5" t="n">
        <v>36.9440271388885</v>
      </c>
      <c r="F819" s="5" t="n">
        <v>129.264043888892</v>
      </c>
      <c r="G819" s="6">
        <f>HYPERLINK("https://map.naver.com/v5/search/36.9440271388885,129.264043888892","📍 네이버")</f>
        <v/>
      </c>
      <c r="H819" s="6">
        <f>HYPERLINK("https://map.kakao.com/link/map/삼각점울진401,36.9440271388885,129.264043888892","📍 카카오")</f>
        <v/>
      </c>
    </row>
    <row r="820">
      <c r="A820" s="5" t="inlineStr">
        <is>
          <t>#172</t>
        </is>
      </c>
      <c r="B820" s="5" t="inlineStr">
        <is>
          <t>삼각점</t>
        </is>
      </c>
      <c r="C820" s="5" t="inlineStr">
        <is>
          <t>울진407</t>
        </is>
      </c>
      <c r="D820" s="5" t="n">
        <v>2786</v>
      </c>
      <c r="E820" s="5" t="n">
        <v>36.9441046666662</v>
      </c>
      <c r="F820" s="5" t="n">
        <v>129.31241291667</v>
      </c>
      <c r="G820" s="6">
        <f>HYPERLINK("https://map.naver.com/v5/search/36.9441046666662,129.31241291667","📍 네이버")</f>
        <v/>
      </c>
      <c r="H820" s="6">
        <f>HYPERLINK("https://map.kakao.com/link/map/삼각점울진407,36.9441046666662,129.31241291667","📍 카카오")</f>
        <v/>
      </c>
    </row>
    <row r="821">
      <c r="A821" s="5" t="inlineStr">
        <is>
          <t>#172</t>
        </is>
      </c>
      <c r="B821" s="5" t="inlineStr">
        <is>
          <t>삼각점</t>
        </is>
      </c>
      <c r="C821" s="5" t="inlineStr">
        <is>
          <t>울진430</t>
        </is>
      </c>
      <c r="D821" s="5" t="n">
        <v>2840</v>
      </c>
      <c r="E821" s="5" t="n">
        <v>36.9067588888884</v>
      </c>
      <c r="F821" s="5" t="n">
        <v>129.29425741667</v>
      </c>
      <c r="G821" s="6">
        <f>HYPERLINK("https://map.naver.com/v5/search/36.9067588888884,129.29425741667","📍 네이버")</f>
        <v/>
      </c>
      <c r="H821" s="6">
        <f>HYPERLINK("https://map.kakao.com/link/map/삼각점울진430,36.9067588888884,129.29425741667","📍 카카오")</f>
        <v/>
      </c>
    </row>
    <row r="822">
      <c r="A822" s="5" t="inlineStr">
        <is>
          <t>#172</t>
        </is>
      </c>
      <c r="B822" s="5" t="inlineStr">
        <is>
          <t>삼각점</t>
        </is>
      </c>
      <c r="C822" s="5" t="inlineStr">
        <is>
          <t>울진406</t>
        </is>
      </c>
      <c r="D822" s="5" t="n">
        <v>3072</v>
      </c>
      <c r="E822" s="5" t="n">
        <v>36.9587089999996</v>
      </c>
      <c r="F822" s="5" t="n">
        <v>129.290792555558</v>
      </c>
      <c r="G822" s="6">
        <f>HYPERLINK("https://map.naver.com/v5/search/36.9587089999996,129.290792555558","📍 네이버")</f>
        <v/>
      </c>
      <c r="H822" s="6">
        <f>HYPERLINK("https://map.kakao.com/link/map/삼각점울진406,36.9587089999996,129.290792555558","📍 카카오")</f>
        <v/>
      </c>
    </row>
    <row r="823">
      <c r="A823" s="5" t="inlineStr">
        <is>
          <t>#172</t>
        </is>
      </c>
      <c r="B823" s="5" t="inlineStr">
        <is>
          <t>삼각점</t>
        </is>
      </c>
      <c r="C823" s="5" t="inlineStr">
        <is>
          <t>울진308</t>
        </is>
      </c>
      <c r="D823" s="5" t="n">
        <v>3436</v>
      </c>
      <c r="E823" s="5" t="n">
        <v>36.9120092222218</v>
      </c>
      <c r="F823" s="5" t="n">
        <v>129.255369361114</v>
      </c>
      <c r="G823" s="6">
        <f>HYPERLINK("https://map.naver.com/v5/search/36.9120092222218,129.255369361114","📍 네이버")</f>
        <v/>
      </c>
      <c r="H823" s="6">
        <f>HYPERLINK("https://map.kakao.com/link/map/삼각점울진308,36.9120092222218,129.255369361114","📍 카카오")</f>
        <v/>
      </c>
    </row>
    <row r="824">
      <c r="A824" s="17" t="inlineStr">
        <is>
          <t>#172</t>
        </is>
      </c>
      <c r="B824" s="17" t="inlineStr">
        <is>
          <t>통합기준점</t>
        </is>
      </c>
      <c r="C824" s="17" t="inlineStr">
        <is>
          <t>U0426</t>
        </is>
      </c>
      <c r="D824" s="17" t="n">
        <v>3571</v>
      </c>
      <c r="E824" s="17" t="n">
        <v>36.9356115972218</v>
      </c>
      <c r="F824" s="17" t="n">
        <v>129.245730086114</v>
      </c>
      <c r="G824" s="18">
        <f>HYPERLINK("https://map.naver.com/v5/search/36.9356115972218,129.245730086114","📍 네이버")</f>
        <v/>
      </c>
      <c r="H824" s="18">
        <f>HYPERLINK("https://map.kakao.com/link/map/통합기준점U0426,36.9356115972218,129.245730086114","📍 카카오")</f>
        <v/>
      </c>
    </row>
    <row r="825">
      <c r="A825" s="5" t="inlineStr">
        <is>
          <t>#172</t>
        </is>
      </c>
      <c r="B825" s="5" t="inlineStr">
        <is>
          <t>삼각점</t>
        </is>
      </c>
      <c r="C825" s="5" t="inlineStr">
        <is>
          <t>울진429</t>
        </is>
      </c>
      <c r="D825" s="5" t="n">
        <v>3691</v>
      </c>
      <c r="E825" s="5" t="n">
        <v>36.9180941111106</v>
      </c>
      <c r="F825" s="5" t="n">
        <v>129.323463444448</v>
      </c>
      <c r="G825" s="6">
        <f>HYPERLINK("https://map.naver.com/v5/search/36.9180941111106,129.323463444448","📍 네이버")</f>
        <v/>
      </c>
      <c r="H825" s="6">
        <f>HYPERLINK("https://map.kakao.com/link/map/삼각점울진429,36.9180941111106,129.323463444448","📍 카카오")</f>
        <v/>
      </c>
    </row>
    <row r="826">
      <c r="A826" s="5" t="inlineStr">
        <is>
          <t>#172</t>
        </is>
      </c>
      <c r="B826" s="5" t="inlineStr">
        <is>
          <t>삼각점</t>
        </is>
      </c>
      <c r="C826" s="5" t="inlineStr">
        <is>
          <t>소천425</t>
        </is>
      </c>
      <c r="D826" s="5" t="n">
        <v>3822</v>
      </c>
      <c r="E826" s="5" t="n">
        <v>36.9266447222218</v>
      </c>
      <c r="F826" s="5" t="n">
        <v>129.242966472225</v>
      </c>
      <c r="G826" s="6">
        <f>HYPERLINK("https://map.naver.com/v5/search/36.9266447222218,129.242966472225","📍 네이버")</f>
        <v/>
      </c>
      <c r="H826" s="6">
        <f>HYPERLINK("https://map.kakao.com/link/map/삼각점소천425,36.9266447222218,129.242966472225","📍 카카오")</f>
        <v/>
      </c>
    </row>
    <row r="827">
      <c r="A827" s="5" t="inlineStr">
        <is>
          <t>#172</t>
        </is>
      </c>
      <c r="B827" s="5" t="inlineStr">
        <is>
          <t>삼각점</t>
        </is>
      </c>
      <c r="C827" s="5" t="inlineStr">
        <is>
          <t>울진402</t>
        </is>
      </c>
      <c r="D827" s="5" t="n">
        <v>3992</v>
      </c>
      <c r="E827" s="5" t="n">
        <v>36.9637024166662</v>
      </c>
      <c r="F827" s="5" t="n">
        <v>129.265831750003</v>
      </c>
      <c r="G827" s="6">
        <f>HYPERLINK("https://map.naver.com/v5/search/36.9637024166662,129.265831750003","📍 네이버")</f>
        <v/>
      </c>
      <c r="H827" s="6">
        <f>HYPERLINK("https://map.kakao.com/link/map/삼각점울진402,36.9637024166662,129.265831750003","📍 카카오")</f>
        <v/>
      </c>
    </row>
    <row r="828">
      <c r="A828" s="17" t="inlineStr">
        <is>
          <t>#172</t>
        </is>
      </c>
      <c r="B828" s="17" t="inlineStr">
        <is>
          <t>통합기준점</t>
        </is>
      </c>
      <c r="C828" s="17" t="inlineStr">
        <is>
          <t>U0433</t>
        </is>
      </c>
      <c r="D828" s="17" t="n">
        <v>4813</v>
      </c>
      <c r="E828" s="17" t="n">
        <v>36.9648698361107</v>
      </c>
      <c r="F828" s="17" t="n">
        <v>129.319779219448</v>
      </c>
      <c r="G828" s="18">
        <f>HYPERLINK("https://map.naver.com/v5/search/36.9648698361107,129.319779219448","📍 네이버")</f>
        <v/>
      </c>
      <c r="H828" s="18">
        <f>HYPERLINK("https://map.kakao.com/link/map/통합기준점U0433,36.9648698361107,129.319779219448","📍 카카오")</f>
        <v/>
      </c>
    </row>
    <row r="829">
      <c r="A829" s="5" t="inlineStr">
        <is>
          <t>#172</t>
        </is>
      </c>
      <c r="B829" s="5" t="inlineStr">
        <is>
          <t>삼각점</t>
        </is>
      </c>
      <c r="C829" s="5" t="inlineStr">
        <is>
          <t>울진411</t>
        </is>
      </c>
      <c r="D829" s="5" t="n">
        <v>4972</v>
      </c>
      <c r="E829" s="5" t="n">
        <v>36.9400157222218</v>
      </c>
      <c r="F829" s="5" t="n">
        <v>129.340236250003</v>
      </c>
      <c r="G829" s="6">
        <f>HYPERLINK("https://map.naver.com/v5/search/36.9400157222218,129.340236250003","📍 네이버")</f>
        <v/>
      </c>
      <c r="H829" s="6">
        <f>HYPERLINK("https://map.kakao.com/link/map/삼각점울진411,36.9400157222218,129.340236250003","📍 카카오")</f>
        <v/>
      </c>
    </row>
    <row r="831" ht="18" customHeight="1">
      <c r="A831" s="16" t="inlineStr">
        <is>
          <t>▶ P1 #173  (37.021°N, 129.288°E) / 국가점수 58.7점 / 기준점 13개</t>
        </is>
      </c>
    </row>
    <row r="832">
      <c r="A832" s="5" t="inlineStr">
        <is>
          <t>#173</t>
        </is>
      </c>
      <c r="B832" s="5" t="inlineStr">
        <is>
          <t>삼각점</t>
        </is>
      </c>
      <c r="C832" s="5" t="inlineStr">
        <is>
          <t>죽변425</t>
        </is>
      </c>
      <c r="D832" s="5" t="n">
        <v>598</v>
      </c>
      <c r="E832" s="5" t="n">
        <v>37.019491944444</v>
      </c>
      <c r="F832" s="5" t="n">
        <v>129.293821777781</v>
      </c>
      <c r="G832" s="6">
        <f>HYPERLINK("https://map.naver.com/v5/search/37.019491944444,129.293821777781","📍 네이버")</f>
        <v/>
      </c>
      <c r="H832" s="6">
        <f>HYPERLINK("https://map.kakao.com/link/map/삼각점죽변425,37.019491944444,129.293821777781","📍 카카오")</f>
        <v/>
      </c>
    </row>
    <row r="833">
      <c r="A833" s="5" t="inlineStr">
        <is>
          <t>#173</t>
        </is>
      </c>
      <c r="B833" s="5" t="inlineStr">
        <is>
          <t>삼각점</t>
        </is>
      </c>
      <c r="C833" s="5" t="inlineStr">
        <is>
          <t>죽변422</t>
        </is>
      </c>
      <c r="D833" s="5" t="n">
        <v>1401</v>
      </c>
      <c r="E833" s="5" t="n">
        <v>37.0253375277774</v>
      </c>
      <c r="F833" s="5" t="n">
        <v>129.27258027778</v>
      </c>
      <c r="G833" s="6">
        <f>HYPERLINK("https://map.naver.com/v5/search/37.0253375277774,129.27258027778","📍 네이버")</f>
        <v/>
      </c>
      <c r="H833" s="6">
        <f>HYPERLINK("https://map.kakao.com/link/map/삼각점죽변422,37.0253375277774,129.27258027778","📍 카카오")</f>
        <v/>
      </c>
    </row>
    <row r="834">
      <c r="A834" s="5" t="inlineStr">
        <is>
          <t>#173</t>
        </is>
      </c>
      <c r="B834" s="5" t="inlineStr">
        <is>
          <t>삼각점</t>
        </is>
      </c>
      <c r="C834" s="5" t="inlineStr">
        <is>
          <t>울진301</t>
        </is>
      </c>
      <c r="D834" s="5" t="n">
        <v>2368</v>
      </c>
      <c r="E834" s="5" t="n">
        <v>37.0008646388885</v>
      </c>
      <c r="F834" s="5" t="n">
        <v>129.294522000003</v>
      </c>
      <c r="G834" s="6">
        <f>HYPERLINK("https://map.naver.com/v5/search/37.0008646388885,129.294522000003","📍 네이버")</f>
        <v/>
      </c>
      <c r="H834" s="6">
        <f>HYPERLINK("https://map.kakao.com/link/map/삼각점울진301,37.0008646388885,129.294522000003","📍 카카오")</f>
        <v/>
      </c>
    </row>
    <row r="835">
      <c r="A835" s="5" t="inlineStr">
        <is>
          <t>#173</t>
        </is>
      </c>
      <c r="B835" s="5" t="inlineStr">
        <is>
          <t>삼각점</t>
        </is>
      </c>
      <c r="C835" s="5" t="inlineStr">
        <is>
          <t>죽변427</t>
        </is>
      </c>
      <c r="D835" s="5" t="n">
        <v>2834</v>
      </c>
      <c r="E835" s="5" t="n">
        <v>37.0167756111107</v>
      </c>
      <c r="F835" s="5" t="n">
        <v>129.318876388892</v>
      </c>
      <c r="G835" s="6">
        <f>HYPERLINK("https://map.naver.com/v5/search/37.0167756111107,129.318876388892","📍 네이버")</f>
        <v/>
      </c>
      <c r="H835" s="6">
        <f>HYPERLINK("https://map.kakao.com/link/map/삼각점죽변427,37.0167756111107,129.318876388892","📍 카카오")</f>
        <v/>
      </c>
    </row>
    <row r="836">
      <c r="A836" s="5" t="inlineStr">
        <is>
          <t>#173</t>
        </is>
      </c>
      <c r="B836" s="5" t="inlineStr">
        <is>
          <t>삼각점</t>
        </is>
      </c>
      <c r="C836" s="5" t="inlineStr">
        <is>
          <t>죽변424</t>
        </is>
      </c>
      <c r="D836" s="5" t="n">
        <v>2987</v>
      </c>
      <c r="E836" s="5" t="n">
        <v>37.0482726388885</v>
      </c>
      <c r="F836" s="5" t="n">
        <v>129.284605694447</v>
      </c>
      <c r="G836" s="6">
        <f>HYPERLINK("https://map.naver.com/v5/search/37.0482726388885,129.284605694447","📍 네이버")</f>
        <v/>
      </c>
      <c r="H836" s="6">
        <f>HYPERLINK("https://map.kakao.com/link/map/삼각점죽변424,37.0482726388885,129.284605694447","📍 카카오")</f>
        <v/>
      </c>
    </row>
    <row r="837">
      <c r="A837" s="5" t="inlineStr">
        <is>
          <t>#173</t>
        </is>
      </c>
      <c r="B837" s="5" t="inlineStr">
        <is>
          <t>삼각점</t>
        </is>
      </c>
      <c r="C837" s="5" t="inlineStr">
        <is>
          <t>울진404</t>
        </is>
      </c>
      <c r="D837" s="5" t="n">
        <v>2990</v>
      </c>
      <c r="E837" s="5" t="n">
        <v>36.9976089166662</v>
      </c>
      <c r="F837" s="5" t="n">
        <v>129.271928194447</v>
      </c>
      <c r="G837" s="6">
        <f>HYPERLINK("https://map.naver.com/v5/search/36.9976089166662,129.271928194447","📍 네이버")</f>
        <v/>
      </c>
      <c r="H837" s="6">
        <f>HYPERLINK("https://map.kakao.com/link/map/삼각점울진404,36.9976089166662,129.271928194447","📍 카카오")</f>
        <v/>
      </c>
    </row>
    <row r="838">
      <c r="A838" s="5" t="inlineStr">
        <is>
          <t>#173</t>
        </is>
      </c>
      <c r="B838" s="5" t="inlineStr">
        <is>
          <t>삼각점</t>
        </is>
      </c>
      <c r="C838" s="5" t="inlineStr">
        <is>
          <t>죽변426</t>
        </is>
      </c>
      <c r="D838" s="5" t="n">
        <v>3349</v>
      </c>
      <c r="E838" s="5" t="n">
        <v>37.0415370555551</v>
      </c>
      <c r="F838" s="5" t="n">
        <v>129.315675361114</v>
      </c>
      <c r="G838" s="6">
        <f>HYPERLINK("https://map.naver.com/v5/search/37.0415370555551,129.315675361114","📍 네이버")</f>
        <v/>
      </c>
      <c r="H838" s="6">
        <f>HYPERLINK("https://map.kakao.com/link/map/삼각점죽변426,37.0415370555551,129.315675361114","📍 카카오")</f>
        <v/>
      </c>
    </row>
    <row r="839">
      <c r="A839" s="5" t="inlineStr">
        <is>
          <t>#173</t>
        </is>
      </c>
      <c r="B839" s="5" t="inlineStr">
        <is>
          <t>삼각점</t>
        </is>
      </c>
      <c r="C839" s="5" t="inlineStr">
        <is>
          <t>죽변309</t>
        </is>
      </c>
      <c r="D839" s="5" t="n">
        <v>3842</v>
      </c>
      <c r="E839" s="5" t="n">
        <v>37.0444006111107</v>
      </c>
      <c r="F839" s="5" t="n">
        <v>129.255226861114</v>
      </c>
      <c r="G839" s="6">
        <f>HYPERLINK("https://map.naver.com/v5/search/37.0444006111107,129.255226861114","📍 네이버")</f>
        <v/>
      </c>
      <c r="H839" s="6">
        <f>HYPERLINK("https://map.kakao.com/link/map/삼각점죽변309,37.0444006111107,129.255226861114","📍 카카오")</f>
        <v/>
      </c>
    </row>
    <row r="840">
      <c r="A840" s="5" t="inlineStr">
        <is>
          <t>#173</t>
        </is>
      </c>
      <c r="B840" s="5" t="inlineStr">
        <is>
          <t>삼각점</t>
        </is>
      </c>
      <c r="C840" s="5" t="inlineStr">
        <is>
          <t>죽변22</t>
        </is>
      </c>
      <c r="D840" s="5" t="n">
        <v>3926</v>
      </c>
      <c r="E840" s="5" t="n">
        <v>37.0049906111107</v>
      </c>
      <c r="F840" s="5" t="n">
        <v>129.248520444447</v>
      </c>
      <c r="G840" s="6">
        <f>HYPERLINK("https://map.naver.com/v5/search/37.0049906111107,129.248520444447","📍 네이버")</f>
        <v/>
      </c>
      <c r="H840" s="6">
        <f>HYPERLINK("https://map.kakao.com/link/map/삼각점죽변22,37.0049906111107,129.248520444447","📍 카카오")</f>
        <v/>
      </c>
    </row>
    <row r="841">
      <c r="A841" s="5" t="inlineStr">
        <is>
          <t>#173</t>
        </is>
      </c>
      <c r="B841" s="5" t="inlineStr">
        <is>
          <t>삼각점</t>
        </is>
      </c>
      <c r="C841" s="5" t="inlineStr">
        <is>
          <t>울진409</t>
        </is>
      </c>
      <c r="D841" s="5" t="n">
        <v>4010</v>
      </c>
      <c r="E841" s="5" t="n">
        <v>37.0003348055551</v>
      </c>
      <c r="F841" s="5" t="n">
        <v>129.324129888892</v>
      </c>
      <c r="G841" s="6">
        <f>HYPERLINK("https://map.naver.com/v5/search/37.0003348055551,129.324129888892","📍 네이버")</f>
        <v/>
      </c>
      <c r="H841" s="6">
        <f>HYPERLINK("https://map.kakao.com/link/map/삼각점울진409,37.0003348055551,129.324129888892","📍 카카오")</f>
        <v/>
      </c>
    </row>
    <row r="842">
      <c r="A842" s="17" t="inlineStr">
        <is>
          <t>#173</t>
        </is>
      </c>
      <c r="B842" s="17" t="inlineStr">
        <is>
          <t>통합기준점</t>
        </is>
      </c>
      <c r="C842" s="17" t="inlineStr">
        <is>
          <t>U0347</t>
        </is>
      </c>
      <c r="D842" s="17" t="n">
        <v>4528</v>
      </c>
      <c r="E842" s="17" t="n">
        <v>37.062004619444</v>
      </c>
      <c r="F842" s="17" t="n">
        <v>129.293271355558</v>
      </c>
      <c r="G842" s="18">
        <f>HYPERLINK("https://map.naver.com/v5/search/37.062004619444,129.293271355558","📍 네이버")</f>
        <v/>
      </c>
      <c r="H842" s="18">
        <f>HYPERLINK("https://map.kakao.com/link/map/통합기준점U0347,37.062004619444,129.293271355558","📍 카카오")</f>
        <v/>
      </c>
    </row>
    <row r="843">
      <c r="A843" s="5" t="inlineStr">
        <is>
          <t>#173</t>
        </is>
      </c>
      <c r="B843" s="5" t="inlineStr">
        <is>
          <t>삼각점</t>
        </is>
      </c>
      <c r="C843" s="5" t="inlineStr">
        <is>
          <t>울진405</t>
        </is>
      </c>
      <c r="D843" s="5" t="n">
        <v>4596</v>
      </c>
      <c r="E843" s="5" t="n">
        <v>36.9801951111107</v>
      </c>
      <c r="F843" s="5" t="n">
        <v>129.283138472225</v>
      </c>
      <c r="G843" s="6">
        <f>HYPERLINK("https://map.naver.com/v5/search/36.9801951111107,129.283138472225","📍 네이버")</f>
        <v/>
      </c>
      <c r="H843" s="6">
        <f>HYPERLINK("https://map.kakao.com/link/map/삼각점울진405,36.9801951111107,129.283138472225","📍 카카오")</f>
        <v/>
      </c>
    </row>
    <row r="844">
      <c r="A844" s="5" t="inlineStr">
        <is>
          <t>#173</t>
        </is>
      </c>
      <c r="B844" s="5" t="inlineStr">
        <is>
          <t>삼각점</t>
        </is>
      </c>
      <c r="C844" s="5" t="inlineStr">
        <is>
          <t>죽변310</t>
        </is>
      </c>
      <c r="D844" s="5" t="n">
        <v>4802</v>
      </c>
      <c r="E844" s="5" t="n">
        <v>37.0273816388885</v>
      </c>
      <c r="F844" s="5" t="n">
        <v>129.34103091667</v>
      </c>
      <c r="G844" s="6">
        <f>HYPERLINK("https://map.naver.com/v5/search/37.0273816388885,129.34103091667","📍 네이버")</f>
        <v/>
      </c>
      <c r="H844" s="6">
        <f>HYPERLINK("https://map.kakao.com/link/map/삼각점죽변310,37.0273816388885,129.34103091667","📍 카카오")</f>
        <v/>
      </c>
    </row>
    <row r="846" ht="18" customHeight="1">
      <c r="A846" s="16" t="inlineStr">
        <is>
          <t>▶ P1 #177  (35.666°N, 129.478°E) / 국가점수 60.3점 / 기준점 7개</t>
        </is>
      </c>
    </row>
    <row r="847">
      <c r="A847" s="17" t="inlineStr">
        <is>
          <t>#177</t>
        </is>
      </c>
      <c r="B847" s="17" t="inlineStr">
        <is>
          <t>통합기준점</t>
        </is>
      </c>
      <c r="C847" s="17" t="inlineStr">
        <is>
          <t>U울산07</t>
        </is>
      </c>
      <c r="D847" s="17" t="n">
        <v>1950</v>
      </c>
      <c r="E847" s="17" t="n">
        <v>35.6773998805547</v>
      </c>
      <c r="F847" s="17" t="n">
        <v>129.461029977782</v>
      </c>
      <c r="G847" s="18">
        <f>HYPERLINK("https://map.naver.com/v5/search/35.6773998805547,129.461029977782","📍 네이버")</f>
        <v/>
      </c>
      <c r="H847" s="18">
        <f>HYPERLINK("https://map.kakao.com/link/map/통합기준점U울산07,35.6773998805547,129.461029977782","📍 카카오")</f>
        <v/>
      </c>
    </row>
    <row r="848">
      <c r="A848" s="5" t="inlineStr">
        <is>
          <t>#177</t>
        </is>
      </c>
      <c r="B848" s="5" t="inlineStr">
        <is>
          <t>삼각점</t>
        </is>
      </c>
      <c r="C848" s="5" t="inlineStr">
        <is>
          <t>울산420</t>
        </is>
      </c>
      <c r="D848" s="5" t="n">
        <v>2438</v>
      </c>
      <c r="E848" s="5" t="n">
        <v>35.6721469999991</v>
      </c>
      <c r="F848" s="5" t="n">
        <v>129.451821388893</v>
      </c>
      <c r="G848" s="6">
        <f>HYPERLINK("https://map.naver.com/v5/search/35.6721469999991,129.451821388893","📍 네이버")</f>
        <v/>
      </c>
      <c r="H848" s="6">
        <f>HYPERLINK("https://map.kakao.com/link/map/삼각점울산420,35.6721469999991,129.451821388893","📍 카카오")</f>
        <v/>
      </c>
    </row>
    <row r="849">
      <c r="A849" s="5" t="inlineStr">
        <is>
          <t>#177</t>
        </is>
      </c>
      <c r="B849" s="5" t="inlineStr">
        <is>
          <t>삼각점</t>
        </is>
      </c>
      <c r="C849" s="5" t="inlineStr">
        <is>
          <t>울산423</t>
        </is>
      </c>
      <c r="D849" s="5" t="n">
        <v>2463</v>
      </c>
      <c r="E849" s="5" t="n">
        <v>35.6875467222213</v>
      </c>
      <c r="F849" s="5" t="n">
        <v>129.469643777782</v>
      </c>
      <c r="G849" s="6">
        <f>HYPERLINK("https://map.naver.com/v5/search/35.6875467222213,129.469643777782","📍 네이버")</f>
        <v/>
      </c>
      <c r="H849" s="6">
        <f>HYPERLINK("https://map.kakao.com/link/map/삼각점울산423,35.6875467222213,129.469643777782","📍 카카오")</f>
        <v/>
      </c>
    </row>
    <row r="850">
      <c r="A850" s="17" t="inlineStr">
        <is>
          <t>#177</t>
        </is>
      </c>
      <c r="B850" s="17" t="inlineStr">
        <is>
          <t>통합기준점</t>
        </is>
      </c>
      <c r="C850" s="17" t="inlineStr">
        <is>
          <t>U0837</t>
        </is>
      </c>
      <c r="D850" s="17" t="n">
        <v>3539</v>
      </c>
      <c r="E850" s="17" t="n">
        <v>35.6977625027769</v>
      </c>
      <c r="F850" s="17" t="n">
        <v>129.470873522227</v>
      </c>
      <c r="G850" s="18">
        <f>HYPERLINK("https://map.naver.com/v5/search/35.6977625027769,129.470873522227","📍 네이버")</f>
        <v/>
      </c>
      <c r="H850" s="18">
        <f>HYPERLINK("https://map.kakao.com/link/map/통합기준점U0837,35.6977625027769,129.470873522227","📍 카카오")</f>
        <v/>
      </c>
    </row>
    <row r="851">
      <c r="A851" s="17" t="inlineStr">
        <is>
          <t>#177</t>
        </is>
      </c>
      <c r="B851" s="17" t="inlineStr">
        <is>
          <t>통합기준점</t>
        </is>
      </c>
      <c r="C851" s="17" t="inlineStr">
        <is>
          <t>U울산14</t>
        </is>
      </c>
      <c r="D851" s="17" t="n">
        <v>3970</v>
      </c>
      <c r="E851" s="17" t="n">
        <v>35.6462085111102</v>
      </c>
      <c r="F851" s="17" t="n">
        <v>129.441579075004</v>
      </c>
      <c r="G851" s="18">
        <f>HYPERLINK("https://map.naver.com/v5/search/35.6462085111102,129.441579075004","📍 네이버")</f>
        <v/>
      </c>
      <c r="H851" s="18">
        <f>HYPERLINK("https://map.kakao.com/link/map/통합기준점U울산14,35.6462085111102,129.441579075004","📍 카카오")</f>
        <v/>
      </c>
    </row>
    <row r="852">
      <c r="A852" s="5" t="inlineStr">
        <is>
          <t>#177</t>
        </is>
      </c>
      <c r="B852" s="5" t="inlineStr">
        <is>
          <t>삼각점</t>
        </is>
      </c>
      <c r="C852" s="5" t="inlineStr">
        <is>
          <t>울산307</t>
        </is>
      </c>
      <c r="D852" s="5" t="n">
        <v>4167</v>
      </c>
      <c r="E852" s="5" t="n">
        <v>35.6524715555547</v>
      </c>
      <c r="F852" s="5" t="n">
        <v>129.435049111115</v>
      </c>
      <c r="G852" s="6">
        <f>HYPERLINK("https://map.naver.com/v5/search/35.6524715555547,129.435049111115","📍 네이버")</f>
        <v/>
      </c>
      <c r="H852" s="6">
        <f>HYPERLINK("https://map.kakao.com/link/map/삼각점울산307,35.6524715555547,129.435049111115","📍 카카오")</f>
        <v/>
      </c>
    </row>
    <row r="853">
      <c r="A853" s="5" t="inlineStr">
        <is>
          <t>#177</t>
        </is>
      </c>
      <c r="B853" s="5" t="inlineStr">
        <is>
          <t>삼각점</t>
        </is>
      </c>
      <c r="C853" s="5" t="inlineStr">
        <is>
          <t>울산421</t>
        </is>
      </c>
      <c r="D853" s="5" t="n">
        <v>4513</v>
      </c>
      <c r="E853" s="5" t="n">
        <v>35.7015132499991</v>
      </c>
      <c r="F853" s="5" t="n">
        <v>129.452697972227</v>
      </c>
      <c r="G853" s="6">
        <f>HYPERLINK("https://map.naver.com/v5/search/35.7015132499991,129.452697972227","📍 네이버")</f>
        <v/>
      </c>
      <c r="H853" s="6">
        <f>HYPERLINK("https://map.kakao.com/link/map/삼각점울산421,35.7015132499991,129.452697972227","📍 카카오")</f>
        <v/>
      </c>
    </row>
    <row r="855" ht="18" customHeight="1">
      <c r="A855" s="16" t="inlineStr">
        <is>
          <t>▶ P1 #178  (37.437°N, 130.880°E) / 국가점수 89.3점 / 기준점 3개</t>
        </is>
      </c>
    </row>
    <row r="856">
      <c r="A856" s="5" t="inlineStr">
        <is>
          <t>#178</t>
        </is>
      </c>
      <c r="B856" s="5" t="inlineStr">
        <is>
          <t>삼각점</t>
        </is>
      </c>
      <c r="C856" s="5" t="inlineStr">
        <is>
          <t>울릉405</t>
        </is>
      </c>
      <c r="D856" s="5" t="n">
        <v>2233</v>
      </c>
      <c r="E856" s="5" t="n">
        <v>37.4567520555528</v>
      </c>
      <c r="F856" s="5" t="n">
        <v>130.873339138979</v>
      </c>
      <c r="G856" s="6">
        <f>HYPERLINK("https://map.naver.com/v5/search/37.4567520555528,130.873339138979","📍 네이버")</f>
        <v/>
      </c>
      <c r="H856" s="6">
        <f>HYPERLINK("https://map.kakao.com/link/map/삼각점울릉405,37.4567520555528,130.873339138979","📍 카카오")</f>
        <v/>
      </c>
    </row>
    <row r="857">
      <c r="A857" s="5" t="inlineStr">
        <is>
          <t>#178</t>
        </is>
      </c>
      <c r="B857" s="5" t="inlineStr">
        <is>
          <t>삼각점</t>
        </is>
      </c>
      <c r="C857" s="5" t="inlineStr">
        <is>
          <t>울릉310</t>
        </is>
      </c>
      <c r="D857" s="5" t="n">
        <v>3601</v>
      </c>
      <c r="E857" s="5" t="n">
        <v>37.4685085833306</v>
      </c>
      <c r="F857" s="5" t="n">
        <v>130.8686766112</v>
      </c>
      <c r="G857" s="6">
        <f>HYPERLINK("https://map.naver.com/v5/search/37.4685085833306,130.8686766112","📍 네이버")</f>
        <v/>
      </c>
      <c r="H857" s="6">
        <f>HYPERLINK("https://map.kakao.com/link/map/삼각점울릉310,37.4685085833306,130.8686766112","📍 카카오")</f>
        <v/>
      </c>
    </row>
    <row r="858">
      <c r="A858" s="5" t="inlineStr">
        <is>
          <t>#178</t>
        </is>
      </c>
      <c r="B858" s="5" t="inlineStr">
        <is>
          <t>삼각점</t>
        </is>
      </c>
      <c r="C858" s="5" t="inlineStr">
        <is>
          <t>울릉404</t>
        </is>
      </c>
      <c r="D858" s="5" t="n">
        <v>4251</v>
      </c>
      <c r="E858" s="5" t="n">
        <v>37.4682448888863</v>
      </c>
      <c r="F858" s="5" t="n">
        <v>130.851350972309</v>
      </c>
      <c r="G858" s="6">
        <f>HYPERLINK("https://map.naver.com/v5/search/37.4682448888863,130.851350972309","📍 네이버")</f>
        <v/>
      </c>
      <c r="H858" s="6">
        <f>HYPERLINK("https://map.kakao.com/link/map/삼각점울릉404,37.4682448888863,130.851350972309","📍 카카오")</f>
        <v/>
      </c>
    </row>
  </sheetData>
  <mergeCells count="63">
    <mergeCell ref="A736:H736"/>
    <mergeCell ref="A30:H30"/>
    <mergeCell ref="A39:H39"/>
    <mergeCell ref="A201:H201"/>
    <mergeCell ref="A769:H769"/>
    <mergeCell ref="A555:H555"/>
    <mergeCell ref="A51:H51"/>
    <mergeCell ref="A455:H455"/>
    <mergeCell ref="A191:H191"/>
    <mergeCell ref="A300:H300"/>
    <mergeCell ref="A1:H1"/>
    <mergeCell ref="A496:H496"/>
    <mergeCell ref="A355:H355"/>
    <mergeCell ref="A526:H526"/>
    <mergeCell ref="A846:H846"/>
    <mergeCell ref="A547:H547"/>
    <mergeCell ref="A221:H221"/>
    <mergeCell ref="A674:H674"/>
    <mergeCell ref="A268:H268"/>
    <mergeCell ref="A66:H66"/>
    <mergeCell ref="A255:H255"/>
    <mergeCell ref="A286:H286"/>
    <mergeCell ref="A419:H419"/>
    <mergeCell ref="A133:H133"/>
    <mergeCell ref="A246:H246"/>
    <mergeCell ref="A317:H317"/>
    <mergeCell ref="A519:H519"/>
    <mergeCell ref="A571:H571"/>
    <mergeCell ref="A369:H369"/>
    <mergeCell ref="A610:H610"/>
    <mergeCell ref="A626:H626"/>
    <mergeCell ref="A12:H12"/>
    <mergeCell ref="A855:H855"/>
    <mergeCell ref="A512:H512"/>
    <mergeCell ref="A3:H3"/>
    <mergeCell ref="A21:H21"/>
    <mergeCell ref="A105:H105"/>
    <mergeCell ref="A754:H754"/>
    <mergeCell ref="A788:H788"/>
    <mergeCell ref="A85:H85"/>
    <mergeCell ref="A440:H440"/>
    <mergeCell ref="A657:H657"/>
    <mergeCell ref="A831:H831"/>
    <mergeCell ref="A483:H483"/>
    <mergeCell ref="A188:H188"/>
    <mergeCell ref="A604:H604"/>
    <mergeCell ref="A234:H234"/>
    <mergeCell ref="A395:H395"/>
    <mergeCell ref="A100:H100"/>
    <mergeCell ref="A588:H588"/>
    <mergeCell ref="A122:H122"/>
    <mergeCell ref="A140:H140"/>
    <mergeCell ref="A641:H641"/>
    <mergeCell ref="A336:H336"/>
    <mergeCell ref="A802:H802"/>
    <mergeCell ref="A700:H700"/>
    <mergeCell ref="A815:H815"/>
    <mergeCell ref="A323:H323"/>
    <mergeCell ref="A717:H717"/>
    <mergeCell ref="A155:H155"/>
    <mergeCell ref="A382:H382"/>
    <mergeCell ref="A466:H466"/>
    <mergeCell ref="A167:H1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2026-05-20T07:39:56Z</dcterms:created>
  <dcterms:modified xmlns:dcterms="http://purl.org/dc/terms/" xmlns:xsi="http://www.w3.org/2001/XMLSchema-instance" xsi:type="dcterms:W3CDTF">2026-05-20T07:40:06Z</dcterms:modified>
</cp:coreProperties>
</file>