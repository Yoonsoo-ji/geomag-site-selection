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기입규약" sheetId="1" state="visible" r:id="rId1"/>
    <sheet xmlns:r="http://schemas.openxmlformats.org/officeDocument/2006/relationships" name="② 대상 50점" sheetId="2" state="visible" r:id="rId2"/>
    <sheet xmlns:r="http://schemas.openxmlformats.org/officeDocument/2006/relationships" name="③ 점정보·좌표·이격" sheetId="3" state="visible" r:id="rId3"/>
    <sheet xmlns:r="http://schemas.openxmlformats.org/officeDocument/2006/relationships" name="④ 기존점 대조가능성" sheetId="4" state="visible" r:id="rId4"/>
    <sheet xmlns:r="http://schemas.openxmlformats.org/officeDocument/2006/relationships" name="⑤ 방위표지·참방위각" sheetId="5" state="visible" r:id="rId5"/>
    <sheet xmlns:r="http://schemas.openxmlformats.org/officeDocument/2006/relationships" name="⑥ 기준자력계" sheetId="6" state="visible" r:id="rId6"/>
    <sheet xmlns:r="http://schemas.openxmlformats.org/officeDocument/2006/relationships" name="⑦ 자기환경 측선" sheetId="7" state="visible" r:id="rId7"/>
    <sheet xmlns:r="http://schemas.openxmlformats.org/officeDocument/2006/relationships" name="⑧ 절대측정 관측행" sheetId="8" state="visible" r:id="rId8"/>
    <sheet xmlns:r="http://schemas.openxmlformats.org/officeDocument/2006/relationships" name="⑨ 두지점 F·기기대조" sheetId="9" state="visible" r:id="rId9"/>
    <sheet xmlns:r="http://schemas.openxmlformats.org/officeDocument/2006/relationships" name="⑩ 게이트 점검" sheetId="10" state="visible" r:id="rId10"/>
    <sheet xmlns:r="http://schemas.openxmlformats.org/officeDocument/2006/relationships" name="⑪ 지표·판정" sheetId="11" state="visible" r:id="rId11"/>
    <sheet xmlns:r="http://schemas.openxmlformats.org/officeDocument/2006/relationships" name="⑫ 확인 필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"/>
    <numFmt numFmtId="166" formatCode="0.0000"/>
    <numFmt numFmtId="167" formatCode="#,##0.0"/>
    <numFmt numFmtId="168" formatCode="yyyy-mm-dd hh:mm:ss"/>
    <numFmt numFmtId="169" formatCode="yyyy-mm-dd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555555"/>
      <sz val="9"/>
    </font>
    <font>
      <name val="맑은 고딕"/>
      <b val="1"/>
      <color rgb="00B2182B"/>
      <sz val="9"/>
    </font>
    <font>
      <name val="맑은 고딕"/>
      <b val="1"/>
      <color rgb="00FFFFFF"/>
      <sz val="10.5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2E5C8A"/>
      </patternFill>
    </fill>
    <fill>
      <patternFill patternType="solid">
        <fgColor rgb="00E2F0E4"/>
      </patternFill>
    </fill>
    <fill>
      <patternFill patternType="solid">
        <fgColor rgb="00E4EDF7"/>
      </patternFill>
    </fill>
    <fill>
      <patternFill patternType="solid">
        <fgColor rgb="00FDF2E0"/>
      </patternFill>
    </fill>
    <fill>
      <patternFill patternType="solid">
        <fgColor rgb="00E8F0E8"/>
      </patternFill>
    </fill>
    <fill>
      <patternFill patternType="solid">
        <fgColor rgb="00FFF8E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4" fontId="6" fillId="10" borderId="1" applyAlignment="1" pivotButton="0" quotePrefix="0" xfId="0">
      <alignment horizontal="center" vertical="center" wrapText="1"/>
    </xf>
    <xf numFmtId="164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2" fontId="6" fillId="11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center" vertical="center" wrapText="1"/>
    </xf>
    <xf numFmtId="167" fontId="6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1" fontId="6" fillId="11" borderId="1" applyAlignment="1" pivotButton="0" quotePrefix="0" xfId="0">
      <alignment horizontal="center" vertical="center" wrapText="1"/>
    </xf>
    <xf numFmtId="168" fontId="6" fillId="11" borderId="1" applyAlignment="1" pivotButton="0" quotePrefix="0" xfId="0">
      <alignment horizontal="center" vertical="center" wrapText="1"/>
    </xf>
    <xf numFmtId="168" fontId="6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9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6" customHeight="1">
      <c r="A1" s="1" t="inlineStr">
        <is>
          <t>지자기 시험 탐사 표준 야장 — 기입규약</t>
        </is>
      </c>
    </row>
    <row r="2" ht="33" customHeight="1">
      <c r="A2" s="2" t="inlineStr">
        <is>
          <t>이 야장은 서식이 아니라 «재발 방지 장치»다. 과거 야장 68개를 전수로 훑었더니 F 측정일시 실기재가 0건이어서 세션 단위 외부장 보정이 원리적으로 불가능해졌다. 칸이 없으면 그 값은 어떤 분석으로도 복원되지 않는다.</t>
        </is>
      </c>
    </row>
    <row r="3" ht="33" customHeight="1">
      <c r="A3" s="3" t="inlineStr">
        <is>
          <t>⚠ 이 양식은 Codex 독립 검토(2026-09-07, Critical 6 · Major 6)를 반영한 판본이다. 정량 임계값은 «파일럿 전 미확정»이며 판정 수식에 넣지 않았다 — 임계로 50점을 바로 가르지 말 것.</t>
        </is>
      </c>
    </row>
    <row r="5">
      <c r="A5" s="4" t="inlineStr">
        <is>
          <t>단위 — 논쟁 없이 고정한다</t>
        </is>
      </c>
    </row>
    <row r="6" ht="34" customHeight="1">
      <c r="A6" s="5" t="inlineStr">
        <is>
          <t>각도(현장 원시)</t>
        </is>
      </c>
      <c r="B6" s="6" t="inlineStr">
        <is>
          <t>곤 gon (1회전 400 · 대척 200 gon). 현장 판독은 반드시 gon 으로 적는다. 도(°) 환산값은 읽기전용 계산 칸에만 둔다 — 단위를 고르게 하면 입력 후 단위를 바꿔도 값이 안 바뀌어 의미만 뒤집힌다.</t>
        </is>
      </c>
    </row>
    <row r="7" ht="20" customHeight="1">
      <c r="A7" s="5" t="inlineStr">
        <is>
          <t>총자력 F</t>
        </is>
      </c>
      <c r="B7" s="6" t="inlineStr">
        <is>
          <t>nT, 소수 1자리 (§17 0.1 nT 판독)</t>
        </is>
      </c>
    </row>
    <row r="8" ht="20" customHeight="1">
      <c r="A8" s="5" t="inlineStr">
        <is>
          <t>좌표</t>
        </is>
      </c>
      <c r="B8" s="6" t="inlineStr">
        <is>
          <t>십진도. 위도·경도를 «각각 다른 열»에 숫자로 적고 좌표계·취득방법·정확도를 함께 남긴다.</t>
        </is>
      </c>
    </row>
    <row r="9" ht="20" customHeight="1">
      <c r="A9" s="5" t="inlineStr">
        <is>
          <t>거리·높이</t>
        </is>
      </c>
      <c r="B9" s="6" t="inlineStr">
        <is>
          <t>m, 소수 2자리</t>
        </is>
      </c>
    </row>
    <row r="11">
      <c r="A11" s="4" t="inlineStr">
        <is>
          <t>시각 — 세 자료의 시간대가 서로 다르다</t>
        </is>
      </c>
    </row>
    <row r="12" ht="20" customHeight="1">
      <c r="A12" s="5" t="inlineStr">
        <is>
          <t>기입</t>
        </is>
      </c>
      <c r="B12" s="6" t="inlineStr">
        <is>
          <t>날짜 + 시:분:초 를 한 칸에 (예 2026-10-14 13:24:05). 분까지만 적으면 세션 결합이 깨진다.</t>
        </is>
      </c>
    </row>
    <row r="13" ht="20" customHeight="1">
      <c r="A13" s="5" t="inlineStr">
        <is>
          <t>시간대</t>
        </is>
      </c>
      <c r="B13" s="6" t="inlineStr">
        <is>
          <t>야장은 KST. 상시관측소 CYG·Kp 는 UT, KASA 캐시는 KST — 결합 지점마다 확인할 것. UTC 환산은 계산 칸이 자동으로 만든다(KST − 9h).</t>
        </is>
      </c>
    </row>
    <row r="14" ht="20" customHeight="1">
      <c r="A14" s="5" t="inlineStr">
        <is>
          <t>자정 경계</t>
        </is>
      </c>
      <c r="B14" s="6" t="inlineStr">
        <is>
          <t>날짜를 함께 적으므로 자정을 넘겨도 세션이 끊기지 않는다.</t>
        </is>
      </c>
    </row>
    <row r="16">
      <c r="A16" s="4" t="inlineStr">
        <is>
          <t>방위각 — 정·역 혼동이 29쌍 있었다</t>
        </is>
      </c>
    </row>
    <row r="17" ht="20" customHeight="1">
      <c r="A17" s="5" t="inlineStr">
        <is>
          <t>규약</t>
        </is>
      </c>
      <c r="B17" s="6" t="inlineStr">
        <is>
          <t>진북 기준 · 북 = 0° · 시계방향 · **FROM = 기준점, TO = 방위표지**. 반대 방향을 적으면 그 방문의 편각이 통째로 틀어진다.</t>
        </is>
      </c>
    </row>
    <row r="18" ht="20" customHeight="1">
      <c r="A18" s="5" t="inlineStr">
        <is>
          <t>마크 식별</t>
        </is>
      </c>
      <c r="B18" s="6" t="inlineStr">
        <is>
          <t>표지마다 고정 Mark ID 를 부여하고 시준한 «지점»(표지 상단/중심 등)까지 적는다.</t>
        </is>
      </c>
    </row>
    <row r="19" ht="34" customHeight="1">
      <c r="A19" s="5" t="inlineStr">
        <is>
          <t>참방위각</t>
        </is>
      </c>
      <c r="B19" s="6" t="inlineStr">
        <is>
          <t>결정방법(천문·자이로·RTK 장기선·좌표계산)과 근거좌표·좌표 정확도를 남긴다. 이전 확정값과의 차이와 재결정 사유를 반드시 적는다 — 재방문 잔여 RMS 33.7′ 의 원인이 이것이다.</t>
        </is>
      </c>
    </row>
    <row r="21">
      <c r="A21" s="4" t="inlineStr">
        <is>
          <t>상태코드 — 빈칸을 0 으로 세지 않기 위해</t>
        </is>
      </c>
    </row>
    <row r="22" ht="20" customHeight="1">
      <c r="A22" s="5" t="inlineStr">
        <is>
          <t>NOT AVAILABLE</t>
        </is>
      </c>
      <c r="B22" s="6" t="inlineStr">
        <is>
          <t>자료가 존재하지 않음 (예: 항공자력 미측선 구역)</t>
        </is>
      </c>
    </row>
    <row r="23" ht="20" customHeight="1">
      <c r="A23" s="5" t="inlineStr">
        <is>
          <t>NOT OBSERVED</t>
        </is>
      </c>
      <c r="B23" s="6" t="inlineStr">
        <is>
          <t>관측을 실시하지 않음</t>
        </is>
      </c>
    </row>
    <row r="24" ht="20" customHeight="1">
      <c r="A24" s="5" t="inlineStr">
        <is>
          <t>INVALID</t>
        </is>
      </c>
      <c r="B24" s="6" t="inlineStr">
        <is>
          <t>관측했으나 무효 (장비 오류·기입 오류 등, 사유 필수)</t>
        </is>
      </c>
    </row>
    <row r="25" ht="20" customHeight="1">
      <c r="A25" s="5" t="inlineStr">
        <is>
          <t>NOT APPLICABLE</t>
        </is>
      </c>
      <c r="B25" s="6" t="inlineStr">
        <is>
          <t>그 점에는 해당하지 않는 항목</t>
        </is>
      </c>
    </row>
    <row r="26" ht="20" customHeight="1">
      <c r="A26" s="5" t="inlineStr">
        <is>
          <t>PENDING</t>
        </is>
      </c>
      <c r="B26" s="6" t="inlineStr">
        <is>
          <t>미정 — 확인 대기</t>
        </is>
      </c>
    </row>
    <row r="28">
      <c r="A28" s="4" t="inlineStr">
        <is>
          <t>색 규약</t>
        </is>
      </c>
    </row>
    <row r="29" ht="20" customHeight="1">
      <c r="A29" s="5" t="inlineStr">
        <is>
          <t>연한 노랑</t>
        </is>
      </c>
      <c r="B29" s="6" t="inlineStr">
        <is>
          <t>현장 기입란</t>
        </is>
      </c>
    </row>
    <row r="30" ht="20" customHeight="1">
      <c r="A30" s="5" t="inlineStr">
        <is>
          <t>연한 초록</t>
        </is>
      </c>
      <c r="B30" s="6" t="inlineStr">
        <is>
          <t>사전 채움 또는 계산값 — 현장에서 고치지 않는다</t>
        </is>
      </c>
    </row>
    <row r="31" ht="20" customHeight="1">
      <c r="A31" s="5" t="inlineStr">
        <is>
          <t>회색</t>
        </is>
      </c>
      <c r="B31" s="6" t="inlineStr">
        <is>
          <t>편집 금지</t>
        </is>
      </c>
    </row>
    <row r="32" ht="20" customHeight="1">
      <c r="A32" s="5" t="inlineStr">
        <is>
          <t>연한 적색</t>
        </is>
      </c>
      <c r="B32" s="6" t="inlineStr">
        <is>
          <t>주의·경고</t>
        </is>
      </c>
    </row>
  </sheetData>
  <mergeCells count="27">
    <mergeCell ref="B9:H9"/>
    <mergeCell ref="B6:H6"/>
    <mergeCell ref="B24:H24"/>
    <mergeCell ref="B30:H30"/>
    <mergeCell ref="A11:H11"/>
    <mergeCell ref="A1:H1"/>
    <mergeCell ref="B32:H32"/>
    <mergeCell ref="B26:H26"/>
    <mergeCell ref="A16:H16"/>
    <mergeCell ref="B7:H7"/>
    <mergeCell ref="B25:H25"/>
    <mergeCell ref="B31:H31"/>
    <mergeCell ref="B22:H22"/>
    <mergeCell ref="A3:H3"/>
    <mergeCell ref="A21:H21"/>
    <mergeCell ref="B18:H18"/>
    <mergeCell ref="A2:H2"/>
    <mergeCell ref="B12:H12"/>
    <mergeCell ref="A5:H5"/>
    <mergeCell ref="B23:H23"/>
    <mergeCell ref="B8:H8"/>
    <mergeCell ref="B14:H14"/>
    <mergeCell ref="B17:H17"/>
    <mergeCell ref="B13:H13"/>
    <mergeCell ref="A28:H28"/>
    <mergeCell ref="B29:H29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7" customWidth="1" min="3" max="3"/>
    <col width="10" customWidth="1" min="4" max="4"/>
    <col width="16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32" customWidth="1" min="12" max="12"/>
    <col width="12" customWidth="1" min="13" max="13"/>
    <col width="13" customWidth="1" min="14" max="14"/>
    <col width="9" customWidth="1" min="15" max="15"/>
    <col width="9" customWidth="1" min="16" max="16"/>
    <col width="14" customWidth="1" min="17" max="17"/>
    <col width="9" customWidth="1" min="18" max="18"/>
    <col width="34" customWidth="1" min="19" max="19"/>
  </cols>
  <sheetData>
    <row r="1" ht="26" customHeight="1">
      <c r="A1" s="1" t="inlineStr">
        <is>
          <t>시험 탐사 대상 50점 — 등급 A 5 · B 도엽대표 29 · 기존점 16</t>
        </is>
      </c>
    </row>
    <row r="2" ht="33" customHeight="1">
      <c r="A2" s="2" t="inlineStr">
        <is>
          <t>선점 검토 결과 그대로다(export_selection_50 단일 출처). Site ID 는 이 야장 전체의 연결키이며 다른 시트는 이 값을 그대로 쓴다.</t>
        </is>
      </c>
    </row>
    <row r="3" ht="47" customHeight="1">
      <c r="A3" s="3" t="inlineStr">
        <is>
          <t>⚠ 「예측 |∇ΔT|」는 KIGAM 1.5분(약 2.8 km) 격자의 중앙차분값이다. 현장 수 m 스케일 측정과 «물리적으로 다른 양»이므로 합격기준으로 쓰지 않는다 — 사전 층화·탐색 변수일 뿐이다. 자료공백 5점(오호·문산·강화·포천·화천)은 NOT AVAILABLE 로 두고 감점하거나 보간하지 말 것.</t>
        </is>
      </c>
    </row>
    <row r="4" ht="34" customHeight="1">
      <c r="A4" s="7" t="inlineStr">
        <is>
          <t>Site ID</t>
        </is>
      </c>
      <c r="B4" s="8" t="inlineStr">
        <is>
          <t>연번</t>
        </is>
      </c>
      <c r="C4" s="8" t="inlineStr">
        <is>
          <t>구분</t>
        </is>
      </c>
      <c r="D4" s="8" t="inlineStr">
        <is>
          <t>원 번호</t>
        </is>
      </c>
      <c r="E4" s="8" t="inlineStr">
        <is>
          <t>지점명</t>
        </is>
      </c>
      <c r="F4" s="8" t="inlineStr">
        <is>
          <t>관할본부</t>
        </is>
      </c>
      <c r="G4" s="8" t="inlineStr">
        <is>
          <t>도엽번호</t>
        </is>
      </c>
      <c r="H4" s="8" t="inlineStr">
        <is>
          <t>도엽명</t>
        </is>
      </c>
      <c r="I4" s="8" t="inlineStr">
        <is>
          <t>위도(십진)</t>
        </is>
      </c>
      <c r="J4" s="8" t="inlineStr">
        <is>
          <t>경도(십진)</t>
        </is>
      </c>
      <c r="K4" s="8" t="inlineStr">
        <is>
          <t>표고(m)</t>
        </is>
      </c>
      <c r="L4" s="8" t="inlineStr">
        <is>
          <t>소재지</t>
        </is>
      </c>
      <c r="M4" s="8" t="inlineStr">
        <is>
          <t>예측 |∇ΔT|
(nT/km)
※판정 미사용</t>
        </is>
      </c>
      <c r="N4" s="8" t="inlineStr">
        <is>
          <t>예측 상태</t>
        </is>
      </c>
      <c r="O4" s="8" t="inlineStr">
        <is>
          <t>최근접
관측소</t>
        </is>
      </c>
      <c r="P4" s="8" t="inlineStr">
        <is>
          <t>관측소
거리(km)</t>
        </is>
      </c>
      <c r="Q4" s="8" t="inlineStr">
        <is>
          <t>표지1 방위각
(기재값)</t>
        </is>
      </c>
      <c r="R4" s="8" t="inlineStr">
        <is>
          <t>표지1
거리(m)</t>
        </is>
      </c>
      <c r="S4" s="8" t="inlineStr">
        <is>
          <t>시험탐사 상태</t>
        </is>
      </c>
    </row>
    <row r="5">
      <c r="A5" s="9" t="inlineStr">
        <is>
          <t>S01</t>
        </is>
      </c>
      <c r="B5" s="9" t="n">
        <v>1</v>
      </c>
      <c r="C5" s="9" t="inlineStr">
        <is>
          <t>A</t>
        </is>
      </c>
      <c r="D5" s="9" t="inlineStr">
        <is>
          <t>DS-008</t>
        </is>
      </c>
      <c r="E5" s="9" t="inlineStr">
        <is>
          <t>태백 신규점</t>
        </is>
      </c>
      <c r="F5" s="9" t="inlineStr">
        <is>
          <t>대구경북 본부</t>
        </is>
      </c>
      <c r="G5" s="9" t="inlineStr">
        <is>
          <t>NJ52-8-28</t>
        </is>
      </c>
      <c r="H5" s="9" t="inlineStr">
        <is>
          <t>태백</t>
        </is>
      </c>
      <c r="I5" s="10" t="n">
        <v>37.020705</v>
      </c>
      <c r="J5" s="10" t="n">
        <v>128.98393</v>
      </c>
      <c r="K5" s="11" t="n">
        <v>872</v>
      </c>
      <c r="L5" s="12" t="inlineStr">
        <is>
          <t>경북 봉화군 소천면 고선리 산 1</t>
        </is>
      </c>
      <c r="M5" s="11" t="n">
        <v>15.6</v>
      </c>
      <c r="N5" s="9" t="inlineStr">
        <is>
          <t>OK</t>
        </is>
      </c>
      <c r="O5" s="9" t="inlineStr">
        <is>
          <t>강릉</t>
        </is>
      </c>
      <c r="P5" s="9" t="n">
        <v>83</v>
      </c>
      <c r="Q5" s="9" t="inlineStr">
        <is>
          <t>178° 31' 53″</t>
        </is>
      </c>
      <c r="R5" s="11" t="n">
        <v>69</v>
      </c>
      <c r="S5" s="12" t="inlineStr">
        <is>
          <t>시험 탐사 대상</t>
        </is>
      </c>
    </row>
    <row r="6">
      <c r="A6" s="9" t="inlineStr">
        <is>
          <t>S02</t>
        </is>
      </c>
      <c r="B6" s="9" t="n">
        <v>2</v>
      </c>
      <c r="C6" s="9" t="inlineStr">
        <is>
          <t>A</t>
        </is>
      </c>
      <c r="D6" s="9" t="inlineStr">
        <is>
          <t>DS-015</t>
        </is>
      </c>
      <c r="E6" s="9" t="inlineStr">
        <is>
          <t>임계 신규점1</t>
        </is>
      </c>
      <c r="F6" s="9" t="inlineStr">
        <is>
          <t>강원 본부</t>
        </is>
      </c>
      <c r="G6" s="9" t="inlineStr">
        <is>
          <t>NJ52-8-20</t>
        </is>
      </c>
      <c r="H6" s="9" t="inlineStr">
        <is>
          <t>임계</t>
        </is>
      </c>
      <c r="I6" s="10" t="n">
        <v>37.359346</v>
      </c>
      <c r="J6" s="10" t="n">
        <v>128.973865</v>
      </c>
      <c r="K6" s="11" t="n">
        <v>844</v>
      </c>
      <c r="L6" s="12" t="inlineStr">
        <is>
          <t>강원특별자치도 삼척시 하장면 숙암리 산 11-1</t>
        </is>
      </c>
      <c r="M6" s="11" t="n">
        <v>24.3</v>
      </c>
      <c r="N6" s="9" t="inlineStr">
        <is>
          <t>OK</t>
        </is>
      </c>
      <c r="O6" s="9" t="inlineStr">
        <is>
          <t>강릉</t>
        </is>
      </c>
      <c r="P6" s="9" t="n">
        <v>46</v>
      </c>
      <c r="Q6" s="9" t="inlineStr">
        <is>
          <t>177°43′54″</t>
        </is>
      </c>
      <c r="R6" s="11" t="n">
        <v>79</v>
      </c>
      <c r="S6" s="12" t="inlineStr">
        <is>
          <t>시험 탐사 대상</t>
        </is>
      </c>
    </row>
    <row r="7">
      <c r="A7" s="9" t="inlineStr">
        <is>
          <t>S03</t>
        </is>
      </c>
      <c r="B7" s="9" t="n">
        <v>3</v>
      </c>
      <c r="C7" s="9" t="inlineStr">
        <is>
          <t>A</t>
        </is>
      </c>
      <c r="D7" s="9" t="inlineStr">
        <is>
          <t>DS-076</t>
        </is>
      </c>
      <c r="E7" s="9" t="inlineStr">
        <is>
          <t>예산 신규점2</t>
        </is>
      </c>
      <c r="F7" s="9" t="inlineStr">
        <is>
          <t>대전세종충남 본부</t>
        </is>
      </c>
      <c r="G7" s="9" t="inlineStr">
        <is>
          <t>NJ52-10-12</t>
        </is>
      </c>
      <c r="H7" s="9" t="inlineStr">
        <is>
          <t>예산</t>
        </is>
      </c>
      <c r="I7" s="10" t="n">
        <v>36.534085</v>
      </c>
      <c r="J7" s="10" t="n">
        <v>126.936269</v>
      </c>
      <c r="K7" s="11" t="n">
        <v>116</v>
      </c>
      <c r="L7" s="12" t="inlineStr">
        <is>
          <t>충남 공주시 신풍면 산정리 산 3</t>
        </is>
      </c>
      <c r="M7" s="11" t="n">
        <v>9.300000000000001</v>
      </c>
      <c r="N7" s="9" t="inlineStr">
        <is>
          <t>OK</t>
        </is>
      </c>
      <c r="O7" s="9" t="inlineStr">
        <is>
          <t>청양</t>
        </is>
      </c>
      <c r="P7" s="9" t="n">
        <v>20</v>
      </c>
      <c r="Q7" s="9" t="inlineStr">
        <is>
          <t>273°56′32″</t>
        </is>
      </c>
      <c r="R7" s="11" t="n">
        <v>134</v>
      </c>
      <c r="S7" s="12" t="inlineStr">
        <is>
          <t>시험 탐사 대상</t>
        </is>
      </c>
    </row>
    <row r="8">
      <c r="A8" s="9" t="inlineStr">
        <is>
          <t>S04</t>
        </is>
      </c>
      <c r="B8" s="9" t="n">
        <v>4</v>
      </c>
      <c r="C8" s="9" t="inlineStr">
        <is>
          <t>A</t>
        </is>
      </c>
      <c r="D8" s="9" t="inlineStr">
        <is>
          <t>DS-081</t>
        </is>
      </c>
      <c r="E8" s="9" t="inlineStr">
        <is>
          <t>진안 신규점1</t>
        </is>
      </c>
      <c r="F8" s="9" t="inlineStr">
        <is>
          <t>전북 본부</t>
        </is>
      </c>
      <c r="G8" s="9" t="inlineStr">
        <is>
          <t>NI52-1-06</t>
        </is>
      </c>
      <c r="H8" s="9" t="inlineStr">
        <is>
          <t>진안</t>
        </is>
      </c>
      <c r="I8" s="10" t="n">
        <v>35.891309</v>
      </c>
      <c r="J8" s="10" t="n">
        <v>127.309017</v>
      </c>
      <c r="K8" s="11" t="n">
        <v>297</v>
      </c>
      <c r="L8" s="12" t="inlineStr">
        <is>
          <t>전북특별자치도 완주군 동상면 사봉리 산 107-2</t>
        </is>
      </c>
      <c r="M8" s="11" t="n">
        <v>20.1</v>
      </c>
      <c r="N8" s="9" t="inlineStr">
        <is>
          <t>OK</t>
        </is>
      </c>
      <c r="O8" s="9" t="inlineStr">
        <is>
          <t>청양</t>
        </is>
      </c>
      <c r="P8" s="9" t="n">
        <v>67</v>
      </c>
      <c r="Q8" s="9" t="inlineStr">
        <is>
          <t>328° 19' 19.77</t>
        </is>
      </c>
      <c r="R8" s="11" t="n">
        <v>101</v>
      </c>
      <c r="S8" s="12" t="inlineStr">
        <is>
          <t>시험 탐사 대상</t>
        </is>
      </c>
    </row>
    <row r="9">
      <c r="A9" s="9" t="inlineStr">
        <is>
          <t>S05</t>
        </is>
      </c>
      <c r="B9" s="9" t="n">
        <v>5</v>
      </c>
      <c r="C9" s="9" t="inlineStr">
        <is>
          <t>A</t>
        </is>
      </c>
      <c r="D9" s="9" t="inlineStr">
        <is>
          <t>DS-083</t>
        </is>
      </c>
      <c r="E9" s="9" t="inlineStr">
        <is>
          <t>무풍 신규점1</t>
        </is>
      </c>
      <c r="F9" s="9" t="inlineStr">
        <is>
          <t>전북 본부</t>
        </is>
      </c>
      <c r="G9" s="9" t="inlineStr">
        <is>
          <t>NI52-1-08</t>
        </is>
      </c>
      <c r="H9" s="9" t="inlineStr">
        <is>
          <t>무풍</t>
        </is>
      </c>
      <c r="I9" s="10" t="n">
        <v>35.945212</v>
      </c>
      <c r="J9" s="10" t="n">
        <v>127.800855</v>
      </c>
      <c r="K9" s="11" t="n">
        <v>584</v>
      </c>
      <c r="L9" s="12" t="inlineStr">
        <is>
          <t>전북특별자치도 무주군 설천면 두길리 165</t>
        </is>
      </c>
      <c r="M9" s="11" t="n">
        <v>26.6</v>
      </c>
      <c r="N9" s="9" t="inlineStr">
        <is>
          <t>OK</t>
        </is>
      </c>
      <c r="O9" s="9" t="inlineStr">
        <is>
          <t>청양</t>
        </is>
      </c>
      <c r="P9" s="9" t="n">
        <v>98</v>
      </c>
      <c r="Q9" s="9" t="inlineStr">
        <is>
          <t>246° 16′ 35.46</t>
        </is>
      </c>
      <c r="R9" s="11" t="n">
        <v>67</v>
      </c>
      <c r="S9" s="12" t="inlineStr">
        <is>
          <t>시험 탐사 대상</t>
        </is>
      </c>
    </row>
    <row r="10">
      <c r="A10" s="13" t="inlineStr">
        <is>
          <t>S06</t>
        </is>
      </c>
      <c r="B10" s="13" t="n">
        <v>6</v>
      </c>
      <c r="C10" s="13" t="inlineStr">
        <is>
          <t>B</t>
        </is>
      </c>
      <c r="D10" s="13" t="inlineStr">
        <is>
          <t>DS-003</t>
        </is>
      </c>
      <c r="E10" s="13" t="inlineStr">
        <is>
          <t>길담 신규점</t>
        </is>
      </c>
      <c r="F10" s="13" t="inlineStr">
        <is>
          <t>전북 본부</t>
        </is>
      </c>
      <c r="G10" s="13" t="inlineStr">
        <is>
          <t>NI52-1-13</t>
        </is>
      </c>
      <c r="H10" s="13" t="inlineStr">
        <is>
          <t>갈담</t>
        </is>
      </c>
      <c r="I10" s="14" t="n">
        <v>35.604653</v>
      </c>
      <c r="J10" s="14" t="n">
        <v>127.230237</v>
      </c>
      <c r="K10" s="15" t="n">
        <v>281</v>
      </c>
      <c r="L10" s="16" t="inlineStr">
        <is>
          <t>전북특별자치도 임실군 임실읍 신안리 산 87-1</t>
        </is>
      </c>
      <c r="M10" s="15" t="n">
        <v>8.4</v>
      </c>
      <c r="N10" s="13" t="inlineStr">
        <is>
          <t>OK</t>
        </is>
      </c>
      <c r="O10" s="13" t="inlineStr">
        <is>
          <t>청양</t>
        </is>
      </c>
      <c r="P10" s="13" t="n">
        <v>91</v>
      </c>
      <c r="Q10" s="13" t="inlineStr">
        <is>
          <t>351˚ 50´ 02˝</t>
        </is>
      </c>
      <c r="R10" s="15" t="n">
        <v>64</v>
      </c>
      <c r="S10" s="16" t="inlineStr">
        <is>
          <t>시험 탐사 대상</t>
        </is>
      </c>
    </row>
    <row r="11">
      <c r="A11" s="13" t="inlineStr">
        <is>
          <t>S07</t>
        </is>
      </c>
      <c r="B11" s="13" t="n">
        <v>7</v>
      </c>
      <c r="C11" s="13" t="inlineStr">
        <is>
          <t>B</t>
        </is>
      </c>
      <c r="D11" s="13" t="inlineStr">
        <is>
          <t>DS-004</t>
        </is>
      </c>
      <c r="E11" s="13" t="inlineStr">
        <is>
          <t>남해 신규점1</t>
        </is>
      </c>
      <c r="F11" s="13" t="inlineStr">
        <is>
          <t>경남 본부</t>
        </is>
      </c>
      <c r="G11" s="13" t="inlineStr">
        <is>
          <t>NI52-4-08</t>
        </is>
      </c>
      <c r="H11" s="13" t="inlineStr">
        <is>
          <t>남해</t>
        </is>
      </c>
      <c r="I11" s="14" t="n">
        <v>34.852281</v>
      </c>
      <c r="J11" s="14" t="n">
        <v>127.981473</v>
      </c>
      <c r="K11" s="15" t="n">
        <v>262</v>
      </c>
      <c r="L11" s="16" t="inlineStr">
        <is>
          <t>경남 남해군 창선면 지족리 산 115</t>
        </is>
      </c>
      <c r="M11" s="15" t="n">
        <v>5.4</v>
      </c>
      <c r="N11" s="13" t="inlineStr">
        <is>
          <t>OK</t>
        </is>
      </c>
      <c r="O11" s="13" t="inlineStr">
        <is>
          <t>청양</t>
        </is>
      </c>
      <c r="P11" s="13" t="n">
        <v>197</v>
      </c>
      <c r="Q11" s="13" t="inlineStr">
        <is>
          <t>114°34′47″</t>
        </is>
      </c>
      <c r="R11" s="15" t="n">
        <v>70</v>
      </c>
      <c r="S11" s="16" t="inlineStr">
        <is>
          <t>시험 탐사 대상</t>
        </is>
      </c>
    </row>
    <row r="12">
      <c r="A12" s="13" t="inlineStr">
        <is>
          <t>S08</t>
        </is>
      </c>
      <c r="B12" s="13" t="n">
        <v>8</v>
      </c>
      <c r="C12" s="13" t="inlineStr">
        <is>
          <t>B</t>
        </is>
      </c>
      <c r="D12" s="13" t="inlineStr">
        <is>
          <t>DS-013</t>
        </is>
      </c>
      <c r="E12" s="13" t="inlineStr">
        <is>
          <t>청일 신규점2</t>
        </is>
      </c>
      <c r="F12" s="13" t="inlineStr">
        <is>
          <t>강원 본부</t>
        </is>
      </c>
      <c r="G12" s="13" t="inlineStr">
        <is>
          <t>NJ52-8-09</t>
        </is>
      </c>
      <c r="H12" s="13" t="inlineStr">
        <is>
          <t>청일</t>
        </is>
      </c>
      <c r="I12" s="14" t="n">
        <v>37.618578</v>
      </c>
      <c r="J12" s="14" t="n">
        <v>128.1698</v>
      </c>
      <c r="K12" s="15" t="n">
        <v>372</v>
      </c>
      <c r="L12" s="16" t="inlineStr">
        <is>
          <t>강원특별자치도 횡성군 청일면 춘당리 산 1</t>
        </is>
      </c>
      <c r="M12" s="15" t="n">
        <v>7.6</v>
      </c>
      <c r="N12" s="13" t="inlineStr">
        <is>
          <t>OK</t>
        </is>
      </c>
      <c r="O12" s="13" t="inlineStr">
        <is>
          <t>강릉</t>
        </is>
      </c>
      <c r="P12" s="13" t="n">
        <v>64</v>
      </c>
      <c r="Q12" s="13" t="inlineStr">
        <is>
          <t>162° 55′ 36.41″</t>
        </is>
      </c>
      <c r="R12" s="15" t="n">
        <v>63</v>
      </c>
      <c r="S12" s="16" t="inlineStr">
        <is>
          <t>시험 탐사 대상</t>
        </is>
      </c>
    </row>
    <row r="13">
      <c r="A13" s="13" t="inlineStr">
        <is>
          <t>S09</t>
        </is>
      </c>
      <c r="B13" s="13" t="n">
        <v>9</v>
      </c>
      <c r="C13" s="13" t="inlineStr">
        <is>
          <t>B</t>
        </is>
      </c>
      <c r="D13" s="13" t="inlineStr">
        <is>
          <t>DS-014</t>
        </is>
      </c>
      <c r="E13" s="13" t="inlineStr">
        <is>
          <t>어론 신규점</t>
        </is>
      </c>
      <c r="F13" s="13" t="inlineStr">
        <is>
          <t>강원 본부</t>
        </is>
      </c>
      <c r="G13" s="13" t="inlineStr">
        <is>
          <t>NJ52-8-01</t>
        </is>
      </c>
      <c r="H13" s="13" t="inlineStr">
        <is>
          <t>어론</t>
        </is>
      </c>
      <c r="I13" s="14" t="n">
        <v>37.776326</v>
      </c>
      <c r="J13" s="14" t="n">
        <v>128.075858</v>
      </c>
      <c r="K13" s="15" t="n">
        <v>532</v>
      </c>
      <c r="L13" s="16" t="inlineStr">
        <is>
          <t>강원특별자치도 홍천군 내촌면 화상대리 산 108-2</t>
        </is>
      </c>
      <c r="M13" s="15" t="n">
        <v>4.7</v>
      </c>
      <c r="N13" s="13" t="inlineStr">
        <is>
          <t>OK</t>
        </is>
      </c>
      <c r="O13" s="13" t="inlineStr">
        <is>
          <t>강릉</t>
        </is>
      </c>
      <c r="P13" s="13" t="n">
        <v>70</v>
      </c>
      <c r="Q13" s="13" t="inlineStr">
        <is>
          <t>278°9′11″</t>
        </is>
      </c>
      <c r="R13" s="15" t="n">
        <v>37</v>
      </c>
      <c r="S13" s="16" t="inlineStr">
        <is>
          <t>시험 탐사 대상</t>
        </is>
      </c>
    </row>
    <row r="14">
      <c r="A14" s="13" t="inlineStr">
        <is>
          <t>S10</t>
        </is>
      </c>
      <c r="B14" s="13" t="n">
        <v>10</v>
      </c>
      <c r="C14" s="13" t="inlineStr">
        <is>
          <t>B</t>
        </is>
      </c>
      <c r="D14" s="13" t="inlineStr">
        <is>
          <t>DS-020</t>
        </is>
      </c>
      <c r="E14" s="13" t="inlineStr">
        <is>
          <t>예안 신규점1</t>
        </is>
      </c>
      <c r="F14" s="13" t="inlineStr">
        <is>
          <t>대구경북 본부</t>
        </is>
      </c>
      <c r="G14" s="13" t="inlineStr">
        <is>
          <t>NJ52-11-12</t>
        </is>
      </c>
      <c r="H14" s="13" t="inlineStr">
        <is>
          <t>예안</t>
        </is>
      </c>
      <c r="I14" s="14" t="n">
        <v>36.745399</v>
      </c>
      <c r="J14" s="14" t="n">
        <v>128.853559</v>
      </c>
      <c r="K14" s="15" t="n">
        <v>293</v>
      </c>
      <c r="L14" s="16" t="inlineStr">
        <is>
          <t>경북 안동시 도산면 토계리 350</t>
        </is>
      </c>
      <c r="M14" s="15" t="n">
        <v>7.5</v>
      </c>
      <c r="N14" s="13" t="inlineStr">
        <is>
          <t>OK</t>
        </is>
      </c>
      <c r="O14" s="13" t="inlineStr">
        <is>
          <t>강릉</t>
        </is>
      </c>
      <c r="P14" s="13" t="n">
        <v>113</v>
      </c>
      <c r="Q14" s="13" t="inlineStr">
        <is>
          <t>45°25′27</t>
        </is>
      </c>
      <c r="R14" s="15" t="n">
        <v>28</v>
      </c>
      <c r="S14" s="16" t="inlineStr">
        <is>
          <t>시험 탐사 대상</t>
        </is>
      </c>
    </row>
    <row r="15">
      <c r="A15" s="13" t="inlineStr">
        <is>
          <t>S11</t>
        </is>
      </c>
      <c r="B15" s="13" t="n">
        <v>11</v>
      </c>
      <c r="C15" s="13" t="inlineStr">
        <is>
          <t>B</t>
        </is>
      </c>
      <c r="D15" s="13" t="inlineStr">
        <is>
          <t>DS-025</t>
        </is>
      </c>
      <c r="E15" s="13" t="inlineStr">
        <is>
          <t>소천 신규점4</t>
        </is>
      </c>
      <c r="F15" s="13" t="inlineStr">
        <is>
          <t>대구경북 본부</t>
        </is>
      </c>
      <c r="G15" s="13" t="inlineStr">
        <is>
          <t>NJ52-11-05</t>
        </is>
      </c>
      <c r="H15" s="13" t="inlineStr">
        <is>
          <t>소천</t>
        </is>
      </c>
      <c r="I15" s="14" t="n">
        <v>36.765848</v>
      </c>
      <c r="J15" s="14" t="n">
        <v>129.154341</v>
      </c>
      <c r="K15" s="15" t="n">
        <v>380</v>
      </c>
      <c r="L15" s="16" t="inlineStr">
        <is>
          <t>경북 영양군 일월면 문암리 산 59-2</t>
        </is>
      </c>
      <c r="M15" s="15" t="n">
        <v>34.9</v>
      </c>
      <c r="N15" s="13" t="inlineStr">
        <is>
          <t>OK</t>
        </is>
      </c>
      <c r="O15" s="13" t="inlineStr">
        <is>
          <t>강릉</t>
        </is>
      </c>
      <c r="P15" s="13" t="n">
        <v>114</v>
      </c>
      <c r="Q15" s="13" t="inlineStr">
        <is>
          <t>251°54'10"</t>
        </is>
      </c>
      <c r="R15" s="15" t="n">
        <v>38</v>
      </c>
      <c r="S15" s="16" t="inlineStr">
        <is>
          <t>시험 탐사 대상</t>
        </is>
      </c>
    </row>
    <row r="16">
      <c r="A16" s="13" t="inlineStr">
        <is>
          <t>S12</t>
        </is>
      </c>
      <c r="B16" s="13" t="n">
        <v>12</v>
      </c>
      <c r="C16" s="13" t="inlineStr">
        <is>
          <t>B</t>
        </is>
      </c>
      <c r="D16" s="13" t="inlineStr">
        <is>
          <t>DS-030</t>
        </is>
      </c>
      <c r="E16" s="13" t="inlineStr">
        <is>
          <t>순창 신규점</t>
        </is>
      </c>
      <c r="F16" s="13" t="inlineStr">
        <is>
          <t>광주전남 본부</t>
        </is>
      </c>
      <c r="G16" s="13" t="inlineStr">
        <is>
          <t>NI52-1-21</t>
        </is>
      </c>
      <c r="H16" s="13" t="inlineStr">
        <is>
          <t>순창</t>
        </is>
      </c>
      <c r="I16" s="14" t="n">
        <v>35.284821</v>
      </c>
      <c r="J16" s="14" t="n">
        <v>127.092148</v>
      </c>
      <c r="K16" s="15" t="n">
        <v>219</v>
      </c>
      <c r="L16" s="16" t="inlineStr">
        <is>
          <t>전남광주통합특별시 곡성군 오산면 운곡리 산 73-1</t>
        </is>
      </c>
      <c r="M16" s="15" t="n">
        <v>23.1</v>
      </c>
      <c r="N16" s="13" t="inlineStr">
        <is>
          <t>OK</t>
        </is>
      </c>
      <c r="O16" s="13" t="inlineStr">
        <is>
          <t>청양</t>
        </is>
      </c>
      <c r="P16" s="13" t="n">
        <v>122</v>
      </c>
      <c r="Q16" s="13" t="inlineStr">
        <is>
          <t>206°53′16″</t>
        </is>
      </c>
      <c r="R16" s="15" t="n">
        <v>57</v>
      </c>
      <c r="S16" s="16" t="inlineStr">
        <is>
          <t>시험 탐사 대상</t>
        </is>
      </c>
    </row>
    <row r="17">
      <c r="A17" s="13" t="inlineStr">
        <is>
          <t>S13</t>
        </is>
      </c>
      <c r="B17" s="13" t="n">
        <v>13</v>
      </c>
      <c r="C17" s="13" t="inlineStr">
        <is>
          <t>B</t>
        </is>
      </c>
      <c r="D17" s="13" t="inlineStr">
        <is>
          <t>DS-031</t>
        </is>
      </c>
      <c r="E17" s="13" t="inlineStr">
        <is>
          <t>순천 신규점</t>
        </is>
      </c>
      <c r="F17" s="13" t="inlineStr">
        <is>
          <t>광주전남 본부</t>
        </is>
      </c>
      <c r="G17" s="13" t="inlineStr">
        <is>
          <t>NI52-4-06</t>
        </is>
      </c>
      <c r="H17" s="13" t="inlineStr">
        <is>
          <t>순천</t>
        </is>
      </c>
      <c r="I17" s="14" t="n">
        <v>34.904713</v>
      </c>
      <c r="J17" s="14" t="n">
        <v>127.294737</v>
      </c>
      <c r="K17" s="15" t="n">
        <v>301</v>
      </c>
      <c r="L17" s="16" t="inlineStr">
        <is>
          <t>전남광주통합특별시 순천시 외서면 신덕리 산 185-2</t>
        </is>
      </c>
      <c r="M17" s="15" t="n">
        <v>4.8</v>
      </c>
      <c r="N17" s="13" t="inlineStr">
        <is>
          <t>OK</t>
        </is>
      </c>
      <c r="O17" s="13" t="inlineStr">
        <is>
          <t>청양</t>
        </is>
      </c>
      <c r="P17" s="13" t="n">
        <v>167</v>
      </c>
      <c r="Q17" s="13" t="inlineStr">
        <is>
          <t>108° 51' 19</t>
        </is>
      </c>
      <c r="R17" s="15" t="n">
        <v>17</v>
      </c>
      <c r="S17" s="16" t="inlineStr">
        <is>
          <t>시험 탐사 대상</t>
        </is>
      </c>
    </row>
    <row r="18">
      <c r="A18" s="13" t="inlineStr">
        <is>
          <t>S14</t>
        </is>
      </c>
      <c r="B18" s="13" t="n">
        <v>14</v>
      </c>
      <c r="C18" s="13" t="inlineStr">
        <is>
          <t>B</t>
        </is>
      </c>
      <c r="D18" s="13" t="inlineStr">
        <is>
          <t>DS-033</t>
        </is>
      </c>
      <c r="E18" s="13" t="inlineStr">
        <is>
          <t>청송 신규점1</t>
        </is>
      </c>
      <c r="F18" s="13" t="inlineStr">
        <is>
          <t>대구경북 본부</t>
        </is>
      </c>
      <c r="G18" s="13" t="inlineStr">
        <is>
          <t>NJ52-11-21</t>
        </is>
      </c>
      <c r="H18" s="13" t="inlineStr">
        <is>
          <t>청송</t>
        </is>
      </c>
      <c r="I18" s="14" t="n">
        <v>36.382888</v>
      </c>
      <c r="J18" s="14" t="n">
        <v>129.145795</v>
      </c>
      <c r="K18" s="15" t="n">
        <v>313</v>
      </c>
      <c r="L18" s="16" t="inlineStr">
        <is>
          <t>경북 청송군 주왕산면 상의리 876</t>
        </is>
      </c>
      <c r="M18" s="15" t="n">
        <v>36.9</v>
      </c>
      <c r="N18" s="13" t="inlineStr">
        <is>
          <t>OK</t>
        </is>
      </c>
      <c r="O18" s="13" t="inlineStr">
        <is>
          <t>강릉</t>
        </is>
      </c>
      <c r="P18" s="13" t="n">
        <v>155</v>
      </c>
      <c r="Q18" s="13" t="inlineStr">
        <is>
          <t>121°33'54"</t>
        </is>
      </c>
      <c r="R18" s="15" t="n">
        <v>43</v>
      </c>
      <c r="S18" s="16" t="inlineStr">
        <is>
          <t>시험 탐사 대상</t>
        </is>
      </c>
    </row>
    <row r="19">
      <c r="A19" s="13" t="inlineStr">
        <is>
          <t>S15</t>
        </is>
      </c>
      <c r="B19" s="13" t="n">
        <v>15</v>
      </c>
      <c r="C19" s="13" t="inlineStr">
        <is>
          <t>B</t>
        </is>
      </c>
      <c r="D19" s="13" t="inlineStr">
        <is>
          <t>DS-035</t>
        </is>
      </c>
      <c r="E19" s="13" t="inlineStr">
        <is>
          <t>의성 신규점</t>
        </is>
      </c>
      <c r="F19" s="13" t="inlineStr">
        <is>
          <t>대구경북 본부</t>
        </is>
      </c>
      <c r="G19" s="13" t="inlineStr">
        <is>
          <t>NJ52-11-19</t>
        </is>
      </c>
      <c r="H19" s="13" t="inlineStr">
        <is>
          <t>의성</t>
        </is>
      </c>
      <c r="I19" s="14" t="n">
        <v>36.4767</v>
      </c>
      <c r="J19" s="14" t="n">
        <v>128.508751</v>
      </c>
      <c r="K19" s="15" t="n">
        <v>179</v>
      </c>
      <c r="L19" s="16" t="inlineStr">
        <is>
          <t>경북 의성군 신평면 교안리 산 31-1</t>
        </is>
      </c>
      <c r="M19" s="15" t="n">
        <v>5.7</v>
      </c>
      <c r="N19" s="13" t="inlineStr">
        <is>
          <t>OK</t>
        </is>
      </c>
      <c r="O19" s="13" t="inlineStr">
        <is>
          <t>이천</t>
        </is>
      </c>
      <c r="P19" s="13" t="n">
        <v>114</v>
      </c>
      <c r="Q19" s="13" t="inlineStr">
        <is>
          <t>44˚ 41´ 38.53˝</t>
        </is>
      </c>
      <c r="R19" s="15" t="n">
        <v>60</v>
      </c>
      <c r="S19" s="16" t="inlineStr">
        <is>
          <t>시험 탐사 대상</t>
        </is>
      </c>
    </row>
    <row r="20">
      <c r="A20" s="13" t="inlineStr">
        <is>
          <t>S16</t>
        </is>
      </c>
      <c r="B20" s="13" t="n">
        <v>16</v>
      </c>
      <c r="C20" s="13" t="inlineStr">
        <is>
          <t>B</t>
        </is>
      </c>
      <c r="D20" s="13" t="inlineStr">
        <is>
          <t>DS-036</t>
        </is>
      </c>
      <c r="E20" s="13" t="inlineStr">
        <is>
          <t>예천 신규점</t>
        </is>
      </c>
      <c r="F20" s="13" t="inlineStr">
        <is>
          <t>대구경북 본부</t>
        </is>
      </c>
      <c r="G20" s="13" t="inlineStr">
        <is>
          <t>NJ52-11-10</t>
        </is>
      </c>
      <c r="H20" s="13" t="inlineStr">
        <is>
          <t>예천</t>
        </is>
      </c>
      <c r="I20" s="14" t="n">
        <v>36.50939</v>
      </c>
      <c r="J20" s="14" t="n">
        <v>128.494519</v>
      </c>
      <c r="K20" s="15" t="n">
        <v>160</v>
      </c>
      <c r="L20" s="16" t="inlineStr">
        <is>
          <t>경북 의성군 신평면 중율리 산 9</t>
        </is>
      </c>
      <c r="M20" s="15" t="n">
        <v>10.3</v>
      </c>
      <c r="N20" s="13" t="inlineStr">
        <is>
          <t>OK</t>
        </is>
      </c>
      <c r="O20" s="13" t="inlineStr">
        <is>
          <t>이천</t>
        </is>
      </c>
      <c r="P20" s="13" t="n">
        <v>111</v>
      </c>
      <c r="Q20" s="13" t="inlineStr">
        <is>
          <t>352° 25′ 12.86˝</t>
        </is>
      </c>
      <c r="R20" s="15" t="n">
        <v>42</v>
      </c>
      <c r="S20" s="16" t="inlineStr">
        <is>
          <t>시험 탐사 대상</t>
        </is>
      </c>
    </row>
    <row r="21">
      <c r="A21" s="13" t="inlineStr">
        <is>
          <t>S17</t>
        </is>
      </c>
      <c r="B21" s="13" t="n">
        <v>17</v>
      </c>
      <c r="C21" s="13" t="inlineStr">
        <is>
          <t>B</t>
        </is>
      </c>
      <c r="D21" s="13" t="inlineStr">
        <is>
          <t>DS-040</t>
        </is>
      </c>
      <c r="E21" s="13" t="inlineStr">
        <is>
          <t>영양 신규점4</t>
        </is>
      </c>
      <c r="F21" s="13" t="inlineStr">
        <is>
          <t>대구경북 본부</t>
        </is>
      </c>
      <c r="G21" s="13" t="inlineStr">
        <is>
          <t>NJ52-11-13</t>
        </is>
      </c>
      <c r="H21" s="13" t="inlineStr">
        <is>
          <t>영양</t>
        </is>
      </c>
      <c r="I21" s="14" t="n">
        <v>36.743626</v>
      </c>
      <c r="J21" s="14" t="n">
        <v>129.181307</v>
      </c>
      <c r="K21" s="15" t="n">
        <v>512</v>
      </c>
      <c r="L21" s="16" t="inlineStr">
        <is>
          <t>경북 영양군 수비면 오기리 산 208-1</t>
        </is>
      </c>
      <c r="M21" s="15" t="n">
        <v>14.3</v>
      </c>
      <c r="N21" s="13" t="inlineStr">
        <is>
          <t>OK</t>
        </is>
      </c>
      <c r="O21" s="13" t="inlineStr">
        <is>
          <t>강릉</t>
        </is>
      </c>
      <c r="P21" s="13" t="n">
        <v>117</v>
      </c>
      <c r="Q21" s="13" t="inlineStr">
        <is>
          <t>173°51'05"</t>
        </is>
      </c>
      <c r="R21" s="15" t="n">
        <v>52</v>
      </c>
      <c r="S21" s="16" t="inlineStr">
        <is>
          <t>시험 탐사 대상</t>
        </is>
      </c>
    </row>
    <row r="22">
      <c r="A22" s="13" t="inlineStr">
        <is>
          <t>S18</t>
        </is>
      </c>
      <c r="B22" s="13" t="n">
        <v>18</v>
      </c>
      <c r="C22" s="13" t="inlineStr">
        <is>
          <t>B</t>
        </is>
      </c>
      <c r="D22" s="13" t="inlineStr">
        <is>
          <t>DS-045</t>
        </is>
      </c>
      <c r="E22" s="13" t="inlineStr">
        <is>
          <t>통영 신규점</t>
        </is>
      </c>
      <c r="F22" s="13" t="inlineStr">
        <is>
          <t>경남 본부</t>
        </is>
      </c>
      <c r="G22" s="13" t="inlineStr">
        <is>
          <t>NI52-5-02</t>
        </is>
      </c>
      <c r="H22" s="13" t="inlineStr">
        <is>
          <t>통영</t>
        </is>
      </c>
      <c r="I22" s="14" t="n">
        <v>34.792976</v>
      </c>
      <c r="J22" s="14" t="n">
        <v>128.393827</v>
      </c>
      <c r="K22" s="15" t="n">
        <v>79</v>
      </c>
      <c r="L22" s="16" t="inlineStr">
        <is>
          <t>경남 통영시 산양읍 연화리 584</t>
        </is>
      </c>
      <c r="M22" s="15" t="n">
        <v>140.1</v>
      </c>
      <c r="N22" s="13" t="inlineStr">
        <is>
          <t>OK</t>
        </is>
      </c>
      <c r="O22" s="13" t="inlineStr">
        <is>
          <t>청양</t>
        </is>
      </c>
      <c r="P22" s="13" t="n">
        <v>223</v>
      </c>
      <c r="Q22" s="13" t="inlineStr">
        <is>
          <t>304°50'44"</t>
        </is>
      </c>
      <c r="R22" s="15" t="n">
        <v>26</v>
      </c>
      <c r="S22" s="16" t="inlineStr">
        <is>
          <t>시험 탐사 대상</t>
        </is>
      </c>
    </row>
    <row r="23">
      <c r="A23" s="13" t="inlineStr">
        <is>
          <t>S19</t>
        </is>
      </c>
      <c r="B23" s="13" t="n">
        <v>19</v>
      </c>
      <c r="C23" s="13" t="inlineStr">
        <is>
          <t>B</t>
        </is>
      </c>
      <c r="D23" s="13" t="inlineStr">
        <is>
          <t>DS-046</t>
        </is>
      </c>
      <c r="E23" s="13" t="inlineStr">
        <is>
          <t>오호 신규점</t>
        </is>
      </c>
      <c r="F23" s="13" t="inlineStr">
        <is>
          <t>강원 본부</t>
        </is>
      </c>
      <c r="G23" s="13" t="inlineStr">
        <is>
          <t>NJ52-5-19</t>
        </is>
      </c>
      <c r="H23" s="13" t="inlineStr">
        <is>
          <t>오호</t>
        </is>
      </c>
      <c r="I23" s="14" t="n">
        <v>38.318869</v>
      </c>
      <c r="J23" s="14" t="n">
        <v>128.521755</v>
      </c>
      <c r="K23" s="15" t="n">
        <v>21</v>
      </c>
      <c r="L23" s="16" t="inlineStr">
        <is>
          <t>강원특별자치도 고성군 죽왕면 삼포리 산 5</t>
        </is>
      </c>
      <c r="M23" s="15" t="n"/>
      <c r="N23" s="17" t="inlineStr">
        <is>
          <t>NOT AVAILABLE</t>
        </is>
      </c>
      <c r="O23" s="13" t="inlineStr">
        <is>
          <t>강릉</t>
        </is>
      </c>
      <c r="P23" s="13" t="n">
        <v>68</v>
      </c>
      <c r="Q23" s="13" t="inlineStr">
        <is>
          <t>252°09′33.58"</t>
        </is>
      </c>
      <c r="R23" s="15" t="n">
        <v>36</v>
      </c>
      <c r="S23" s="16" t="inlineStr">
        <is>
          <t>시험 탐사 대상</t>
        </is>
      </c>
    </row>
    <row r="24">
      <c r="A24" s="13" t="inlineStr">
        <is>
          <t>S20</t>
        </is>
      </c>
      <c r="B24" s="13" t="n">
        <v>20</v>
      </c>
      <c r="C24" s="13" t="inlineStr">
        <is>
          <t>B</t>
        </is>
      </c>
      <c r="D24" s="13" t="inlineStr">
        <is>
          <t>DS-049</t>
        </is>
      </c>
      <c r="E24" s="13" t="inlineStr">
        <is>
          <t>보령 신규점2</t>
        </is>
      </c>
      <c r="F24" s="13" t="inlineStr">
        <is>
          <t>대전세종충남 본부</t>
        </is>
      </c>
      <c r="G24" s="13" t="inlineStr">
        <is>
          <t>NJ52-10-19</t>
        </is>
      </c>
      <c r="H24" s="13" t="inlineStr">
        <is>
          <t>보령</t>
        </is>
      </c>
      <c r="I24" s="14" t="n">
        <v>36.266844</v>
      </c>
      <c r="J24" s="14" t="n">
        <v>126.706961</v>
      </c>
      <c r="K24" s="15" t="n">
        <v>277</v>
      </c>
      <c r="L24" s="16" t="inlineStr">
        <is>
          <t>충남 부여군 외산면 가덕리 산 11-1</t>
        </is>
      </c>
      <c r="M24" s="15" t="n">
        <v>4.4</v>
      </c>
      <c r="N24" s="13" t="inlineStr">
        <is>
          <t>OK</t>
        </is>
      </c>
      <c r="O24" s="13" t="inlineStr">
        <is>
          <t>청양</t>
        </is>
      </c>
      <c r="P24" s="13" t="n">
        <v>17</v>
      </c>
      <c r="Q24" s="13" t="inlineStr">
        <is>
          <t>5° 15' 3.36</t>
        </is>
      </c>
      <c r="R24" s="15" t="n">
        <v>75</v>
      </c>
      <c r="S24" s="16" t="inlineStr">
        <is>
          <t>시험 탐사 대상</t>
        </is>
      </c>
    </row>
    <row r="25">
      <c r="A25" s="13" t="inlineStr">
        <is>
          <t>S21</t>
        </is>
      </c>
      <c r="B25" s="13" t="n">
        <v>21</v>
      </c>
      <c r="C25" s="13" t="inlineStr">
        <is>
          <t>B</t>
        </is>
      </c>
      <c r="D25" s="13" t="inlineStr">
        <is>
          <t>DS-051</t>
        </is>
      </c>
      <c r="E25" s="13" t="inlineStr">
        <is>
          <t>담양 신규점2</t>
        </is>
      </c>
      <c r="F25" s="13" t="inlineStr">
        <is>
          <t>전북 본부</t>
        </is>
      </c>
      <c r="G25" s="13" t="inlineStr">
        <is>
          <t>NI52-1-20</t>
        </is>
      </c>
      <c r="H25" s="13" t="inlineStr">
        <is>
          <t>담양</t>
        </is>
      </c>
      <c r="I25" s="14" t="n">
        <v>35.456101</v>
      </c>
      <c r="J25" s="14" t="n">
        <v>126.962054</v>
      </c>
      <c r="K25" s="15" t="n">
        <v>350</v>
      </c>
      <c r="L25" s="16" t="inlineStr">
        <is>
          <t>전북특별자치도 순창군 복흥면 하리 산 27</t>
        </is>
      </c>
      <c r="M25" s="15" t="n">
        <v>35.3</v>
      </c>
      <c r="N25" s="13" t="inlineStr">
        <is>
          <t>OK</t>
        </is>
      </c>
      <c r="O25" s="13" t="inlineStr">
        <is>
          <t>청양</t>
        </is>
      </c>
      <c r="P25" s="13" t="n">
        <v>102</v>
      </c>
      <c r="Q25" s="13" t="inlineStr">
        <is>
          <t>227˚ 00´ 55˝</t>
        </is>
      </c>
      <c r="R25" s="15" t="n">
        <v>44</v>
      </c>
      <c r="S25" s="16" t="inlineStr">
        <is>
          <t>시험 탐사 대상</t>
        </is>
      </c>
    </row>
    <row r="26">
      <c r="A26" s="13" t="inlineStr">
        <is>
          <t>S22</t>
        </is>
      </c>
      <c r="B26" s="13" t="n">
        <v>22</v>
      </c>
      <c r="C26" s="13" t="inlineStr">
        <is>
          <t>B</t>
        </is>
      </c>
      <c r="D26" s="13" t="inlineStr">
        <is>
          <t>DS-055</t>
        </is>
      </c>
      <c r="E26" s="13" t="inlineStr">
        <is>
          <t>완도 신규점</t>
        </is>
      </c>
      <c r="F26" s="13" t="inlineStr">
        <is>
          <t>광주전남 본부</t>
        </is>
      </c>
      <c r="G26" s="13" t="inlineStr">
        <is>
          <t>NI52-4-19</t>
        </is>
      </c>
      <c r="H26" s="13" t="inlineStr">
        <is>
          <t>완도</t>
        </is>
      </c>
      <c r="I26" s="14" t="n">
        <v>34.328826</v>
      </c>
      <c r="J26" s="14" t="n">
        <v>126.543215</v>
      </c>
      <c r="K26" s="15" t="n">
        <v>131</v>
      </c>
      <c r="L26" s="16" t="inlineStr">
        <is>
          <t>전남광주통합특별시 해남군 송지면 송호리 산 178-3</t>
        </is>
      </c>
      <c r="M26" s="15" t="n">
        <v>48.2</v>
      </c>
      <c r="N26" s="13" t="inlineStr">
        <is>
          <t>OK</t>
        </is>
      </c>
      <c r="O26" s="13" t="inlineStr">
        <is>
          <t>제주</t>
        </is>
      </c>
      <c r="P26" s="13" t="n">
        <v>102</v>
      </c>
      <c r="Q26" s="13" t="inlineStr">
        <is>
          <t>122º 46' 29</t>
        </is>
      </c>
      <c r="R26" s="15" t="n">
        <v>38</v>
      </c>
      <c r="S26" s="16" t="inlineStr">
        <is>
          <t>시험 탐사 대상</t>
        </is>
      </c>
    </row>
    <row r="27">
      <c r="A27" s="13" t="inlineStr">
        <is>
          <t>S23</t>
        </is>
      </c>
      <c r="B27" s="13" t="n">
        <v>23</v>
      </c>
      <c r="C27" s="13" t="inlineStr">
        <is>
          <t>B</t>
        </is>
      </c>
      <c r="D27" s="13" t="inlineStr">
        <is>
          <t>DS-057</t>
        </is>
      </c>
      <c r="E27" s="13" t="inlineStr">
        <is>
          <t>덕산 신규점1</t>
        </is>
      </c>
      <c r="F27" s="13" t="inlineStr">
        <is>
          <t>충북 본부</t>
        </is>
      </c>
      <c r="G27" s="13" t="inlineStr">
        <is>
          <t>NJ52-11-01</t>
        </is>
      </c>
      <c r="H27" s="13" t="inlineStr">
        <is>
          <t>덕산</t>
        </is>
      </c>
      <c r="I27" s="14" t="n">
        <v>36.888529</v>
      </c>
      <c r="J27" s="14" t="n">
        <v>128.192739</v>
      </c>
      <c r="K27" s="15" t="n">
        <v>388</v>
      </c>
      <c r="L27" s="16" t="inlineStr">
        <is>
          <t>충북 제천시 덕산면 선고리 산 28-8</t>
        </is>
      </c>
      <c r="M27" s="15" t="n">
        <v>9.9</v>
      </c>
      <c r="N27" s="13" t="inlineStr">
        <is>
          <t>OK</t>
        </is>
      </c>
      <c r="O27" s="13" t="inlineStr">
        <is>
          <t>이천</t>
        </is>
      </c>
      <c r="P27" s="13" t="n">
        <v>65</v>
      </c>
      <c r="Q27" s="13" t="inlineStr">
        <is>
          <t>52˚41'47"</t>
        </is>
      </c>
      <c r="R27" s="15" t="n">
        <v>29</v>
      </c>
      <c r="S27" s="16" t="inlineStr">
        <is>
          <t>시험 탐사 대상</t>
        </is>
      </c>
    </row>
    <row r="28">
      <c r="A28" s="13" t="inlineStr">
        <is>
          <t>S24</t>
        </is>
      </c>
      <c r="B28" s="13" t="n">
        <v>24</v>
      </c>
      <c r="C28" s="13" t="inlineStr">
        <is>
          <t>B</t>
        </is>
      </c>
      <c r="D28" s="13" t="inlineStr">
        <is>
          <t>DS-060</t>
        </is>
      </c>
      <c r="E28" s="13" t="inlineStr">
        <is>
          <t>회천 신규점2</t>
        </is>
      </c>
      <c r="F28" s="13" t="inlineStr">
        <is>
          <t>광주전남 본부</t>
        </is>
      </c>
      <c r="G28" s="13" t="inlineStr">
        <is>
          <t>NI52-4-13</t>
        </is>
      </c>
      <c r="H28" s="13" t="inlineStr">
        <is>
          <t>회천</t>
        </is>
      </c>
      <c r="I28" s="14" t="n">
        <v>34.680805</v>
      </c>
      <c r="J28" s="14" t="n">
        <v>127.04766</v>
      </c>
      <c r="K28" s="15" t="n">
        <v>99</v>
      </c>
      <c r="L28" s="16" t="inlineStr">
        <is>
          <t>전남광주통합특별시 보성군 회천면 회령리 산 155</t>
        </is>
      </c>
      <c r="M28" s="15" t="n">
        <v>10.1</v>
      </c>
      <c r="N28" s="13" t="inlineStr">
        <is>
          <t>OK</t>
        </is>
      </c>
      <c r="O28" s="13" t="inlineStr">
        <is>
          <t>제주</t>
        </is>
      </c>
      <c r="P28" s="13" t="n">
        <v>155</v>
      </c>
      <c r="Q28" s="13" t="inlineStr">
        <is>
          <t>326° 39' 52</t>
        </is>
      </c>
      <c r="R28" s="15" t="n">
        <v>27</v>
      </c>
      <c r="S28" s="16" t="inlineStr">
        <is>
          <t>시험 탐사 대상</t>
        </is>
      </c>
    </row>
    <row r="29">
      <c r="A29" s="13" t="inlineStr">
        <is>
          <t>S25</t>
        </is>
      </c>
      <c r="B29" s="13" t="n">
        <v>25</v>
      </c>
      <c r="C29" s="13" t="inlineStr">
        <is>
          <t>B</t>
        </is>
      </c>
      <c r="D29" s="13" t="inlineStr">
        <is>
          <t>DS-068</t>
        </is>
      </c>
      <c r="E29" s="13" t="inlineStr">
        <is>
          <t>관리 신규점3</t>
        </is>
      </c>
      <c r="F29" s="13" t="inlineStr">
        <is>
          <t>대구경북 본부</t>
        </is>
      </c>
      <c r="G29" s="13" t="inlineStr">
        <is>
          <t>NJ52-10-24</t>
        </is>
      </c>
      <c r="H29" s="13" t="inlineStr">
        <is>
          <t>관기</t>
        </is>
      </c>
      <c r="I29" s="14" t="n">
        <v>36.325755</v>
      </c>
      <c r="J29" s="14" t="n">
        <v>127.905982</v>
      </c>
      <c r="K29" s="15" t="n">
        <v>383</v>
      </c>
      <c r="L29" s="16" t="inlineStr">
        <is>
          <t>경북 상주시 모서면 득수리 산 146</t>
        </is>
      </c>
      <c r="M29" s="15" t="n">
        <v>54.9</v>
      </c>
      <c r="N29" s="13" t="inlineStr">
        <is>
          <t>OK</t>
        </is>
      </c>
      <c r="O29" s="13" t="inlineStr">
        <is>
          <t>청양</t>
        </is>
      </c>
      <c r="P29" s="13" t="n">
        <v>95</v>
      </c>
      <c r="Q29" s="13" t="inlineStr">
        <is>
          <t>141° 02’ 02</t>
        </is>
      </c>
      <c r="R29" s="15" t="n">
        <v>60</v>
      </c>
      <c r="S29" s="16" t="inlineStr">
        <is>
          <t>시험 탐사 대상</t>
        </is>
      </c>
    </row>
    <row r="30">
      <c r="A30" s="13" t="inlineStr">
        <is>
          <t>S26</t>
        </is>
      </c>
      <c r="B30" s="13" t="n">
        <v>26</v>
      </c>
      <c r="C30" s="13" t="inlineStr">
        <is>
          <t>B</t>
        </is>
      </c>
      <c r="D30" s="13" t="inlineStr">
        <is>
          <t>DS-075</t>
        </is>
      </c>
      <c r="E30" s="13" t="inlineStr">
        <is>
          <t>고남 신규점2</t>
        </is>
      </c>
      <c r="F30" s="13" t="inlineStr">
        <is>
          <t>대전세종충남 본부</t>
        </is>
      </c>
      <c r="G30" s="13" t="inlineStr">
        <is>
          <t>NJ52-10-18</t>
        </is>
      </c>
      <c r="H30" s="13" t="inlineStr">
        <is>
          <t>고남</t>
        </is>
      </c>
      <c r="I30" s="14" t="n">
        <v>36.452304</v>
      </c>
      <c r="J30" s="14" t="n">
        <v>126.395802</v>
      </c>
      <c r="K30" s="15" t="n">
        <v>38</v>
      </c>
      <c r="L30" s="16" t="inlineStr">
        <is>
          <t>충남 태안군 고남면 누동리 산 6-514</t>
        </is>
      </c>
      <c r="M30" s="15" t="n">
        <v>2.9</v>
      </c>
      <c r="N30" s="13" t="inlineStr">
        <is>
          <t>OK</t>
        </is>
      </c>
      <c r="O30" s="13" t="inlineStr">
        <is>
          <t>청양</t>
        </is>
      </c>
      <c r="P30" s="13" t="n">
        <v>42</v>
      </c>
      <c r="Q30" s="13" t="inlineStr">
        <is>
          <t>29° 8' 15.13</t>
        </is>
      </c>
      <c r="R30" s="15" t="n">
        <v>70</v>
      </c>
      <c r="S30" s="16" t="inlineStr">
        <is>
          <t>시험 탐사 대상</t>
        </is>
      </c>
    </row>
    <row r="31">
      <c r="A31" s="13" t="inlineStr">
        <is>
          <t>S27</t>
        </is>
      </c>
      <c r="B31" s="13" t="n">
        <v>27</v>
      </c>
      <c r="C31" s="13" t="inlineStr">
        <is>
          <t>B</t>
        </is>
      </c>
      <c r="D31" s="13" t="inlineStr">
        <is>
          <t>DS-078</t>
        </is>
      </c>
      <c r="E31" s="13" t="inlineStr">
        <is>
          <t>전의 신규점</t>
        </is>
      </c>
      <c r="F31" s="13" t="inlineStr">
        <is>
          <t>대전세종충남 본부</t>
        </is>
      </c>
      <c r="G31" s="13" t="inlineStr">
        <is>
          <t>NJ52-10-13</t>
        </is>
      </c>
      <c r="H31" s="13" t="inlineStr">
        <is>
          <t>전의</t>
        </is>
      </c>
      <c r="I31" s="14" t="n">
        <v>36.579379</v>
      </c>
      <c r="J31" s="14" t="n">
        <v>127.068702</v>
      </c>
      <c r="K31" s="15" t="n">
        <v>372</v>
      </c>
      <c r="L31" s="16" t="inlineStr">
        <is>
          <t>충남 공주시 사곡면 월가리 산 10-1</t>
        </is>
      </c>
      <c r="M31" s="15" t="n">
        <v>2.9</v>
      </c>
      <c r="N31" s="13" t="inlineStr">
        <is>
          <t>OK</t>
        </is>
      </c>
      <c r="O31" s="13" t="inlineStr">
        <is>
          <t>청양</t>
        </is>
      </c>
      <c r="P31" s="13" t="n">
        <v>30</v>
      </c>
      <c r="Q31" s="13" t="inlineStr">
        <is>
          <t>307°8′47″</t>
        </is>
      </c>
      <c r="R31" s="15" t="n">
        <v>54</v>
      </c>
      <c r="S31" s="16" t="inlineStr">
        <is>
          <t>시험 탐사 대상</t>
        </is>
      </c>
    </row>
    <row r="32">
      <c r="A32" s="13" t="inlineStr">
        <is>
          <t>S28</t>
        </is>
      </c>
      <c r="B32" s="13" t="n">
        <v>28</v>
      </c>
      <c r="C32" s="13" t="inlineStr">
        <is>
          <t>B</t>
        </is>
      </c>
      <c r="D32" s="13" t="inlineStr">
        <is>
          <t>DS-080</t>
        </is>
      </c>
      <c r="E32" s="13" t="inlineStr">
        <is>
          <t>이원 신규점</t>
        </is>
      </c>
      <c r="F32" s="13" t="inlineStr">
        <is>
          <t>대전세종충남 본부</t>
        </is>
      </c>
      <c r="G32" s="13" t="inlineStr">
        <is>
          <t>NJ52-10-31</t>
        </is>
      </c>
      <c r="H32" s="13" t="inlineStr">
        <is>
          <t>이원</t>
        </is>
      </c>
      <c r="I32" s="14" t="n">
        <v>36.16662</v>
      </c>
      <c r="J32" s="14" t="n">
        <v>127.583121</v>
      </c>
      <c r="K32" s="15" t="n">
        <v>300</v>
      </c>
      <c r="L32" s="16" t="inlineStr">
        <is>
          <t>충남 금산군 제원면 신안리 산 4-1</t>
        </is>
      </c>
      <c r="M32" s="15" t="n">
        <v>12</v>
      </c>
      <c r="N32" s="13" t="inlineStr">
        <is>
          <t>OK</t>
        </is>
      </c>
      <c r="O32" s="13" t="inlineStr">
        <is>
          <t>청양</t>
        </is>
      </c>
      <c r="P32" s="13" t="n">
        <v>70</v>
      </c>
      <c r="Q32" s="13" t="inlineStr">
        <is>
          <t>157°40′41″</t>
        </is>
      </c>
      <c r="R32" s="15" t="n">
        <v>42</v>
      </c>
      <c r="S32" s="16" t="inlineStr">
        <is>
          <t>시험 탐사 대상</t>
        </is>
      </c>
    </row>
    <row r="33">
      <c r="A33" s="13" t="inlineStr">
        <is>
          <t>S29</t>
        </is>
      </c>
      <c r="B33" s="13" t="n">
        <v>29</v>
      </c>
      <c r="C33" s="13" t="inlineStr">
        <is>
          <t>B</t>
        </is>
      </c>
      <c r="D33" s="13" t="inlineStr">
        <is>
          <t>DS-084</t>
        </is>
      </c>
      <c r="E33" s="13" t="inlineStr">
        <is>
          <t>가야 신규점1</t>
        </is>
      </c>
      <c r="F33" s="13" t="inlineStr">
        <is>
          <t>경남 본부</t>
        </is>
      </c>
      <c r="G33" s="13" t="inlineStr">
        <is>
          <t>NI52-2-01</t>
        </is>
      </c>
      <c r="H33" s="13" t="inlineStr">
        <is>
          <t>가야</t>
        </is>
      </c>
      <c r="I33" s="14" t="n">
        <v>35.777986</v>
      </c>
      <c r="J33" s="14" t="n">
        <v>128.036833</v>
      </c>
      <c r="K33" s="15" t="n">
        <v>825</v>
      </c>
      <c r="L33" s="16" t="inlineStr">
        <is>
          <t>경남 거창군 가북면 우혜리 산 3</t>
        </is>
      </c>
      <c r="M33" s="15" t="n">
        <v>26.8</v>
      </c>
      <c r="N33" s="13" t="inlineStr">
        <is>
          <t>OK</t>
        </is>
      </c>
      <c r="O33" s="13" t="inlineStr">
        <is>
          <t>청양</t>
        </is>
      </c>
      <c r="P33" s="13" t="n">
        <v>125</v>
      </c>
      <c r="Q33" s="13" t="inlineStr">
        <is>
          <t>115° 14' 22"</t>
        </is>
      </c>
      <c r="R33" s="15" t="n">
        <v>21</v>
      </c>
      <c r="S33" s="16" t="inlineStr">
        <is>
          <t>시험 탐사 대상</t>
        </is>
      </c>
    </row>
    <row r="34">
      <c r="A34" s="13" t="inlineStr">
        <is>
          <t>S30</t>
        </is>
      </c>
      <c r="B34" s="13" t="n">
        <v>30</v>
      </c>
      <c r="C34" s="13" t="inlineStr">
        <is>
          <t>B</t>
        </is>
      </c>
      <c r="D34" s="13" t="inlineStr">
        <is>
          <t>DS-086</t>
        </is>
      </c>
      <c r="E34" s="13" t="inlineStr">
        <is>
          <t>창녕 신규점</t>
        </is>
      </c>
      <c r="F34" s="13" t="inlineStr">
        <is>
          <t>대구경북 본부</t>
        </is>
      </c>
      <c r="G34" s="13" t="inlineStr">
        <is>
          <t>NI52-2-10</t>
        </is>
      </c>
      <c r="H34" s="13" t="inlineStr">
        <is>
          <t>창녕</t>
        </is>
      </c>
      <c r="I34" s="14" t="n">
        <v>35.662586</v>
      </c>
      <c r="J34" s="14" t="n">
        <v>128.298099</v>
      </c>
      <c r="K34" s="15" t="n">
        <v>179</v>
      </c>
      <c r="L34" s="16" t="inlineStr">
        <is>
          <t>경북 고령군 쌍림면 평지리 산 63</t>
        </is>
      </c>
      <c r="M34" s="15" t="n">
        <v>22.7</v>
      </c>
      <c r="N34" s="13" t="inlineStr">
        <is>
          <t>OK</t>
        </is>
      </c>
      <c r="O34" s="13" t="inlineStr">
        <is>
          <t>청양</t>
        </is>
      </c>
      <c r="P34" s="13" t="n">
        <v>152</v>
      </c>
      <c r="Q34" s="13" t="inlineStr">
        <is>
          <t>297° 30' 11</t>
        </is>
      </c>
      <c r="R34" s="15" t="n">
        <v>23</v>
      </c>
      <c r="S34" s="16" t="inlineStr">
        <is>
          <t>시험 탐사 대상</t>
        </is>
      </c>
    </row>
    <row r="35">
      <c r="A35" s="13" t="inlineStr">
        <is>
          <t>S31</t>
        </is>
      </c>
      <c r="B35" s="13" t="n">
        <v>31</v>
      </c>
      <c r="C35" s="13" t="inlineStr">
        <is>
          <t>B</t>
        </is>
      </c>
      <c r="D35" s="13" t="inlineStr">
        <is>
          <t>DS-089</t>
        </is>
      </c>
      <c r="E35" s="13" t="inlineStr">
        <is>
          <t>언양 신규점3</t>
        </is>
      </c>
      <c r="F35" s="13" t="inlineStr">
        <is>
          <t>대구경북 본부</t>
        </is>
      </c>
      <c r="G35" s="13" t="inlineStr">
        <is>
          <t>NI52-2-13</t>
        </is>
      </c>
      <c r="H35" s="13" t="inlineStr">
        <is>
          <t>언양</t>
        </is>
      </c>
      <c r="I35" s="14" t="n">
        <v>35.742364</v>
      </c>
      <c r="J35" s="14" t="n">
        <v>129.029824</v>
      </c>
      <c r="K35" s="15" t="n">
        <v>234</v>
      </c>
      <c r="L35" s="16" t="inlineStr">
        <is>
          <t>경북 경주시 산내면 외칠리 산 183</t>
        </is>
      </c>
      <c r="M35" s="15" t="n">
        <v>24.2</v>
      </c>
      <c r="N35" s="13" t="inlineStr">
        <is>
          <t>OK</t>
        </is>
      </c>
      <c r="O35" s="13" t="inlineStr">
        <is>
          <t>이천</t>
        </is>
      </c>
      <c r="P35" s="13" t="n">
        <v>205</v>
      </c>
      <c r="Q35" s="13" t="inlineStr">
        <is>
          <t>352°5′13″</t>
        </is>
      </c>
      <c r="R35" s="15" t="n">
        <v>33</v>
      </c>
      <c r="S35" s="16" t="inlineStr">
        <is>
          <t>시험 탐사 대상</t>
        </is>
      </c>
    </row>
    <row r="36">
      <c r="A36" s="13" t="inlineStr">
        <is>
          <t>S32</t>
        </is>
      </c>
      <c r="B36" s="13" t="n">
        <v>32</v>
      </c>
      <c r="C36" s="13" t="inlineStr">
        <is>
          <t>B</t>
        </is>
      </c>
      <c r="D36" s="13" t="inlineStr">
        <is>
          <t>DS-096</t>
        </is>
      </c>
      <c r="E36" s="13" t="inlineStr">
        <is>
          <t>함양 신규점</t>
        </is>
      </c>
      <c r="F36" s="13" t="inlineStr">
        <is>
          <t>전북 본부</t>
        </is>
      </c>
      <c r="G36" s="13" t="inlineStr">
        <is>
          <t>NI52-1-15</t>
        </is>
      </c>
      <c r="H36" s="13" t="inlineStr">
        <is>
          <t>함양</t>
        </is>
      </c>
      <c r="I36" s="14" t="n">
        <v>35.586243</v>
      </c>
      <c r="J36" s="14" t="n">
        <v>127.574659</v>
      </c>
      <c r="K36" s="15" t="n">
        <v>478</v>
      </c>
      <c r="L36" s="16" t="inlineStr">
        <is>
          <t>전북특별자치도 장수군 번암면 지지리 산 55</t>
        </is>
      </c>
      <c r="M36" s="15" t="n">
        <v>16.5</v>
      </c>
      <c r="N36" s="13" t="inlineStr">
        <is>
          <t>OK</t>
        </is>
      </c>
      <c r="O36" s="13" t="inlineStr">
        <is>
          <t>청양</t>
        </is>
      </c>
      <c r="P36" s="13" t="n">
        <v>108</v>
      </c>
      <c r="Q36" s="13" t="inlineStr">
        <is>
          <t>132º 38' 54</t>
        </is>
      </c>
      <c r="R36" s="15" t="n">
        <v>34</v>
      </c>
      <c r="S36" s="16" t="inlineStr">
        <is>
          <t>시험 탐사 대상</t>
        </is>
      </c>
    </row>
    <row r="37">
      <c r="A37" s="13" t="inlineStr">
        <is>
          <t>S33</t>
        </is>
      </c>
      <c r="B37" s="13" t="n">
        <v>33</v>
      </c>
      <c r="C37" s="13" t="inlineStr">
        <is>
          <t>B</t>
        </is>
      </c>
      <c r="D37" s="13" t="inlineStr">
        <is>
          <t>DS-098</t>
        </is>
      </c>
      <c r="E37" s="13" t="inlineStr">
        <is>
          <t>문산 신규점</t>
        </is>
      </c>
      <c r="F37" s="13" t="inlineStr">
        <is>
          <t>서울경기북부 본부</t>
        </is>
      </c>
      <c r="G37" s="13" t="inlineStr">
        <is>
          <t>NJ52-7-04</t>
        </is>
      </c>
      <c r="H37" s="13" t="inlineStr">
        <is>
          <t>문산</t>
        </is>
      </c>
      <c r="I37" s="14" t="n">
        <v>37.927676</v>
      </c>
      <c r="J37" s="14" t="n">
        <v>126.870305</v>
      </c>
      <c r="K37" s="15" t="n">
        <v>83</v>
      </c>
      <c r="L37" s="16" t="inlineStr">
        <is>
          <t>경기 파주시 파평면 덕천리 산 40-3</t>
        </is>
      </c>
      <c r="M37" s="15" t="n"/>
      <c r="N37" s="17" t="inlineStr">
        <is>
          <t>NOT AVAILABLE</t>
        </is>
      </c>
      <c r="O37" s="13" t="inlineStr">
        <is>
          <t>이천</t>
        </is>
      </c>
      <c r="P37" s="13" t="n">
        <v>105</v>
      </c>
      <c r="Q37" s="13" t="inlineStr">
        <is>
          <t>333° 29 '40.75</t>
        </is>
      </c>
      <c r="R37" s="15" t="n">
        <v>94</v>
      </c>
      <c r="S37" s="16" t="inlineStr">
        <is>
          <t>시험 탐사 대상</t>
        </is>
      </c>
    </row>
    <row r="38">
      <c r="A38" s="13" t="inlineStr">
        <is>
          <t>S34</t>
        </is>
      </c>
      <c r="B38" s="13" t="n">
        <v>34</v>
      </c>
      <c r="C38" s="13" t="inlineStr">
        <is>
          <t>B</t>
        </is>
      </c>
      <c r="D38" s="13" t="inlineStr">
        <is>
          <t>DS-102</t>
        </is>
      </c>
      <c r="E38" s="13" t="inlineStr">
        <is>
          <t>부안 신규점</t>
        </is>
      </c>
      <c r="F38" s="13" t="inlineStr">
        <is>
          <t>전북 본부</t>
        </is>
      </c>
      <c r="G38" s="13" t="inlineStr">
        <is>
          <t>NI52-1-11</t>
        </is>
      </c>
      <c r="H38" s="13" t="inlineStr">
        <is>
          <t>부안</t>
        </is>
      </c>
      <c r="I38" s="14" t="n">
        <v>35.541753</v>
      </c>
      <c r="J38" s="14" t="n">
        <v>126.645582</v>
      </c>
      <c r="K38" s="15" t="n">
        <v>112</v>
      </c>
      <c r="L38" s="16" t="inlineStr">
        <is>
          <t>전북특별자치도 고창군 부안면 수앙리 산 79-8</t>
        </is>
      </c>
      <c r="M38" s="15" t="n">
        <v>17</v>
      </c>
      <c r="N38" s="13" t="inlineStr">
        <is>
          <t>OK</t>
        </is>
      </c>
      <c r="O38" s="13" t="inlineStr">
        <is>
          <t>청양</t>
        </is>
      </c>
      <c r="P38" s="13" t="n">
        <v>93</v>
      </c>
      <c r="Q38" s="13" t="inlineStr">
        <is>
          <t>115° 56' 52</t>
        </is>
      </c>
      <c r="R38" s="15" t="n">
        <v>73</v>
      </c>
      <c r="S38" s="16" t="inlineStr">
        <is>
          <t>시험 탐사 대상</t>
        </is>
      </c>
    </row>
    <row r="39">
      <c r="A39" s="18" t="inlineStr">
        <is>
          <t>S35</t>
        </is>
      </c>
      <c r="B39" s="18" t="n">
        <v>35</v>
      </c>
      <c r="C39" s="18" t="inlineStr">
        <is>
          <t>기존점</t>
        </is>
      </c>
      <c r="D39" s="18" t="inlineStr">
        <is>
          <t>1-12-2</t>
        </is>
      </c>
      <c r="E39" s="18" t="inlineStr">
        <is>
          <t>상주</t>
        </is>
      </c>
      <c r="F39" s="18" t="inlineStr"/>
      <c r="G39" s="18" t="inlineStr">
        <is>
          <t>NJ52-14-16</t>
        </is>
      </c>
      <c r="H39" s="18" t="inlineStr">
        <is>
          <t>상주</t>
        </is>
      </c>
      <c r="I39" s="19" t="n">
        <v>36.35528841666667</v>
      </c>
      <c r="J39" s="19" t="n">
        <v>128.1104806944444</v>
      </c>
      <c r="K39" s="20" t="n">
        <v>92.568</v>
      </c>
      <c r="L39" s="21" t="inlineStr">
        <is>
          <t>경상북도 상주시 청리면 율리 436-2 밤깟마을(상주23)</t>
        </is>
      </c>
      <c r="M39" s="20" t="n">
        <v>43.6</v>
      </c>
      <c r="N39" s="18" t="inlineStr">
        <is>
          <t>OK</t>
        </is>
      </c>
      <c r="O39" s="18" t="inlineStr">
        <is>
          <t>이천</t>
        </is>
      </c>
      <c r="P39" s="18" t="n">
        <v>101</v>
      </c>
      <c r="Q39" s="18" t="inlineStr">
        <is>
          <t>NOT APPLICABLE</t>
        </is>
      </c>
      <c r="R39" s="20" t="n"/>
      <c r="S39" s="21" t="inlineStr">
        <is>
          <t>시험 탐사 대상</t>
        </is>
      </c>
    </row>
    <row r="40">
      <c r="A40" s="18" t="inlineStr">
        <is>
          <t>S36</t>
        </is>
      </c>
      <c r="B40" s="18" t="n">
        <v>36</v>
      </c>
      <c r="C40" s="18" t="inlineStr">
        <is>
          <t>기존점</t>
        </is>
      </c>
      <c r="D40" s="18" t="inlineStr">
        <is>
          <t>1-13-2</t>
        </is>
      </c>
      <c r="E40" s="18" t="inlineStr">
        <is>
          <t>미원</t>
        </is>
      </c>
      <c r="F40" s="18" t="inlineStr"/>
      <c r="G40" s="18" t="inlineStr">
        <is>
          <t>NJ52-13-14</t>
        </is>
      </c>
      <c r="H40" s="18" t="inlineStr">
        <is>
          <t>미원</t>
        </is>
      </c>
      <c r="I40" s="19" t="n">
        <v>36.72502777777778</v>
      </c>
      <c r="J40" s="19" t="n">
        <v>127.5862222222222</v>
      </c>
      <c r="K40" s="20" t="n">
        <v>97.952</v>
      </c>
      <c r="L40" s="21" t="inlineStr">
        <is>
          <t>충청북도 청주시 청원구 북이면 영하리 산13-1(미원409)</t>
        </is>
      </c>
      <c r="M40" s="20" t="n">
        <v>5.4</v>
      </c>
      <c r="N40" s="18" t="inlineStr">
        <is>
          <t>OK</t>
        </is>
      </c>
      <c r="O40" s="18" t="inlineStr">
        <is>
          <t>이천</t>
        </is>
      </c>
      <c r="P40" s="18" t="n">
        <v>46</v>
      </c>
      <c r="Q40" s="18" t="inlineStr">
        <is>
          <t>NOT APPLICABLE</t>
        </is>
      </c>
      <c r="R40" s="20" t="n"/>
      <c r="S40" s="22" t="inlineStr">
        <is>
          <t>HOLD — 좌표 353 m 불일치 — 표석 동일성 확인 전 과거 성과 대조 보류</t>
        </is>
      </c>
    </row>
    <row r="41">
      <c r="A41" s="18" t="inlineStr">
        <is>
          <t>S37</t>
        </is>
      </c>
      <c r="B41" s="18" t="n">
        <v>37</v>
      </c>
      <c r="C41" s="18" t="inlineStr">
        <is>
          <t>기존점</t>
        </is>
      </c>
      <c r="D41" s="18" t="inlineStr">
        <is>
          <t>1-17-2</t>
        </is>
      </c>
      <c r="E41" s="18" t="inlineStr">
        <is>
          <t>부안</t>
        </is>
      </c>
      <c r="F41" s="18" t="inlineStr"/>
      <c r="G41" s="18" t="inlineStr">
        <is>
          <t>NJ52-01-10</t>
        </is>
      </c>
      <c r="H41" s="18" t="inlineStr">
        <is>
          <t>부안</t>
        </is>
      </c>
      <c r="I41" s="19" t="n">
        <v>35.58775</v>
      </c>
      <c r="J41" s="19" t="n">
        <v>126.7161388888889</v>
      </c>
      <c r="K41" s="20" t="n">
        <v>33.5</v>
      </c>
      <c r="L41" s="21" t="inlineStr">
        <is>
          <t>전라북도 부안군 줄포면 난산리 440-2 목중새마을(부안423)</t>
        </is>
      </c>
      <c r="M41" s="20" t="n">
        <v>23.8</v>
      </c>
      <c r="N41" s="18" t="inlineStr">
        <is>
          <t>OK</t>
        </is>
      </c>
      <c r="O41" s="18" t="inlineStr">
        <is>
          <t>청양</t>
        </is>
      </c>
      <c r="P41" s="18" t="n">
        <v>87</v>
      </c>
      <c r="Q41" s="18" t="inlineStr">
        <is>
          <t>NOT APPLICABLE</t>
        </is>
      </c>
      <c r="R41" s="20" t="n"/>
      <c r="S41" s="21" t="inlineStr">
        <is>
          <t>시험 탐사 대상</t>
        </is>
      </c>
    </row>
    <row r="42">
      <c r="A42" s="18" t="inlineStr">
        <is>
          <t>S38</t>
        </is>
      </c>
      <c r="B42" s="18" t="n">
        <v>38</v>
      </c>
      <c r="C42" s="18" t="inlineStr">
        <is>
          <t>기존점</t>
        </is>
      </c>
      <c r="D42" s="18" t="inlineStr">
        <is>
          <t>1-2-3</t>
        </is>
      </c>
      <c r="E42" s="18" t="inlineStr">
        <is>
          <t>강화</t>
        </is>
      </c>
      <c r="F42" s="18" t="inlineStr"/>
      <c r="G42" s="18" t="inlineStr">
        <is>
          <t>NJ52-09-09</t>
        </is>
      </c>
      <c r="H42" s="18" t="inlineStr">
        <is>
          <t>강화</t>
        </is>
      </c>
      <c r="I42" s="19" t="n">
        <v>37.66612411111111</v>
      </c>
      <c r="J42" s="19" t="n">
        <v>126.4787752222222</v>
      </c>
      <c r="K42" s="20" t="n">
        <v>100.524</v>
      </c>
      <c r="L42" s="21" t="inlineStr">
        <is>
          <t>인천광역시 강화군 길상면 길직리 산 148-6</t>
        </is>
      </c>
      <c r="M42" s="20" t="n"/>
      <c r="N42" s="23" t="inlineStr">
        <is>
          <t>NOT AVAILABLE</t>
        </is>
      </c>
      <c r="O42" s="18" t="inlineStr">
        <is>
          <t>이천</t>
        </is>
      </c>
      <c r="P42" s="18" t="n">
        <v>110</v>
      </c>
      <c r="Q42" s="18" t="inlineStr">
        <is>
          <t>NOT APPLICABLE</t>
        </is>
      </c>
      <c r="R42" s="20" t="n"/>
      <c r="S42" s="21" t="inlineStr">
        <is>
          <t>시험 탐사 대상</t>
        </is>
      </c>
    </row>
    <row r="43">
      <c r="A43" s="18" t="inlineStr">
        <is>
          <t>S39</t>
        </is>
      </c>
      <c r="B43" s="18" t="n">
        <v>39</v>
      </c>
      <c r="C43" s="18" t="inlineStr">
        <is>
          <t>기존점</t>
        </is>
      </c>
      <c r="D43" s="18" t="inlineStr">
        <is>
          <t>1-23-1</t>
        </is>
      </c>
      <c r="E43" s="18" t="inlineStr">
        <is>
          <t>언양</t>
        </is>
      </c>
      <c r="F43" s="18" t="inlineStr"/>
      <c r="G43" s="18" t="inlineStr">
        <is>
          <t>NI52-2-13</t>
        </is>
      </c>
      <c r="H43" s="18" t="inlineStr">
        <is>
          <t>언양</t>
        </is>
      </c>
      <c r="I43" s="19" t="n">
        <v>35.67619994444444</v>
      </c>
      <c r="J43" s="19" t="n">
        <v>129.1908721388889</v>
      </c>
      <c r="K43" s="20" t="n">
        <v>226.101</v>
      </c>
      <c r="L43" s="21" t="inlineStr">
        <is>
          <t>울산광역시 울주군 두서면 미호리 산3(삼언양417)</t>
        </is>
      </c>
      <c r="M43" s="20" t="n">
        <v>38.3</v>
      </c>
      <c r="N43" s="18" t="inlineStr">
        <is>
          <t>OK</t>
        </is>
      </c>
      <c r="O43" s="18" t="inlineStr">
        <is>
          <t>이천</t>
        </is>
      </c>
      <c r="P43" s="18" t="n">
        <v>220</v>
      </c>
      <c r="Q43" s="18" t="inlineStr">
        <is>
          <t>NOT APPLICABLE</t>
        </is>
      </c>
      <c r="R43" s="20" t="n"/>
      <c r="S43" s="21" t="inlineStr">
        <is>
          <t>시험 탐사 대상</t>
        </is>
      </c>
    </row>
    <row r="44">
      <c r="A44" s="18" t="inlineStr">
        <is>
          <t>S40</t>
        </is>
      </c>
      <c r="B44" s="18" t="n">
        <v>40</v>
      </c>
      <c r="C44" s="18" t="inlineStr">
        <is>
          <t>기존점</t>
        </is>
      </c>
      <c r="D44" s="18" t="inlineStr">
        <is>
          <t>1-24-3</t>
        </is>
      </c>
      <c r="E44" s="18" t="inlineStr">
        <is>
          <t>남지</t>
        </is>
      </c>
      <c r="F44" s="18" t="inlineStr"/>
      <c r="G44" s="18" t="inlineStr">
        <is>
          <t>NJ52-01-14</t>
        </is>
      </c>
      <c r="H44" s="18" t="inlineStr">
        <is>
          <t>남지</t>
        </is>
      </c>
      <c r="I44" s="19" t="n">
        <v>35.43616666666667</v>
      </c>
      <c r="J44" s="19" t="n">
        <v>128.4737777777778</v>
      </c>
      <c r="K44" s="20" t="n"/>
      <c r="L44" s="21" t="inlineStr">
        <is>
          <t>창녕군 장마면 유리 1705-1 봉산지뚝</t>
        </is>
      </c>
      <c r="M44" s="20" t="n">
        <v>9.4</v>
      </c>
      <c r="N44" s="18" t="inlineStr">
        <is>
          <t>OK</t>
        </is>
      </c>
      <c r="O44" s="18" t="inlineStr">
        <is>
          <t>청양</t>
        </is>
      </c>
      <c r="P44" s="18" t="n">
        <v>179</v>
      </c>
      <c r="Q44" s="18" t="inlineStr">
        <is>
          <t>NOT APPLICABLE</t>
        </is>
      </c>
      <c r="R44" s="20" t="n"/>
      <c r="S44" s="21" t="inlineStr">
        <is>
          <t>시험 탐사 대상</t>
        </is>
      </c>
    </row>
    <row r="45">
      <c r="A45" s="18" t="inlineStr">
        <is>
          <t>S41</t>
        </is>
      </c>
      <c r="B45" s="18" t="n">
        <v>41</v>
      </c>
      <c r="C45" s="18" t="inlineStr">
        <is>
          <t>기존점</t>
        </is>
      </c>
      <c r="D45" s="18" t="inlineStr">
        <is>
          <t>1-25-2</t>
        </is>
      </c>
      <c r="E45" s="18" t="inlineStr">
        <is>
          <t>거제</t>
        </is>
      </c>
      <c r="F45" s="18" t="inlineStr"/>
      <c r="G45" s="18" t="inlineStr">
        <is>
          <t>NJ52-06-07</t>
        </is>
      </c>
      <c r="H45" s="18" t="inlineStr">
        <is>
          <t>거제</t>
        </is>
      </c>
      <c r="I45" s="19" t="n">
        <v>34.87031108333333</v>
      </c>
      <c r="J45" s="19" t="n">
        <v>128.5928611111111</v>
      </c>
      <c r="K45" s="20" t="n">
        <v>91.014</v>
      </c>
      <c r="L45" s="21" t="inlineStr">
        <is>
          <t>경상남도 거제시 거제면 옥산리 산83-6</t>
        </is>
      </c>
      <c r="M45" s="20" t="n">
        <v>28.9</v>
      </c>
      <c r="N45" s="18" t="inlineStr">
        <is>
          <t>OK</t>
        </is>
      </c>
      <c r="O45" s="18" t="inlineStr">
        <is>
          <t>청양</t>
        </is>
      </c>
      <c r="P45" s="18" t="n">
        <v>229</v>
      </c>
      <c r="Q45" s="18" t="inlineStr">
        <is>
          <t>NOT APPLICABLE</t>
        </is>
      </c>
      <c r="R45" s="20" t="n"/>
      <c r="S45" s="21" t="inlineStr">
        <is>
          <t>시험 탐사 대상</t>
        </is>
      </c>
    </row>
    <row r="46">
      <c r="A46" s="18" t="inlineStr">
        <is>
          <t>S42</t>
        </is>
      </c>
      <c r="B46" s="18" t="n">
        <v>42</v>
      </c>
      <c r="C46" s="18" t="inlineStr">
        <is>
          <t>기존점</t>
        </is>
      </c>
      <c r="D46" s="18" t="inlineStr">
        <is>
          <t>1-29-2</t>
        </is>
      </c>
      <c r="E46" s="18" t="inlineStr">
        <is>
          <t>조도</t>
        </is>
      </c>
      <c r="F46" s="18" t="inlineStr"/>
      <c r="G46" s="18" t="inlineStr">
        <is>
          <t>NJ52-05-21</t>
        </is>
      </c>
      <c r="H46" s="18" t="inlineStr">
        <is>
          <t>조도</t>
        </is>
      </c>
      <c r="I46" s="19" t="n">
        <v>34.43191666666667</v>
      </c>
      <c r="J46" s="19" t="n">
        <v>126.2238055555556</v>
      </c>
      <c r="K46" s="20" t="n"/>
      <c r="L46" s="21" t="inlineStr">
        <is>
          <t>진도군 임회면 삼막리 광전교인근</t>
        </is>
      </c>
      <c r="M46" s="20" t="n">
        <v>100.2</v>
      </c>
      <c r="N46" s="18" t="inlineStr">
        <is>
          <t>OK</t>
        </is>
      </c>
      <c r="O46" s="18" t="inlineStr">
        <is>
          <t>제주</t>
        </is>
      </c>
      <c r="P46" s="18" t="n">
        <v>111</v>
      </c>
      <c r="Q46" s="18" t="inlineStr">
        <is>
          <t>NOT APPLICABLE</t>
        </is>
      </c>
      <c r="R46" s="20" t="n"/>
      <c r="S46" s="21" t="inlineStr">
        <is>
          <t>시험 탐사 대상</t>
        </is>
      </c>
    </row>
    <row r="47">
      <c r="A47" s="18" t="inlineStr">
        <is>
          <t>S43</t>
        </is>
      </c>
      <c r="B47" s="18" t="n">
        <v>43</v>
      </c>
      <c r="C47" s="18" t="inlineStr">
        <is>
          <t>기존점</t>
        </is>
      </c>
      <c r="D47" s="18" t="inlineStr">
        <is>
          <t>1-3-3</t>
        </is>
      </c>
      <c r="E47" s="18" t="inlineStr">
        <is>
          <t>포천</t>
        </is>
      </c>
      <c r="F47" s="18" t="inlineStr"/>
      <c r="G47" s="18" t="inlineStr">
        <is>
          <t>NJ 52-09-5</t>
        </is>
      </c>
      <c r="H47" s="18" t="inlineStr">
        <is>
          <t>포천</t>
        </is>
      </c>
      <c r="I47" s="19" t="n">
        <v>37.99090344444445</v>
      </c>
      <c r="J47" s="19" t="n">
        <v>127.1346283611111</v>
      </c>
      <c r="K47" s="20" t="n">
        <v>423.872</v>
      </c>
      <c r="L47" s="21" t="inlineStr">
        <is>
          <t>경기도 연천군 청산면 대전리 산83</t>
        </is>
      </c>
      <c r="M47" s="20" t="n"/>
      <c r="N47" s="23" t="inlineStr">
        <is>
          <t>NOT AVAILABLE</t>
        </is>
      </c>
      <c r="O47" s="18" t="inlineStr">
        <is>
          <t>이천</t>
        </is>
      </c>
      <c r="P47" s="18" t="n">
        <v>100</v>
      </c>
      <c r="Q47" s="18" t="inlineStr">
        <is>
          <t>NOT APPLICABLE</t>
        </is>
      </c>
      <c r="R47" s="20" t="n"/>
      <c r="S47" s="21" t="inlineStr">
        <is>
          <t>시험 탐사 대상</t>
        </is>
      </c>
    </row>
    <row r="48">
      <c r="A48" s="18" t="inlineStr">
        <is>
          <t>S44</t>
        </is>
      </c>
      <c r="B48" s="18" t="n">
        <v>44</v>
      </c>
      <c r="C48" s="18" t="inlineStr">
        <is>
          <t>기존점</t>
        </is>
      </c>
      <c r="D48" s="18" t="inlineStr">
        <is>
          <t>1-30-2</t>
        </is>
      </c>
      <c r="E48" s="18" t="inlineStr">
        <is>
          <t>성산</t>
        </is>
      </c>
      <c r="F48" s="18" t="inlineStr"/>
      <c r="G48" s="18" t="inlineStr">
        <is>
          <t>NJ52-09-18</t>
        </is>
      </c>
      <c r="H48" s="18" t="inlineStr">
        <is>
          <t>성산</t>
        </is>
      </c>
      <c r="I48" s="19" t="n">
        <v>33.52447991666666</v>
      </c>
      <c r="J48" s="19" t="n">
        <v>126.8941619722222</v>
      </c>
      <c r="K48" s="20" t="n">
        <v>8.08</v>
      </c>
      <c r="L48" s="21" t="inlineStr">
        <is>
          <t>제주특별자치도 제주시 구좌읍 하도리425</t>
        </is>
      </c>
      <c r="M48" s="20" t="n">
        <v>46.7</v>
      </c>
      <c r="N48" s="18" t="inlineStr">
        <is>
          <t>OK</t>
        </is>
      </c>
      <c r="O48" s="18" t="inlineStr">
        <is>
          <t>제주</t>
        </is>
      </c>
      <c r="P48" s="18" t="n">
        <v>56</v>
      </c>
      <c r="Q48" s="18" t="inlineStr">
        <is>
          <t>NOT APPLICABLE</t>
        </is>
      </c>
      <c r="R48" s="20" t="n"/>
      <c r="S48" s="21" t="inlineStr">
        <is>
          <t>시험 탐사 대상</t>
        </is>
      </c>
    </row>
    <row r="49">
      <c r="A49" s="18" t="inlineStr">
        <is>
          <t>S45</t>
        </is>
      </c>
      <c r="B49" s="18" t="n">
        <v>45</v>
      </c>
      <c r="C49" s="18" t="inlineStr">
        <is>
          <t>기존점</t>
        </is>
      </c>
      <c r="D49" s="18" t="inlineStr">
        <is>
          <t>1-4-4</t>
        </is>
      </c>
      <c r="E49" s="18" t="inlineStr">
        <is>
          <t>여주</t>
        </is>
      </c>
      <c r="F49" s="18" t="inlineStr"/>
      <c r="G49" s="18" t="inlineStr">
        <is>
          <t>NJ52-09-21</t>
        </is>
      </c>
      <c r="H49" s="18" t="inlineStr">
        <is>
          <t>여주</t>
        </is>
      </c>
      <c r="I49" s="19" t="n">
        <v>37.445381</v>
      </c>
      <c r="J49" s="19" t="n">
        <v>127.5733216944444</v>
      </c>
      <c r="K49" s="20" t="n">
        <v>177.03</v>
      </c>
      <c r="L49" s="21" t="inlineStr">
        <is>
          <t>경기도 양평군 개군면 내리 산12</t>
        </is>
      </c>
      <c r="M49" s="20" t="n">
        <v>10.7</v>
      </c>
      <c r="N49" s="18" t="inlineStr">
        <is>
          <t>OK</t>
        </is>
      </c>
      <c r="O49" s="18" t="inlineStr">
        <is>
          <t>이천</t>
        </is>
      </c>
      <c r="P49" s="18" t="n">
        <v>34</v>
      </c>
      <c r="Q49" s="18" t="inlineStr">
        <is>
          <t>NOT APPLICABLE</t>
        </is>
      </c>
      <c r="R49" s="20" t="n"/>
      <c r="S49" s="21" t="inlineStr">
        <is>
          <t>시험 탐사 대상</t>
        </is>
      </c>
    </row>
    <row r="50">
      <c r="A50" s="18" t="inlineStr">
        <is>
          <t>S46</t>
        </is>
      </c>
      <c r="B50" s="18" t="n">
        <v>46</v>
      </c>
      <c r="C50" s="18" t="inlineStr">
        <is>
          <t>기존점</t>
        </is>
      </c>
      <c r="D50" s="18" t="inlineStr">
        <is>
          <t>1-5-2</t>
        </is>
      </c>
      <c r="E50" s="18" t="inlineStr">
        <is>
          <t>화천</t>
        </is>
      </c>
      <c r="F50" s="18" t="inlineStr"/>
      <c r="G50" s="18" t="inlineStr">
        <is>
          <t>NJ52-05-28</t>
        </is>
      </c>
      <c r="H50" s="18" t="inlineStr">
        <is>
          <t>화천</t>
        </is>
      </c>
      <c r="I50" s="19" t="n">
        <v>38.11566666666667</v>
      </c>
      <c r="J50" s="19" t="n">
        <v>127.6867222222222</v>
      </c>
      <c r="K50" s="20" t="n">
        <v>155</v>
      </c>
      <c r="L50" s="21" t="inlineStr">
        <is>
          <t>화천군 화천읍 상리 산6</t>
        </is>
      </c>
      <c r="M50" s="20" t="n"/>
      <c r="N50" s="23" t="inlineStr">
        <is>
          <t>NOT AVAILABLE</t>
        </is>
      </c>
      <c r="O50" s="18" t="inlineStr">
        <is>
          <t>이천</t>
        </is>
      </c>
      <c r="P50" s="18" t="n">
        <v>109</v>
      </c>
      <c r="Q50" s="18" t="inlineStr">
        <is>
          <t>NOT APPLICABLE</t>
        </is>
      </c>
      <c r="R50" s="20" t="n"/>
      <c r="S50" s="21" t="inlineStr">
        <is>
          <t>시험 탐사 대상</t>
        </is>
      </c>
    </row>
    <row r="51">
      <c r="A51" s="18" t="inlineStr">
        <is>
          <t>S47</t>
        </is>
      </c>
      <c r="B51" s="18" t="n">
        <v>47</v>
      </c>
      <c r="C51" s="18" t="inlineStr">
        <is>
          <t>기존점</t>
        </is>
      </c>
      <c r="D51" s="18" t="inlineStr">
        <is>
          <t>1-7-2</t>
        </is>
      </c>
      <c r="E51" s="18" t="inlineStr">
        <is>
          <t>봉평</t>
        </is>
      </c>
      <c r="F51" s="18" t="inlineStr"/>
      <c r="G51" s="18" t="inlineStr">
        <is>
          <t>NJ52-10-10</t>
        </is>
      </c>
      <c r="H51" s="18" t="inlineStr">
        <is>
          <t>봉평</t>
        </is>
      </c>
      <c r="I51" s="19" t="n">
        <v>37.61237222222223</v>
      </c>
      <c r="J51" s="19" t="n">
        <v>128.395802</v>
      </c>
      <c r="K51" s="20" t="n">
        <v>695.73</v>
      </c>
      <c r="L51" s="21" t="inlineStr">
        <is>
          <t>평창군 봉평면 평촌2리 김병찬씨 뒷산</t>
        </is>
      </c>
      <c r="M51" s="20" t="n">
        <v>6.7</v>
      </c>
      <c r="N51" s="18" t="inlineStr">
        <is>
          <t>OK</t>
        </is>
      </c>
      <c r="O51" s="18" t="inlineStr">
        <is>
          <t>강릉</t>
        </is>
      </c>
      <c r="P51" s="18" t="n">
        <v>45</v>
      </c>
      <c r="Q51" s="18" t="inlineStr">
        <is>
          <t>NOT APPLICABLE</t>
        </is>
      </c>
      <c r="R51" s="20" t="n"/>
      <c r="S51" s="21" t="inlineStr">
        <is>
          <t>시험 탐사 대상</t>
        </is>
      </c>
    </row>
    <row r="52">
      <c r="A52" s="18" t="inlineStr">
        <is>
          <t>S48</t>
        </is>
      </c>
      <c r="B52" s="18" t="n">
        <v>48</v>
      </c>
      <c r="C52" s="18" t="inlineStr">
        <is>
          <t>기존점</t>
        </is>
      </c>
      <c r="D52" s="18" t="inlineStr">
        <is>
          <t>1-8-4</t>
        </is>
      </c>
      <c r="E52" s="18" t="inlineStr">
        <is>
          <t>삼척</t>
        </is>
      </c>
      <c r="F52" s="18" t="inlineStr"/>
      <c r="G52" s="18" t="inlineStr">
        <is>
          <t>NJ52-10-20</t>
        </is>
      </c>
      <c r="H52" s="18" t="inlineStr">
        <is>
          <t>삼척</t>
        </is>
      </c>
      <c r="I52" s="19" t="n">
        <v>37.38471708333334</v>
      </c>
      <c r="J52" s="19" t="n">
        <v>129.2032259444444</v>
      </c>
      <c r="K52" s="20" t="n">
        <v>27.791</v>
      </c>
      <c r="L52" s="21" t="inlineStr">
        <is>
          <t>강원도 삼척시 근덕면 하맹방리 774-2, 초당저수지</t>
        </is>
      </c>
      <c r="M52" s="20" t="n">
        <v>1.3</v>
      </c>
      <c r="N52" s="18" t="inlineStr">
        <is>
          <t>OK</t>
        </is>
      </c>
      <c r="O52" s="18" t="inlineStr">
        <is>
          <t>강릉</t>
        </is>
      </c>
      <c r="P52" s="18" t="n">
        <v>52</v>
      </c>
      <c r="Q52" s="18" t="inlineStr">
        <is>
          <t>NOT APPLICABLE</t>
        </is>
      </c>
      <c r="R52" s="20" t="n"/>
      <c r="S52" s="21" t="inlineStr">
        <is>
          <t>시험 탐사 대상</t>
        </is>
      </c>
    </row>
    <row r="53">
      <c r="A53" s="18" t="inlineStr">
        <is>
          <t>S49</t>
        </is>
      </c>
      <c r="B53" s="18" t="n">
        <v>49</v>
      </c>
      <c r="C53" s="18" t="inlineStr">
        <is>
          <t>기존점</t>
        </is>
      </c>
      <c r="D53" s="18" t="inlineStr">
        <is>
          <t>1-9-2</t>
        </is>
      </c>
      <c r="E53" s="18" t="inlineStr">
        <is>
          <t>제천</t>
        </is>
      </c>
      <c r="F53" s="18" t="inlineStr"/>
      <c r="G53" s="18" t="inlineStr">
        <is>
          <t>NJ52-10-23</t>
        </is>
      </c>
      <c r="H53" s="18" t="inlineStr">
        <is>
          <t>제천</t>
        </is>
      </c>
      <c r="I53" s="19" t="n">
        <v>37.07463888888889</v>
      </c>
      <c r="J53" s="19" t="n">
        <v>128.2114444444444</v>
      </c>
      <c r="K53" s="20" t="n"/>
      <c r="L53" s="21" t="inlineStr">
        <is>
          <t>제천시 백운면 방학리 백마저수지뚝 가운데</t>
        </is>
      </c>
      <c r="M53" s="20" t="n">
        <v>13.7</v>
      </c>
      <c r="N53" s="18" t="inlineStr">
        <is>
          <t>OK</t>
        </is>
      </c>
      <c r="O53" s="18" t="inlineStr">
        <is>
          <t>이천</t>
        </is>
      </c>
      <c r="P53" s="18" t="n">
        <v>61</v>
      </c>
      <c r="Q53" s="18" t="inlineStr">
        <is>
          <t>NOT APPLICABLE</t>
        </is>
      </c>
      <c r="R53" s="20" t="n"/>
      <c r="S53" s="21" t="inlineStr">
        <is>
          <t>시험 탐사 대상</t>
        </is>
      </c>
    </row>
    <row r="54">
      <c r="A54" s="18" t="inlineStr">
        <is>
          <t>S50</t>
        </is>
      </c>
      <c r="B54" s="18" t="n">
        <v>50</v>
      </c>
      <c r="C54" s="18" t="inlineStr">
        <is>
          <t>기존점</t>
        </is>
      </c>
      <c r="D54" s="18" t="inlineStr">
        <is>
          <t>1-20-3</t>
        </is>
      </c>
      <c r="E54" s="18" t="inlineStr">
        <is>
          <t>함양</t>
        </is>
      </c>
      <c r="F54" s="18" t="inlineStr"/>
      <c r="G54" s="18" t="inlineStr">
        <is>
          <t>NJ52-02-17</t>
        </is>
      </c>
      <c r="H54" s="18" t="inlineStr">
        <is>
          <t>함양</t>
        </is>
      </c>
      <c r="I54" s="19" t="n">
        <v>35.54250855555556</v>
      </c>
      <c r="J54" s="19" t="n">
        <v>127.6229688333333</v>
      </c>
      <c r="K54" s="20" t="n">
        <v>415.62</v>
      </c>
      <c r="L54" s="21" t="inlineStr">
        <is>
          <t>경남 함양군 백전면 구산리 166 구산제(구산저수지)</t>
        </is>
      </c>
      <c r="M54" s="20" t="n">
        <v>23.9</v>
      </c>
      <c r="N54" s="18" t="inlineStr">
        <is>
          <t>OK</t>
        </is>
      </c>
      <c r="O54" s="18" t="inlineStr">
        <is>
          <t>청양</t>
        </is>
      </c>
      <c r="P54" s="18" t="n">
        <v>115</v>
      </c>
      <c r="Q54" s="18" t="inlineStr">
        <is>
          <t>NOT APPLICABLE</t>
        </is>
      </c>
      <c r="R54" s="20" t="n"/>
      <c r="S54" s="21" t="inlineStr">
        <is>
          <t>시험 탐사 대상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1" customWidth="1" min="11" max="11"/>
    <col width="16" customWidth="1" min="12" max="12"/>
    <col width="14" customWidth="1" min="13" max="13"/>
    <col width="11" customWidth="1" min="14" max="14"/>
    <col width="11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1" customWidth="1" min="21" max="21"/>
    <col width="22" customWidth="1" min="22" max="22"/>
    <col width="11" customWidth="1" min="23" max="23"/>
    <col width="12" customWidth="1" min="24" max="24"/>
  </cols>
  <sheetData>
    <row r="1" ht="26" customHeight="1">
      <c r="A1" s="1" t="inlineStr">
        <is>
          <t>점 정보 · 좌표 검증 · §13② 이격거리</t>
        </is>
      </c>
    </row>
    <row r="2" ht="33" customHeight="1">
      <c r="A2" s="2" t="inlineStr">
        <is>
          <t>좌표는 «십진도 숫자»로 위도·경도를 각각 적고 좌표계·취득방법·정확도·출처를 함께 남긴다. 소수 자릿수만 맞추면 허위 정밀도가 생기고 위·경도 뒤바뀜도 못 막는다.</t>
        </is>
      </c>
    </row>
    <row r="3" ht="33" customHeight="1">
      <c r="A3" s="3" t="inlineStr">
        <is>
          <t>⚠ §13② 는 «도상 확인만으로 확정하지 않는다». 도상거리와 현장 확인거리를 각각 적고, 판정은 ⑨ 게이트에서 필수 조건으로 쓴다. 시설 분류가 불명확하면 임의 판정하지 말고 PENDING.</t>
        </is>
      </c>
    </row>
    <row r="4" ht="34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사전 위도</t>
        </is>
      </c>
      <c r="E4" s="8" t="inlineStr">
        <is>
          <t>사전 경도</t>
        </is>
      </c>
      <c r="F4" s="8" t="inlineStr">
        <is>
          <t>현장 실측 위도</t>
        </is>
      </c>
      <c r="G4" s="8" t="inlineStr">
        <is>
          <t>현장 실측 경도</t>
        </is>
      </c>
      <c r="H4" s="8" t="inlineStr">
        <is>
          <t>좌표계</t>
        </is>
      </c>
      <c r="I4" s="8" t="inlineStr">
        <is>
          <t>측지기준</t>
        </is>
      </c>
      <c r="J4" s="8" t="inlineStr">
        <is>
          <t>취득방법</t>
        </is>
      </c>
      <c r="K4" s="8" t="inlineStr">
        <is>
          <t>수평정확도(m)</t>
        </is>
      </c>
      <c r="L4" s="8" t="inlineStr">
        <is>
          <t>좌표 출처</t>
        </is>
      </c>
      <c r="M4" s="8" t="inlineStr">
        <is>
          <t>좌표 검증상태</t>
        </is>
      </c>
      <c r="N4" s="8" t="inlineStr">
        <is>
          <t>직류철도(km)
도상</t>
        </is>
      </c>
      <c r="O4" s="8" t="inlineStr">
        <is>
          <t>직류철도(km)
현장</t>
        </is>
      </c>
      <c r="P4" s="8" t="inlineStr">
        <is>
          <t>교류·일반철도(km)
도상</t>
        </is>
      </c>
      <c r="Q4" s="8" t="inlineStr">
        <is>
          <t>교류·일반철도(km)
현장</t>
        </is>
      </c>
      <c r="R4" s="8" t="inlineStr">
        <is>
          <t>고압철탑(km)
도상</t>
        </is>
      </c>
      <c r="S4" s="8" t="inlineStr">
        <is>
          <t>고압철탑(km)
현장</t>
        </is>
      </c>
      <c r="T4" s="8" t="inlineStr">
        <is>
          <t>송전탑(km)
도상</t>
        </is>
      </c>
      <c r="U4" s="8" t="inlineStr">
        <is>
          <t>송전탑(km)
현장</t>
        </is>
      </c>
      <c r="V4" s="8" t="inlineStr">
        <is>
          <t>최근접 시설 ID·유형</t>
        </is>
      </c>
      <c r="W4" s="8" t="inlineStr">
        <is>
          <t>자료 기준일</t>
        </is>
      </c>
      <c r="X4" s="8" t="inlineStr">
        <is>
          <t>§13② 판정</t>
        </is>
      </c>
    </row>
    <row r="5">
      <c r="A5" s="24" t="inlineStr">
        <is>
          <t>S01</t>
        </is>
      </c>
      <c r="B5" s="24" t="inlineStr">
        <is>
          <t>태백 신규점</t>
        </is>
      </c>
      <c r="C5" s="24" t="inlineStr">
        <is>
          <t>A</t>
        </is>
      </c>
      <c r="D5" s="25" t="n">
        <v>37.020705</v>
      </c>
      <c r="E5" s="25" t="n">
        <v>128.98393</v>
      </c>
      <c r="F5" s="26" t="n"/>
      <c r="G5" s="26" t="n"/>
      <c r="H5" s="27" t="n"/>
      <c r="I5" s="27" t="n"/>
      <c r="J5" s="27" t="n"/>
      <c r="K5" s="28" t="n"/>
      <c r="L5" s="27" t="n"/>
      <c r="M5" s="27" t="n"/>
      <c r="N5" s="28" t="n"/>
      <c r="O5" s="28" t="n"/>
      <c r="P5" s="28" t="n"/>
      <c r="Q5" s="28" t="n"/>
      <c r="R5" s="28" t="n"/>
      <c r="S5" s="28" t="n"/>
      <c r="T5" s="28" t="n"/>
      <c r="U5" s="28" t="n"/>
      <c r="V5" s="27" t="n"/>
      <c r="W5" s="27" t="n"/>
      <c r="X5" s="27" t="n"/>
    </row>
    <row r="6">
      <c r="A6" s="24" t="inlineStr">
        <is>
          <t>S02</t>
        </is>
      </c>
      <c r="B6" s="24" t="inlineStr">
        <is>
          <t>임계 신규점1</t>
        </is>
      </c>
      <c r="C6" s="24" t="inlineStr">
        <is>
          <t>A</t>
        </is>
      </c>
      <c r="D6" s="25" t="n">
        <v>37.359346</v>
      </c>
      <c r="E6" s="25" t="n">
        <v>128.973865</v>
      </c>
      <c r="F6" s="26" t="n"/>
      <c r="G6" s="26" t="n"/>
      <c r="H6" s="27" t="n"/>
      <c r="I6" s="27" t="n"/>
      <c r="J6" s="27" t="n"/>
      <c r="K6" s="28" t="n"/>
      <c r="L6" s="27" t="n"/>
      <c r="M6" s="27" t="n"/>
      <c r="N6" s="28" t="n"/>
      <c r="O6" s="28" t="n"/>
      <c r="P6" s="28" t="n"/>
      <c r="Q6" s="28" t="n"/>
      <c r="R6" s="28" t="n"/>
      <c r="S6" s="28" t="n"/>
      <c r="T6" s="28" t="n"/>
      <c r="U6" s="28" t="n"/>
      <c r="V6" s="27" t="n"/>
      <c r="W6" s="27" t="n"/>
      <c r="X6" s="27" t="n"/>
    </row>
    <row r="7">
      <c r="A7" s="24" t="inlineStr">
        <is>
          <t>S03</t>
        </is>
      </c>
      <c r="B7" s="24" t="inlineStr">
        <is>
          <t>예산 신규점2</t>
        </is>
      </c>
      <c r="C7" s="24" t="inlineStr">
        <is>
          <t>A</t>
        </is>
      </c>
      <c r="D7" s="25" t="n">
        <v>36.534085</v>
      </c>
      <c r="E7" s="25" t="n">
        <v>126.936269</v>
      </c>
      <c r="F7" s="26" t="n"/>
      <c r="G7" s="26" t="n"/>
      <c r="H7" s="27" t="n"/>
      <c r="I7" s="27" t="n"/>
      <c r="J7" s="27" t="n"/>
      <c r="K7" s="28" t="n"/>
      <c r="L7" s="27" t="n"/>
      <c r="M7" s="27" t="n"/>
      <c r="N7" s="28" t="n"/>
      <c r="O7" s="28" t="n"/>
      <c r="P7" s="28" t="n"/>
      <c r="Q7" s="28" t="n"/>
      <c r="R7" s="28" t="n"/>
      <c r="S7" s="28" t="n"/>
      <c r="T7" s="28" t="n"/>
      <c r="U7" s="28" t="n"/>
      <c r="V7" s="27" t="n"/>
      <c r="W7" s="27" t="n"/>
      <c r="X7" s="27" t="n"/>
    </row>
    <row r="8">
      <c r="A8" s="24" t="inlineStr">
        <is>
          <t>S04</t>
        </is>
      </c>
      <c r="B8" s="24" t="inlineStr">
        <is>
          <t>진안 신규점1</t>
        </is>
      </c>
      <c r="C8" s="24" t="inlineStr">
        <is>
          <t>A</t>
        </is>
      </c>
      <c r="D8" s="25" t="n">
        <v>35.891309</v>
      </c>
      <c r="E8" s="25" t="n">
        <v>127.309017</v>
      </c>
      <c r="F8" s="26" t="n"/>
      <c r="G8" s="26" t="n"/>
      <c r="H8" s="27" t="n"/>
      <c r="I8" s="27" t="n"/>
      <c r="J8" s="27" t="n"/>
      <c r="K8" s="28" t="n"/>
      <c r="L8" s="27" t="n"/>
      <c r="M8" s="27" t="n"/>
      <c r="N8" s="28" t="n"/>
      <c r="O8" s="28" t="n"/>
      <c r="P8" s="28" t="n"/>
      <c r="Q8" s="28" t="n"/>
      <c r="R8" s="28" t="n"/>
      <c r="S8" s="28" t="n"/>
      <c r="T8" s="28" t="n"/>
      <c r="U8" s="28" t="n"/>
      <c r="V8" s="27" t="n"/>
      <c r="W8" s="27" t="n"/>
      <c r="X8" s="27" t="n"/>
    </row>
    <row r="9">
      <c r="A9" s="24" t="inlineStr">
        <is>
          <t>S05</t>
        </is>
      </c>
      <c r="B9" s="24" t="inlineStr">
        <is>
          <t>무풍 신규점1</t>
        </is>
      </c>
      <c r="C9" s="24" t="inlineStr">
        <is>
          <t>A</t>
        </is>
      </c>
      <c r="D9" s="25" t="n">
        <v>35.945212</v>
      </c>
      <c r="E9" s="25" t="n">
        <v>127.800855</v>
      </c>
      <c r="F9" s="26" t="n"/>
      <c r="G9" s="26" t="n"/>
      <c r="H9" s="27" t="n"/>
      <c r="I9" s="27" t="n"/>
      <c r="J9" s="27" t="n"/>
      <c r="K9" s="28" t="n"/>
      <c r="L9" s="27" t="n"/>
      <c r="M9" s="27" t="n"/>
      <c r="N9" s="28" t="n"/>
      <c r="O9" s="28" t="n"/>
      <c r="P9" s="28" t="n"/>
      <c r="Q9" s="28" t="n"/>
      <c r="R9" s="28" t="n"/>
      <c r="S9" s="28" t="n"/>
      <c r="T9" s="28" t="n"/>
      <c r="U9" s="28" t="n"/>
      <c r="V9" s="27" t="n"/>
      <c r="W9" s="27" t="n"/>
      <c r="X9" s="27" t="n"/>
    </row>
    <row r="10">
      <c r="A10" s="24" t="inlineStr">
        <is>
          <t>S06</t>
        </is>
      </c>
      <c r="B10" s="24" t="inlineStr">
        <is>
          <t>길담 신규점</t>
        </is>
      </c>
      <c r="C10" s="24" t="inlineStr">
        <is>
          <t>B</t>
        </is>
      </c>
      <c r="D10" s="25" t="n">
        <v>35.604653</v>
      </c>
      <c r="E10" s="25" t="n">
        <v>127.230237</v>
      </c>
      <c r="F10" s="26" t="n"/>
      <c r="G10" s="26" t="n"/>
      <c r="H10" s="27" t="n"/>
      <c r="I10" s="27" t="n"/>
      <c r="J10" s="27" t="n"/>
      <c r="K10" s="28" t="n"/>
      <c r="L10" s="27" t="n"/>
      <c r="M10" s="27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7" t="n"/>
      <c r="W10" s="27" t="n"/>
      <c r="X10" s="27" t="n"/>
    </row>
    <row r="11">
      <c r="A11" s="24" t="inlineStr">
        <is>
          <t>S07</t>
        </is>
      </c>
      <c r="B11" s="24" t="inlineStr">
        <is>
          <t>남해 신규점1</t>
        </is>
      </c>
      <c r="C11" s="24" t="inlineStr">
        <is>
          <t>B</t>
        </is>
      </c>
      <c r="D11" s="25" t="n">
        <v>34.852281</v>
      </c>
      <c r="E11" s="25" t="n">
        <v>127.981473</v>
      </c>
      <c r="F11" s="26" t="n"/>
      <c r="G11" s="26" t="n"/>
      <c r="H11" s="27" t="n"/>
      <c r="I11" s="27" t="n"/>
      <c r="J11" s="27" t="n"/>
      <c r="K11" s="28" t="n"/>
      <c r="L11" s="27" t="n"/>
      <c r="M11" s="27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7" t="n"/>
      <c r="W11" s="27" t="n"/>
      <c r="X11" s="27" t="n"/>
    </row>
    <row r="12">
      <c r="A12" s="24" t="inlineStr">
        <is>
          <t>S08</t>
        </is>
      </c>
      <c r="B12" s="24" t="inlineStr">
        <is>
          <t>청일 신규점2</t>
        </is>
      </c>
      <c r="C12" s="24" t="inlineStr">
        <is>
          <t>B</t>
        </is>
      </c>
      <c r="D12" s="25" t="n">
        <v>37.618578</v>
      </c>
      <c r="E12" s="25" t="n">
        <v>128.1698</v>
      </c>
      <c r="F12" s="26" t="n"/>
      <c r="G12" s="26" t="n"/>
      <c r="H12" s="27" t="n"/>
      <c r="I12" s="27" t="n"/>
      <c r="J12" s="27" t="n"/>
      <c r="K12" s="28" t="n"/>
      <c r="L12" s="27" t="n"/>
      <c r="M12" s="27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7" t="n"/>
      <c r="W12" s="27" t="n"/>
      <c r="X12" s="27" t="n"/>
    </row>
    <row r="13">
      <c r="A13" s="24" t="inlineStr">
        <is>
          <t>S09</t>
        </is>
      </c>
      <c r="B13" s="24" t="inlineStr">
        <is>
          <t>어론 신규점</t>
        </is>
      </c>
      <c r="C13" s="24" t="inlineStr">
        <is>
          <t>B</t>
        </is>
      </c>
      <c r="D13" s="25" t="n">
        <v>37.776326</v>
      </c>
      <c r="E13" s="25" t="n">
        <v>128.075858</v>
      </c>
      <c r="F13" s="26" t="n"/>
      <c r="G13" s="26" t="n"/>
      <c r="H13" s="27" t="n"/>
      <c r="I13" s="27" t="n"/>
      <c r="J13" s="27" t="n"/>
      <c r="K13" s="28" t="n"/>
      <c r="L13" s="27" t="n"/>
      <c r="M13" s="27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7" t="n"/>
      <c r="W13" s="27" t="n"/>
      <c r="X13" s="27" t="n"/>
    </row>
    <row r="14">
      <c r="A14" s="24" t="inlineStr">
        <is>
          <t>S10</t>
        </is>
      </c>
      <c r="B14" s="24" t="inlineStr">
        <is>
          <t>예안 신규점1</t>
        </is>
      </c>
      <c r="C14" s="24" t="inlineStr">
        <is>
          <t>B</t>
        </is>
      </c>
      <c r="D14" s="25" t="n">
        <v>36.745399</v>
      </c>
      <c r="E14" s="25" t="n">
        <v>128.853559</v>
      </c>
      <c r="F14" s="26" t="n"/>
      <c r="G14" s="26" t="n"/>
      <c r="H14" s="27" t="n"/>
      <c r="I14" s="27" t="n"/>
      <c r="J14" s="27" t="n"/>
      <c r="K14" s="28" t="n"/>
      <c r="L14" s="27" t="n"/>
      <c r="M14" s="27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7" t="n"/>
      <c r="W14" s="27" t="n"/>
      <c r="X14" s="27" t="n"/>
    </row>
    <row r="15">
      <c r="A15" s="24" t="inlineStr">
        <is>
          <t>S11</t>
        </is>
      </c>
      <c r="B15" s="24" t="inlineStr">
        <is>
          <t>소천 신규점4</t>
        </is>
      </c>
      <c r="C15" s="24" t="inlineStr">
        <is>
          <t>B</t>
        </is>
      </c>
      <c r="D15" s="25" t="n">
        <v>36.765848</v>
      </c>
      <c r="E15" s="25" t="n">
        <v>129.154341</v>
      </c>
      <c r="F15" s="26" t="n"/>
      <c r="G15" s="26" t="n"/>
      <c r="H15" s="27" t="n"/>
      <c r="I15" s="27" t="n"/>
      <c r="J15" s="27" t="n"/>
      <c r="K15" s="28" t="n"/>
      <c r="L15" s="27" t="n"/>
      <c r="M15" s="27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7" t="n"/>
      <c r="W15" s="27" t="n"/>
      <c r="X15" s="27" t="n"/>
    </row>
    <row r="16">
      <c r="A16" s="24" t="inlineStr">
        <is>
          <t>S12</t>
        </is>
      </c>
      <c r="B16" s="24" t="inlineStr">
        <is>
          <t>순창 신규점</t>
        </is>
      </c>
      <c r="C16" s="24" t="inlineStr">
        <is>
          <t>B</t>
        </is>
      </c>
      <c r="D16" s="25" t="n">
        <v>35.284821</v>
      </c>
      <c r="E16" s="25" t="n">
        <v>127.092148</v>
      </c>
      <c r="F16" s="26" t="n"/>
      <c r="G16" s="26" t="n"/>
      <c r="H16" s="27" t="n"/>
      <c r="I16" s="27" t="n"/>
      <c r="J16" s="27" t="n"/>
      <c r="K16" s="28" t="n"/>
      <c r="L16" s="27" t="n"/>
      <c r="M16" s="27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7" t="n"/>
      <c r="W16" s="27" t="n"/>
      <c r="X16" s="27" t="n"/>
    </row>
    <row r="17">
      <c r="A17" s="24" t="inlineStr">
        <is>
          <t>S13</t>
        </is>
      </c>
      <c r="B17" s="24" t="inlineStr">
        <is>
          <t>순천 신규점</t>
        </is>
      </c>
      <c r="C17" s="24" t="inlineStr">
        <is>
          <t>B</t>
        </is>
      </c>
      <c r="D17" s="25" t="n">
        <v>34.904713</v>
      </c>
      <c r="E17" s="25" t="n">
        <v>127.294737</v>
      </c>
      <c r="F17" s="26" t="n"/>
      <c r="G17" s="26" t="n"/>
      <c r="H17" s="27" t="n"/>
      <c r="I17" s="27" t="n"/>
      <c r="J17" s="27" t="n"/>
      <c r="K17" s="28" t="n"/>
      <c r="L17" s="27" t="n"/>
      <c r="M17" s="27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7" t="n"/>
      <c r="W17" s="27" t="n"/>
      <c r="X17" s="27" t="n"/>
    </row>
    <row r="18">
      <c r="A18" s="24" t="inlineStr">
        <is>
          <t>S14</t>
        </is>
      </c>
      <c r="B18" s="24" t="inlineStr">
        <is>
          <t>청송 신규점1</t>
        </is>
      </c>
      <c r="C18" s="24" t="inlineStr">
        <is>
          <t>B</t>
        </is>
      </c>
      <c r="D18" s="25" t="n">
        <v>36.382888</v>
      </c>
      <c r="E18" s="25" t="n">
        <v>129.145795</v>
      </c>
      <c r="F18" s="26" t="n"/>
      <c r="G18" s="26" t="n"/>
      <c r="H18" s="27" t="n"/>
      <c r="I18" s="27" t="n"/>
      <c r="J18" s="27" t="n"/>
      <c r="K18" s="28" t="n"/>
      <c r="L18" s="27" t="n"/>
      <c r="M18" s="27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7" t="n"/>
      <c r="W18" s="27" t="n"/>
      <c r="X18" s="27" t="n"/>
    </row>
    <row r="19">
      <c r="A19" s="24" t="inlineStr">
        <is>
          <t>S15</t>
        </is>
      </c>
      <c r="B19" s="24" t="inlineStr">
        <is>
          <t>의성 신규점</t>
        </is>
      </c>
      <c r="C19" s="24" t="inlineStr">
        <is>
          <t>B</t>
        </is>
      </c>
      <c r="D19" s="25" t="n">
        <v>36.4767</v>
      </c>
      <c r="E19" s="25" t="n">
        <v>128.508751</v>
      </c>
      <c r="F19" s="26" t="n"/>
      <c r="G19" s="26" t="n"/>
      <c r="H19" s="27" t="n"/>
      <c r="I19" s="27" t="n"/>
      <c r="J19" s="27" t="n"/>
      <c r="K19" s="28" t="n"/>
      <c r="L19" s="27" t="n"/>
      <c r="M19" s="27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7" t="n"/>
      <c r="W19" s="27" t="n"/>
      <c r="X19" s="27" t="n"/>
    </row>
    <row r="20">
      <c r="A20" s="24" t="inlineStr">
        <is>
          <t>S16</t>
        </is>
      </c>
      <c r="B20" s="24" t="inlineStr">
        <is>
          <t>예천 신규점</t>
        </is>
      </c>
      <c r="C20" s="24" t="inlineStr">
        <is>
          <t>B</t>
        </is>
      </c>
      <c r="D20" s="25" t="n">
        <v>36.50939</v>
      </c>
      <c r="E20" s="25" t="n">
        <v>128.494519</v>
      </c>
      <c r="F20" s="26" t="n"/>
      <c r="G20" s="26" t="n"/>
      <c r="H20" s="27" t="n"/>
      <c r="I20" s="27" t="n"/>
      <c r="J20" s="27" t="n"/>
      <c r="K20" s="28" t="n"/>
      <c r="L20" s="27" t="n"/>
      <c r="M20" s="27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7" t="n"/>
      <c r="W20" s="27" t="n"/>
      <c r="X20" s="27" t="n"/>
    </row>
    <row r="21">
      <c r="A21" s="24" t="inlineStr">
        <is>
          <t>S17</t>
        </is>
      </c>
      <c r="B21" s="24" t="inlineStr">
        <is>
          <t>영양 신규점4</t>
        </is>
      </c>
      <c r="C21" s="24" t="inlineStr">
        <is>
          <t>B</t>
        </is>
      </c>
      <c r="D21" s="25" t="n">
        <v>36.743626</v>
      </c>
      <c r="E21" s="25" t="n">
        <v>129.181307</v>
      </c>
      <c r="F21" s="26" t="n"/>
      <c r="G21" s="26" t="n"/>
      <c r="H21" s="27" t="n"/>
      <c r="I21" s="27" t="n"/>
      <c r="J21" s="27" t="n"/>
      <c r="K21" s="28" t="n"/>
      <c r="L21" s="27" t="n"/>
      <c r="M21" s="27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7" t="n"/>
      <c r="W21" s="27" t="n"/>
      <c r="X21" s="27" t="n"/>
    </row>
    <row r="22">
      <c r="A22" s="24" t="inlineStr">
        <is>
          <t>S18</t>
        </is>
      </c>
      <c r="B22" s="24" t="inlineStr">
        <is>
          <t>통영 신규점</t>
        </is>
      </c>
      <c r="C22" s="24" t="inlineStr">
        <is>
          <t>B</t>
        </is>
      </c>
      <c r="D22" s="25" t="n">
        <v>34.792976</v>
      </c>
      <c r="E22" s="25" t="n">
        <v>128.393827</v>
      </c>
      <c r="F22" s="26" t="n"/>
      <c r="G22" s="26" t="n"/>
      <c r="H22" s="27" t="n"/>
      <c r="I22" s="27" t="n"/>
      <c r="J22" s="27" t="n"/>
      <c r="K22" s="28" t="n"/>
      <c r="L22" s="27" t="n"/>
      <c r="M22" s="27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7" t="n"/>
      <c r="W22" s="27" t="n"/>
      <c r="X22" s="27" t="n"/>
    </row>
    <row r="23">
      <c r="A23" s="24" t="inlineStr">
        <is>
          <t>S19</t>
        </is>
      </c>
      <c r="B23" s="24" t="inlineStr">
        <is>
          <t>오호 신규점</t>
        </is>
      </c>
      <c r="C23" s="24" t="inlineStr">
        <is>
          <t>B</t>
        </is>
      </c>
      <c r="D23" s="25" t="n">
        <v>38.318869</v>
      </c>
      <c r="E23" s="25" t="n">
        <v>128.521755</v>
      </c>
      <c r="F23" s="26" t="n"/>
      <c r="G23" s="26" t="n"/>
      <c r="H23" s="27" t="n"/>
      <c r="I23" s="27" t="n"/>
      <c r="J23" s="27" t="n"/>
      <c r="K23" s="28" t="n"/>
      <c r="L23" s="27" t="n"/>
      <c r="M23" s="27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7" t="n"/>
      <c r="W23" s="27" t="n"/>
      <c r="X23" s="27" t="n"/>
    </row>
    <row r="24">
      <c r="A24" s="24" t="inlineStr">
        <is>
          <t>S20</t>
        </is>
      </c>
      <c r="B24" s="24" t="inlineStr">
        <is>
          <t>보령 신규점2</t>
        </is>
      </c>
      <c r="C24" s="24" t="inlineStr">
        <is>
          <t>B</t>
        </is>
      </c>
      <c r="D24" s="25" t="n">
        <v>36.266844</v>
      </c>
      <c r="E24" s="25" t="n">
        <v>126.706961</v>
      </c>
      <c r="F24" s="26" t="n"/>
      <c r="G24" s="26" t="n"/>
      <c r="H24" s="27" t="n"/>
      <c r="I24" s="27" t="n"/>
      <c r="J24" s="27" t="n"/>
      <c r="K24" s="28" t="n"/>
      <c r="L24" s="27" t="n"/>
      <c r="M24" s="27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7" t="n"/>
      <c r="W24" s="27" t="n"/>
      <c r="X24" s="27" t="n"/>
    </row>
    <row r="25">
      <c r="A25" s="24" t="inlineStr">
        <is>
          <t>S21</t>
        </is>
      </c>
      <c r="B25" s="24" t="inlineStr">
        <is>
          <t>담양 신규점2</t>
        </is>
      </c>
      <c r="C25" s="24" t="inlineStr">
        <is>
          <t>B</t>
        </is>
      </c>
      <c r="D25" s="25" t="n">
        <v>35.456101</v>
      </c>
      <c r="E25" s="25" t="n">
        <v>126.962054</v>
      </c>
      <c r="F25" s="26" t="n"/>
      <c r="G25" s="26" t="n"/>
      <c r="H25" s="27" t="n"/>
      <c r="I25" s="27" t="n"/>
      <c r="J25" s="27" t="n"/>
      <c r="K25" s="28" t="n"/>
      <c r="L25" s="27" t="n"/>
      <c r="M25" s="27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7" t="n"/>
      <c r="W25" s="27" t="n"/>
      <c r="X25" s="27" t="n"/>
    </row>
    <row r="26">
      <c r="A26" s="24" t="inlineStr">
        <is>
          <t>S22</t>
        </is>
      </c>
      <c r="B26" s="24" t="inlineStr">
        <is>
          <t>완도 신규점</t>
        </is>
      </c>
      <c r="C26" s="24" t="inlineStr">
        <is>
          <t>B</t>
        </is>
      </c>
      <c r="D26" s="25" t="n">
        <v>34.328826</v>
      </c>
      <c r="E26" s="25" t="n">
        <v>126.543215</v>
      </c>
      <c r="F26" s="26" t="n"/>
      <c r="G26" s="26" t="n"/>
      <c r="H26" s="27" t="n"/>
      <c r="I26" s="27" t="n"/>
      <c r="J26" s="27" t="n"/>
      <c r="K26" s="28" t="n"/>
      <c r="L26" s="27" t="n"/>
      <c r="M26" s="27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7" t="n"/>
      <c r="W26" s="27" t="n"/>
      <c r="X26" s="27" t="n"/>
    </row>
    <row r="27">
      <c r="A27" s="24" t="inlineStr">
        <is>
          <t>S23</t>
        </is>
      </c>
      <c r="B27" s="24" t="inlineStr">
        <is>
          <t>덕산 신규점1</t>
        </is>
      </c>
      <c r="C27" s="24" t="inlineStr">
        <is>
          <t>B</t>
        </is>
      </c>
      <c r="D27" s="25" t="n">
        <v>36.888529</v>
      </c>
      <c r="E27" s="25" t="n">
        <v>128.192739</v>
      </c>
      <c r="F27" s="26" t="n"/>
      <c r="G27" s="26" t="n"/>
      <c r="H27" s="27" t="n"/>
      <c r="I27" s="27" t="n"/>
      <c r="J27" s="27" t="n"/>
      <c r="K27" s="28" t="n"/>
      <c r="L27" s="27" t="n"/>
      <c r="M27" s="27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7" t="n"/>
      <c r="W27" s="27" t="n"/>
      <c r="X27" s="27" t="n"/>
    </row>
    <row r="28">
      <c r="A28" s="24" t="inlineStr">
        <is>
          <t>S24</t>
        </is>
      </c>
      <c r="B28" s="24" t="inlineStr">
        <is>
          <t>회천 신규점2</t>
        </is>
      </c>
      <c r="C28" s="24" t="inlineStr">
        <is>
          <t>B</t>
        </is>
      </c>
      <c r="D28" s="25" t="n">
        <v>34.680805</v>
      </c>
      <c r="E28" s="25" t="n">
        <v>127.04766</v>
      </c>
      <c r="F28" s="26" t="n"/>
      <c r="G28" s="26" t="n"/>
      <c r="H28" s="27" t="n"/>
      <c r="I28" s="27" t="n"/>
      <c r="J28" s="27" t="n"/>
      <c r="K28" s="28" t="n"/>
      <c r="L28" s="27" t="n"/>
      <c r="M28" s="27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7" t="n"/>
      <c r="W28" s="27" t="n"/>
      <c r="X28" s="27" t="n"/>
    </row>
    <row r="29">
      <c r="A29" s="24" t="inlineStr">
        <is>
          <t>S25</t>
        </is>
      </c>
      <c r="B29" s="24" t="inlineStr">
        <is>
          <t>관리 신규점3</t>
        </is>
      </c>
      <c r="C29" s="24" t="inlineStr">
        <is>
          <t>B</t>
        </is>
      </c>
      <c r="D29" s="25" t="n">
        <v>36.325755</v>
      </c>
      <c r="E29" s="25" t="n">
        <v>127.905982</v>
      </c>
      <c r="F29" s="26" t="n"/>
      <c r="G29" s="26" t="n"/>
      <c r="H29" s="27" t="n"/>
      <c r="I29" s="27" t="n"/>
      <c r="J29" s="27" t="n"/>
      <c r="K29" s="28" t="n"/>
      <c r="L29" s="27" t="n"/>
      <c r="M29" s="27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7" t="n"/>
      <c r="W29" s="27" t="n"/>
      <c r="X29" s="27" t="n"/>
    </row>
    <row r="30">
      <c r="A30" s="24" t="inlineStr">
        <is>
          <t>S26</t>
        </is>
      </c>
      <c r="B30" s="24" t="inlineStr">
        <is>
          <t>고남 신규점2</t>
        </is>
      </c>
      <c r="C30" s="24" t="inlineStr">
        <is>
          <t>B</t>
        </is>
      </c>
      <c r="D30" s="25" t="n">
        <v>36.452304</v>
      </c>
      <c r="E30" s="25" t="n">
        <v>126.395802</v>
      </c>
      <c r="F30" s="26" t="n"/>
      <c r="G30" s="26" t="n"/>
      <c r="H30" s="27" t="n"/>
      <c r="I30" s="27" t="n"/>
      <c r="J30" s="27" t="n"/>
      <c r="K30" s="28" t="n"/>
      <c r="L30" s="27" t="n"/>
      <c r="M30" s="27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7" t="n"/>
      <c r="W30" s="27" t="n"/>
      <c r="X30" s="27" t="n"/>
    </row>
    <row r="31">
      <c r="A31" s="24" t="inlineStr">
        <is>
          <t>S27</t>
        </is>
      </c>
      <c r="B31" s="24" t="inlineStr">
        <is>
          <t>전의 신규점</t>
        </is>
      </c>
      <c r="C31" s="24" t="inlineStr">
        <is>
          <t>B</t>
        </is>
      </c>
      <c r="D31" s="25" t="n">
        <v>36.579379</v>
      </c>
      <c r="E31" s="25" t="n">
        <v>127.068702</v>
      </c>
      <c r="F31" s="26" t="n"/>
      <c r="G31" s="26" t="n"/>
      <c r="H31" s="27" t="n"/>
      <c r="I31" s="27" t="n"/>
      <c r="J31" s="27" t="n"/>
      <c r="K31" s="28" t="n"/>
      <c r="L31" s="27" t="n"/>
      <c r="M31" s="27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7" t="n"/>
      <c r="W31" s="27" t="n"/>
      <c r="X31" s="27" t="n"/>
    </row>
    <row r="32">
      <c r="A32" s="24" t="inlineStr">
        <is>
          <t>S28</t>
        </is>
      </c>
      <c r="B32" s="24" t="inlineStr">
        <is>
          <t>이원 신규점</t>
        </is>
      </c>
      <c r="C32" s="24" t="inlineStr">
        <is>
          <t>B</t>
        </is>
      </c>
      <c r="D32" s="25" t="n">
        <v>36.16662</v>
      </c>
      <c r="E32" s="25" t="n">
        <v>127.583121</v>
      </c>
      <c r="F32" s="26" t="n"/>
      <c r="G32" s="26" t="n"/>
      <c r="H32" s="27" t="n"/>
      <c r="I32" s="27" t="n"/>
      <c r="J32" s="27" t="n"/>
      <c r="K32" s="28" t="n"/>
      <c r="L32" s="27" t="n"/>
      <c r="M32" s="27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7" t="n"/>
      <c r="W32" s="27" t="n"/>
      <c r="X32" s="27" t="n"/>
    </row>
    <row r="33">
      <c r="A33" s="24" t="inlineStr">
        <is>
          <t>S29</t>
        </is>
      </c>
      <c r="B33" s="24" t="inlineStr">
        <is>
          <t>가야 신규점1</t>
        </is>
      </c>
      <c r="C33" s="24" t="inlineStr">
        <is>
          <t>B</t>
        </is>
      </c>
      <c r="D33" s="25" t="n">
        <v>35.777986</v>
      </c>
      <c r="E33" s="25" t="n">
        <v>128.036833</v>
      </c>
      <c r="F33" s="26" t="n"/>
      <c r="G33" s="26" t="n"/>
      <c r="H33" s="27" t="n"/>
      <c r="I33" s="27" t="n"/>
      <c r="J33" s="27" t="n"/>
      <c r="K33" s="28" t="n"/>
      <c r="L33" s="27" t="n"/>
      <c r="M33" s="27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7" t="n"/>
      <c r="W33" s="27" t="n"/>
      <c r="X33" s="27" t="n"/>
    </row>
    <row r="34">
      <c r="A34" s="24" t="inlineStr">
        <is>
          <t>S30</t>
        </is>
      </c>
      <c r="B34" s="24" t="inlineStr">
        <is>
          <t>창녕 신규점</t>
        </is>
      </c>
      <c r="C34" s="24" t="inlineStr">
        <is>
          <t>B</t>
        </is>
      </c>
      <c r="D34" s="25" t="n">
        <v>35.662586</v>
      </c>
      <c r="E34" s="25" t="n">
        <v>128.298099</v>
      </c>
      <c r="F34" s="26" t="n"/>
      <c r="G34" s="26" t="n"/>
      <c r="H34" s="27" t="n"/>
      <c r="I34" s="27" t="n"/>
      <c r="J34" s="27" t="n"/>
      <c r="K34" s="28" t="n"/>
      <c r="L34" s="27" t="n"/>
      <c r="M34" s="27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7" t="n"/>
      <c r="W34" s="27" t="n"/>
      <c r="X34" s="27" t="n"/>
    </row>
    <row r="35">
      <c r="A35" s="24" t="inlineStr">
        <is>
          <t>S31</t>
        </is>
      </c>
      <c r="B35" s="24" t="inlineStr">
        <is>
          <t>언양 신규점3</t>
        </is>
      </c>
      <c r="C35" s="24" t="inlineStr">
        <is>
          <t>B</t>
        </is>
      </c>
      <c r="D35" s="25" t="n">
        <v>35.742364</v>
      </c>
      <c r="E35" s="25" t="n">
        <v>129.029824</v>
      </c>
      <c r="F35" s="26" t="n"/>
      <c r="G35" s="26" t="n"/>
      <c r="H35" s="27" t="n"/>
      <c r="I35" s="27" t="n"/>
      <c r="J35" s="27" t="n"/>
      <c r="K35" s="28" t="n"/>
      <c r="L35" s="27" t="n"/>
      <c r="M35" s="27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7" t="n"/>
      <c r="W35" s="27" t="n"/>
      <c r="X35" s="27" t="n"/>
    </row>
    <row r="36">
      <c r="A36" s="24" t="inlineStr">
        <is>
          <t>S32</t>
        </is>
      </c>
      <c r="B36" s="24" t="inlineStr">
        <is>
          <t>함양 신규점</t>
        </is>
      </c>
      <c r="C36" s="24" t="inlineStr">
        <is>
          <t>B</t>
        </is>
      </c>
      <c r="D36" s="25" t="n">
        <v>35.586243</v>
      </c>
      <c r="E36" s="25" t="n">
        <v>127.574659</v>
      </c>
      <c r="F36" s="26" t="n"/>
      <c r="G36" s="26" t="n"/>
      <c r="H36" s="27" t="n"/>
      <c r="I36" s="27" t="n"/>
      <c r="J36" s="27" t="n"/>
      <c r="K36" s="28" t="n"/>
      <c r="L36" s="27" t="n"/>
      <c r="M36" s="27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7" t="n"/>
      <c r="W36" s="27" t="n"/>
      <c r="X36" s="27" t="n"/>
    </row>
    <row r="37">
      <c r="A37" s="24" t="inlineStr">
        <is>
          <t>S33</t>
        </is>
      </c>
      <c r="B37" s="24" t="inlineStr">
        <is>
          <t>문산 신규점</t>
        </is>
      </c>
      <c r="C37" s="24" t="inlineStr">
        <is>
          <t>B</t>
        </is>
      </c>
      <c r="D37" s="25" t="n">
        <v>37.927676</v>
      </c>
      <c r="E37" s="25" t="n">
        <v>126.870305</v>
      </c>
      <c r="F37" s="26" t="n"/>
      <c r="G37" s="26" t="n"/>
      <c r="H37" s="27" t="n"/>
      <c r="I37" s="27" t="n"/>
      <c r="J37" s="27" t="n"/>
      <c r="K37" s="28" t="n"/>
      <c r="L37" s="27" t="n"/>
      <c r="M37" s="27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7" t="n"/>
      <c r="W37" s="27" t="n"/>
      <c r="X37" s="27" t="n"/>
    </row>
    <row r="38">
      <c r="A38" s="24" t="inlineStr">
        <is>
          <t>S34</t>
        </is>
      </c>
      <c r="B38" s="24" t="inlineStr">
        <is>
          <t>부안 신규점</t>
        </is>
      </c>
      <c r="C38" s="24" t="inlineStr">
        <is>
          <t>B</t>
        </is>
      </c>
      <c r="D38" s="25" t="n">
        <v>35.541753</v>
      </c>
      <c r="E38" s="25" t="n">
        <v>126.645582</v>
      </c>
      <c r="F38" s="26" t="n"/>
      <c r="G38" s="26" t="n"/>
      <c r="H38" s="27" t="n"/>
      <c r="I38" s="27" t="n"/>
      <c r="J38" s="27" t="n"/>
      <c r="K38" s="28" t="n"/>
      <c r="L38" s="27" t="n"/>
      <c r="M38" s="27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7" t="n"/>
      <c r="W38" s="27" t="n"/>
      <c r="X38" s="27" t="n"/>
    </row>
    <row r="39">
      <c r="A39" s="24" t="inlineStr">
        <is>
          <t>S35</t>
        </is>
      </c>
      <c r="B39" s="24" t="inlineStr">
        <is>
          <t>상주</t>
        </is>
      </c>
      <c r="C39" s="24" t="inlineStr">
        <is>
          <t>기존점</t>
        </is>
      </c>
      <c r="D39" s="25" t="n">
        <v>36.35528841666667</v>
      </c>
      <c r="E39" s="25" t="n">
        <v>128.1104806944444</v>
      </c>
      <c r="F39" s="26" t="n"/>
      <c r="G39" s="26" t="n"/>
      <c r="H39" s="27" t="n"/>
      <c r="I39" s="27" t="n"/>
      <c r="J39" s="27" t="n"/>
      <c r="K39" s="28" t="n"/>
      <c r="L39" s="27" t="n"/>
      <c r="M39" s="27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7" t="n"/>
      <c r="W39" s="27" t="n"/>
      <c r="X39" s="27" t="n"/>
    </row>
    <row r="40">
      <c r="A40" s="24" t="inlineStr">
        <is>
          <t>S36</t>
        </is>
      </c>
      <c r="B40" s="24" t="inlineStr">
        <is>
          <t>미원</t>
        </is>
      </c>
      <c r="C40" s="24" t="inlineStr">
        <is>
          <t>기존점</t>
        </is>
      </c>
      <c r="D40" s="25" t="n">
        <v>36.72502777777778</v>
      </c>
      <c r="E40" s="25" t="n">
        <v>127.5862222222222</v>
      </c>
      <c r="F40" s="26" t="n"/>
      <c r="G40" s="26" t="n"/>
      <c r="H40" s="27" t="n"/>
      <c r="I40" s="27" t="n"/>
      <c r="J40" s="27" t="n"/>
      <c r="K40" s="28" t="n"/>
      <c r="L40" s="27" t="n"/>
      <c r="M40" s="27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7" t="n"/>
      <c r="W40" s="27" t="n"/>
      <c r="X40" s="27" t="n"/>
    </row>
    <row r="41">
      <c r="A41" s="24" t="inlineStr">
        <is>
          <t>S37</t>
        </is>
      </c>
      <c r="B41" s="24" t="inlineStr">
        <is>
          <t>부안</t>
        </is>
      </c>
      <c r="C41" s="24" t="inlineStr">
        <is>
          <t>기존점</t>
        </is>
      </c>
      <c r="D41" s="25" t="n">
        <v>35.58775</v>
      </c>
      <c r="E41" s="25" t="n">
        <v>126.7161388888889</v>
      </c>
      <c r="F41" s="26" t="n"/>
      <c r="G41" s="26" t="n"/>
      <c r="H41" s="27" t="n"/>
      <c r="I41" s="27" t="n"/>
      <c r="J41" s="27" t="n"/>
      <c r="K41" s="28" t="n"/>
      <c r="L41" s="27" t="n"/>
      <c r="M41" s="27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7" t="n"/>
      <c r="W41" s="27" t="n"/>
      <c r="X41" s="27" t="n"/>
    </row>
    <row r="42">
      <c r="A42" s="24" t="inlineStr">
        <is>
          <t>S38</t>
        </is>
      </c>
      <c r="B42" s="24" t="inlineStr">
        <is>
          <t>강화</t>
        </is>
      </c>
      <c r="C42" s="24" t="inlineStr">
        <is>
          <t>기존점</t>
        </is>
      </c>
      <c r="D42" s="25" t="n">
        <v>37.66612411111111</v>
      </c>
      <c r="E42" s="25" t="n">
        <v>126.4787752222222</v>
      </c>
      <c r="F42" s="26" t="n"/>
      <c r="G42" s="26" t="n"/>
      <c r="H42" s="27" t="n"/>
      <c r="I42" s="27" t="n"/>
      <c r="J42" s="27" t="n"/>
      <c r="K42" s="28" t="n"/>
      <c r="L42" s="27" t="n"/>
      <c r="M42" s="27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7" t="n"/>
      <c r="W42" s="27" t="n"/>
      <c r="X42" s="27" t="n"/>
    </row>
    <row r="43">
      <c r="A43" s="24" t="inlineStr">
        <is>
          <t>S39</t>
        </is>
      </c>
      <c r="B43" s="24" t="inlineStr">
        <is>
          <t>언양</t>
        </is>
      </c>
      <c r="C43" s="24" t="inlineStr">
        <is>
          <t>기존점</t>
        </is>
      </c>
      <c r="D43" s="25" t="n">
        <v>35.67619994444444</v>
      </c>
      <c r="E43" s="25" t="n">
        <v>129.1908721388889</v>
      </c>
      <c r="F43" s="26" t="n"/>
      <c r="G43" s="26" t="n"/>
      <c r="H43" s="27" t="n"/>
      <c r="I43" s="27" t="n"/>
      <c r="J43" s="27" t="n"/>
      <c r="K43" s="28" t="n"/>
      <c r="L43" s="27" t="n"/>
      <c r="M43" s="27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7" t="n"/>
      <c r="W43" s="27" t="n"/>
      <c r="X43" s="27" t="n"/>
    </row>
    <row r="44">
      <c r="A44" s="24" t="inlineStr">
        <is>
          <t>S40</t>
        </is>
      </c>
      <c r="B44" s="24" t="inlineStr">
        <is>
          <t>남지</t>
        </is>
      </c>
      <c r="C44" s="24" t="inlineStr">
        <is>
          <t>기존점</t>
        </is>
      </c>
      <c r="D44" s="25" t="n">
        <v>35.43616666666667</v>
      </c>
      <c r="E44" s="25" t="n">
        <v>128.4737777777778</v>
      </c>
      <c r="F44" s="26" t="n"/>
      <c r="G44" s="26" t="n"/>
      <c r="H44" s="27" t="n"/>
      <c r="I44" s="27" t="n"/>
      <c r="J44" s="27" t="n"/>
      <c r="K44" s="28" t="n"/>
      <c r="L44" s="27" t="n"/>
      <c r="M44" s="27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7" t="n"/>
      <c r="W44" s="27" t="n"/>
      <c r="X44" s="27" t="n"/>
    </row>
    <row r="45">
      <c r="A45" s="24" t="inlineStr">
        <is>
          <t>S41</t>
        </is>
      </c>
      <c r="B45" s="24" t="inlineStr">
        <is>
          <t>거제</t>
        </is>
      </c>
      <c r="C45" s="24" t="inlineStr">
        <is>
          <t>기존점</t>
        </is>
      </c>
      <c r="D45" s="25" t="n">
        <v>34.87031108333333</v>
      </c>
      <c r="E45" s="25" t="n">
        <v>128.5928611111111</v>
      </c>
      <c r="F45" s="26" t="n"/>
      <c r="G45" s="26" t="n"/>
      <c r="H45" s="27" t="n"/>
      <c r="I45" s="27" t="n"/>
      <c r="J45" s="27" t="n"/>
      <c r="K45" s="28" t="n"/>
      <c r="L45" s="27" t="n"/>
      <c r="M45" s="27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7" t="n"/>
      <c r="W45" s="27" t="n"/>
      <c r="X45" s="27" t="n"/>
    </row>
    <row r="46">
      <c r="A46" s="24" t="inlineStr">
        <is>
          <t>S42</t>
        </is>
      </c>
      <c r="B46" s="24" t="inlineStr">
        <is>
          <t>조도</t>
        </is>
      </c>
      <c r="C46" s="24" t="inlineStr">
        <is>
          <t>기존점</t>
        </is>
      </c>
      <c r="D46" s="25" t="n">
        <v>34.43191666666667</v>
      </c>
      <c r="E46" s="25" t="n">
        <v>126.2238055555556</v>
      </c>
      <c r="F46" s="26" t="n"/>
      <c r="G46" s="26" t="n"/>
      <c r="H46" s="27" t="n"/>
      <c r="I46" s="27" t="n"/>
      <c r="J46" s="27" t="n"/>
      <c r="K46" s="28" t="n"/>
      <c r="L46" s="27" t="n"/>
      <c r="M46" s="27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7" t="n"/>
      <c r="W46" s="27" t="n"/>
      <c r="X46" s="27" t="n"/>
    </row>
    <row r="47">
      <c r="A47" s="24" t="inlineStr">
        <is>
          <t>S43</t>
        </is>
      </c>
      <c r="B47" s="24" t="inlineStr">
        <is>
          <t>포천</t>
        </is>
      </c>
      <c r="C47" s="24" t="inlineStr">
        <is>
          <t>기존점</t>
        </is>
      </c>
      <c r="D47" s="25" t="n">
        <v>37.99090344444445</v>
      </c>
      <c r="E47" s="25" t="n">
        <v>127.1346283611111</v>
      </c>
      <c r="F47" s="26" t="n"/>
      <c r="G47" s="26" t="n"/>
      <c r="H47" s="27" t="n"/>
      <c r="I47" s="27" t="n"/>
      <c r="J47" s="27" t="n"/>
      <c r="K47" s="28" t="n"/>
      <c r="L47" s="27" t="n"/>
      <c r="M47" s="27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7" t="n"/>
      <c r="W47" s="27" t="n"/>
      <c r="X47" s="27" t="n"/>
    </row>
    <row r="48">
      <c r="A48" s="24" t="inlineStr">
        <is>
          <t>S44</t>
        </is>
      </c>
      <c r="B48" s="24" t="inlineStr">
        <is>
          <t>성산</t>
        </is>
      </c>
      <c r="C48" s="24" t="inlineStr">
        <is>
          <t>기존점</t>
        </is>
      </c>
      <c r="D48" s="25" t="n">
        <v>33.52447991666666</v>
      </c>
      <c r="E48" s="25" t="n">
        <v>126.8941619722222</v>
      </c>
      <c r="F48" s="26" t="n"/>
      <c r="G48" s="26" t="n"/>
      <c r="H48" s="27" t="n"/>
      <c r="I48" s="27" t="n"/>
      <c r="J48" s="27" t="n"/>
      <c r="K48" s="28" t="n"/>
      <c r="L48" s="27" t="n"/>
      <c r="M48" s="27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7" t="n"/>
      <c r="W48" s="27" t="n"/>
      <c r="X48" s="27" t="n"/>
    </row>
    <row r="49">
      <c r="A49" s="24" t="inlineStr">
        <is>
          <t>S45</t>
        </is>
      </c>
      <c r="B49" s="24" t="inlineStr">
        <is>
          <t>여주</t>
        </is>
      </c>
      <c r="C49" s="24" t="inlineStr">
        <is>
          <t>기존점</t>
        </is>
      </c>
      <c r="D49" s="25" t="n">
        <v>37.445381</v>
      </c>
      <c r="E49" s="25" t="n">
        <v>127.5733216944444</v>
      </c>
      <c r="F49" s="26" t="n"/>
      <c r="G49" s="26" t="n"/>
      <c r="H49" s="27" t="n"/>
      <c r="I49" s="27" t="n"/>
      <c r="J49" s="27" t="n"/>
      <c r="K49" s="28" t="n"/>
      <c r="L49" s="27" t="n"/>
      <c r="M49" s="27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7" t="n"/>
      <c r="W49" s="27" t="n"/>
      <c r="X49" s="27" t="n"/>
    </row>
    <row r="50">
      <c r="A50" s="24" t="inlineStr">
        <is>
          <t>S46</t>
        </is>
      </c>
      <c r="B50" s="24" t="inlineStr">
        <is>
          <t>화천</t>
        </is>
      </c>
      <c r="C50" s="24" t="inlineStr">
        <is>
          <t>기존점</t>
        </is>
      </c>
      <c r="D50" s="25" t="n">
        <v>38.11566666666667</v>
      </c>
      <c r="E50" s="25" t="n">
        <v>127.6867222222222</v>
      </c>
      <c r="F50" s="26" t="n"/>
      <c r="G50" s="26" t="n"/>
      <c r="H50" s="27" t="n"/>
      <c r="I50" s="27" t="n"/>
      <c r="J50" s="27" t="n"/>
      <c r="K50" s="28" t="n"/>
      <c r="L50" s="27" t="n"/>
      <c r="M50" s="27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7" t="n"/>
      <c r="W50" s="27" t="n"/>
      <c r="X50" s="27" t="n"/>
    </row>
    <row r="51">
      <c r="A51" s="24" t="inlineStr">
        <is>
          <t>S47</t>
        </is>
      </c>
      <c r="B51" s="24" t="inlineStr">
        <is>
          <t>봉평</t>
        </is>
      </c>
      <c r="C51" s="24" t="inlineStr">
        <is>
          <t>기존점</t>
        </is>
      </c>
      <c r="D51" s="25" t="n">
        <v>37.61237222222223</v>
      </c>
      <c r="E51" s="25" t="n">
        <v>128.395802</v>
      </c>
      <c r="F51" s="26" t="n"/>
      <c r="G51" s="26" t="n"/>
      <c r="H51" s="27" t="n"/>
      <c r="I51" s="27" t="n"/>
      <c r="J51" s="27" t="n"/>
      <c r="K51" s="28" t="n"/>
      <c r="L51" s="27" t="n"/>
      <c r="M51" s="27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7" t="n"/>
      <c r="W51" s="27" t="n"/>
      <c r="X51" s="27" t="n"/>
    </row>
    <row r="52">
      <c r="A52" s="24" t="inlineStr">
        <is>
          <t>S48</t>
        </is>
      </c>
      <c r="B52" s="24" t="inlineStr">
        <is>
          <t>삼척</t>
        </is>
      </c>
      <c r="C52" s="24" t="inlineStr">
        <is>
          <t>기존점</t>
        </is>
      </c>
      <c r="D52" s="25" t="n">
        <v>37.38471708333334</v>
      </c>
      <c r="E52" s="25" t="n">
        <v>129.2032259444444</v>
      </c>
      <c r="F52" s="26" t="n"/>
      <c r="G52" s="26" t="n"/>
      <c r="H52" s="27" t="n"/>
      <c r="I52" s="27" t="n"/>
      <c r="J52" s="27" t="n"/>
      <c r="K52" s="28" t="n"/>
      <c r="L52" s="27" t="n"/>
      <c r="M52" s="27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7" t="n"/>
      <c r="W52" s="27" t="n"/>
      <c r="X52" s="27" t="n"/>
    </row>
    <row r="53">
      <c r="A53" s="24" t="inlineStr">
        <is>
          <t>S49</t>
        </is>
      </c>
      <c r="B53" s="24" t="inlineStr">
        <is>
          <t>제천</t>
        </is>
      </c>
      <c r="C53" s="24" t="inlineStr">
        <is>
          <t>기존점</t>
        </is>
      </c>
      <c r="D53" s="25" t="n">
        <v>37.07463888888889</v>
      </c>
      <c r="E53" s="25" t="n">
        <v>128.2114444444444</v>
      </c>
      <c r="F53" s="26" t="n"/>
      <c r="G53" s="26" t="n"/>
      <c r="H53" s="27" t="n"/>
      <c r="I53" s="27" t="n"/>
      <c r="J53" s="27" t="n"/>
      <c r="K53" s="28" t="n"/>
      <c r="L53" s="27" t="n"/>
      <c r="M53" s="27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7" t="n"/>
      <c r="W53" s="27" t="n"/>
      <c r="X53" s="27" t="n"/>
    </row>
    <row r="54">
      <c r="A54" s="24" t="inlineStr">
        <is>
          <t>S50</t>
        </is>
      </c>
      <c r="B54" s="24" t="inlineStr">
        <is>
          <t>함양</t>
        </is>
      </c>
      <c r="C54" s="24" t="inlineStr">
        <is>
          <t>기존점</t>
        </is>
      </c>
      <c r="D54" s="25" t="n">
        <v>35.54250855555556</v>
      </c>
      <c r="E54" s="25" t="n">
        <v>127.6229688333333</v>
      </c>
      <c r="F54" s="26" t="n"/>
      <c r="G54" s="26" t="n"/>
      <c r="H54" s="27" t="n"/>
      <c r="I54" s="27" t="n"/>
      <c r="J54" s="27" t="n"/>
      <c r="K54" s="28" t="n"/>
      <c r="L54" s="27" t="n"/>
      <c r="M54" s="27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7" t="n"/>
      <c r="W54" s="27" t="n"/>
      <c r="X54" s="27" t="n"/>
    </row>
  </sheetData>
  <mergeCells count="3">
    <mergeCell ref="A3:X3"/>
    <mergeCell ref="A2:X2"/>
    <mergeCell ref="A1:X1"/>
  </mergeCells>
  <dataValidations count="6">
    <dataValidation sqref="H5:H54" showDropDown="0" showInputMessage="0" showErrorMessage="0" allowBlank="1" type="list">
      <formula1>"WGS84,KGD2002,Bessel1841,PENDING"</formula1>
    </dataValidation>
    <dataValidation sqref="J5:J54" showDropDown="0" showInputMessage="0" showErrorMessage="0" allowBlank="1" type="list">
      <formula1>"RTK-GNSS,네트워크RTK,정적GNSS,휴대GNSS,기존 성과 인용,PENDING"</formula1>
    </dataValidation>
    <dataValidation sqref="M5:M54" showDropDown="0" showInputMessage="0" showErrorMessage="0" allowBlank="1" type="list">
      <formula1>"검증완료 — 사전값과 일치,검증완료 — 사전값 정정,불일치 — HOLD,PENDING"</formula1>
    </dataValidation>
    <dataValidation sqref="X5:X54" showDropDown="0" showInputMessage="0" showErrorMessage="0" allowBlank="1" type="list">
      <formula1>"적합,부적합,PENDING"</formula1>
    </dataValidation>
    <dataValidation sqref="F5:F54" showDropDown="0" showInputMessage="0" showErrorMessage="1" allowBlank="1" errorTitle="예상 범위 밖" error="한반도 위도 범위(33~39.5°)를 벗어났다. 위·경도를 바꿔 적지 않았는지 확인할 것." type="decimal" errorStyle="warning" operator="between">
      <formula1>33</formula1>
      <formula2>39.5</formula2>
    </dataValidation>
    <dataValidation sqref="G5:G54" showDropDown="0" showInputMessage="0" showErrorMessage="1" allowBlank="1" errorTitle="예상 범위 밖" error="한반도 경도 범위(124~132°)를 벗어났다. 위·경도를 바꿔 적지 않았는지 확인할 것." type="decimal" errorStyle="warning" operator="between">
      <formula1>124</formula1>
      <formula2>132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기존 관측점 16점 — 과거 성과와의 «성분별» 대조 가능성</t>
        </is>
      </c>
    </row>
    <row r="2" ht="33" customHeight="1">
      <c r="A2" s="3" t="inlineStr">
        <is>
          <t>⚠ 「기존 성과가 있다」와 「직접 비교할 수 있다」는 다른 문제다. 과거 기록에는 마크 방위각 변동(재방문 잔여 RMS 33.7′)·F 측정시각 전무·방위 방향 혼동이 섞여 있다. 따라서 적어도 편각 D 와 시간보정이 필요한 F 는 무조건 직접 비교할 수 없다.</t>
        </is>
      </c>
    </row>
    <row r="3" ht="33" customHeight="1">
      <c r="A3" s="2" t="inlineStr">
        <is>
          <t>성분마다 «비교 가능 / 조건부 / 불가»를 따로 판정하고, 근거를 적는다. 표석·표지 동일성이 확인되지 않으면 그 점 전체를 HOLD 로 둔다.</t>
        </is>
      </c>
    </row>
    <row r="4" ht="34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지점코드</t>
        </is>
      </c>
      <c r="D4" s="8" t="inlineStr">
        <is>
          <t>종전 성과 연도</t>
        </is>
      </c>
      <c r="E4" s="8" t="inlineStr">
        <is>
          <t>종전 편각(°)</t>
        </is>
      </c>
      <c r="F4" s="8" t="inlineStr">
        <is>
          <t>종전 복각(°)</t>
        </is>
      </c>
      <c r="G4" s="8" t="inlineStr">
        <is>
          <t>종전 총자력(nT)</t>
        </is>
      </c>
      <c r="H4" s="8" t="inlineStr">
        <is>
          <t>종전 관측장비</t>
        </is>
      </c>
      <c r="I4" s="8" t="inlineStr">
        <is>
          <t>동일 표석 확인</t>
        </is>
      </c>
      <c r="J4" s="8" t="inlineStr">
        <is>
          <t>동일 표지 확인</t>
        </is>
      </c>
      <c r="K4" s="8" t="inlineStr">
        <is>
          <t>좌표 검증</t>
        </is>
      </c>
      <c r="L4" s="8" t="inlineStr">
        <is>
          <t>D 비교가능</t>
        </is>
      </c>
      <c r="M4" s="8" t="inlineStr">
        <is>
          <t>I 비교가능</t>
        </is>
      </c>
      <c r="N4" s="8" t="inlineStr">
        <is>
          <t>F 비교가능</t>
        </is>
      </c>
    </row>
    <row r="5">
      <c r="A5" s="24" t="inlineStr">
        <is>
          <t>S35</t>
        </is>
      </c>
      <c r="B5" s="24" t="inlineStr">
        <is>
          <t>상주</t>
        </is>
      </c>
      <c r="C5" s="24" t="inlineStr">
        <is>
          <t>1-12-2</t>
        </is>
      </c>
      <c r="D5" s="24" t="inlineStr">
        <is>
          <t>2025.09.24.</t>
        </is>
      </c>
      <c r="E5" s="29" t="n">
        <v>-8.193992</v>
      </c>
      <c r="F5" s="29" t="n">
        <v>52.758553</v>
      </c>
      <c r="G5" s="30" t="n">
        <v>50560</v>
      </c>
      <c r="H5" s="24" t="inlineStr">
        <is>
          <t>MAG-02H</t>
        </is>
      </c>
      <c r="I5" s="27" t="n"/>
      <c r="J5" s="27" t="n"/>
      <c r="K5" s="27" t="n"/>
      <c r="L5" s="27" t="n"/>
      <c r="M5" s="27" t="n"/>
      <c r="N5" s="27" t="n"/>
    </row>
    <row r="6">
      <c r="A6" s="24" t="inlineStr">
        <is>
          <t>S36</t>
        </is>
      </c>
      <c r="B6" s="24" t="inlineStr">
        <is>
          <t>미원</t>
        </is>
      </c>
      <c r="C6" s="24" t="inlineStr">
        <is>
          <t>1-13-2</t>
        </is>
      </c>
      <c r="D6" s="24" t="inlineStr">
        <is>
          <t>2024.05.01.</t>
        </is>
      </c>
      <c r="E6" s="29" t="n">
        <v>-9.122263999999999</v>
      </c>
      <c r="F6" s="29" t="n">
        <v>53.412156</v>
      </c>
      <c r="G6" s="30" t="n">
        <v>50709.3</v>
      </c>
      <c r="H6" s="24" t="inlineStr">
        <is>
          <t>MAG-02H</t>
        </is>
      </c>
      <c r="I6" s="31" t="inlineStr">
        <is>
          <t>HOLD</t>
        </is>
      </c>
      <c r="J6" s="31" t="inlineStr">
        <is>
          <t>HOLD</t>
        </is>
      </c>
      <c r="K6" s="31" t="inlineStr">
        <is>
          <t>HOLD</t>
        </is>
      </c>
      <c r="L6" s="31" t="inlineStr">
        <is>
          <t>HOLD</t>
        </is>
      </c>
      <c r="M6" s="31" t="inlineStr">
        <is>
          <t>HOLD</t>
        </is>
      </c>
      <c r="N6" s="31" t="inlineStr">
        <is>
          <t>HOLD</t>
        </is>
      </c>
    </row>
    <row r="7">
      <c r="A7" s="24" t="inlineStr">
        <is>
          <t>S37</t>
        </is>
      </c>
      <c r="B7" s="24" t="inlineStr">
        <is>
          <t>부안</t>
        </is>
      </c>
      <c r="C7" s="24" t="inlineStr">
        <is>
          <t>1-17-2</t>
        </is>
      </c>
      <c r="D7" s="24" t="inlineStr">
        <is>
          <t>2025.11.04.</t>
        </is>
      </c>
      <c r="E7" s="29" t="n">
        <v>-8.473328</v>
      </c>
      <c r="F7" s="29" t="n">
        <v>52.376639</v>
      </c>
      <c r="G7" s="30" t="n">
        <v>50678.1</v>
      </c>
      <c r="H7" s="24" t="inlineStr">
        <is>
          <t>MAG-02H</t>
        </is>
      </c>
      <c r="I7" s="27" t="n"/>
      <c r="J7" s="27" t="n"/>
      <c r="K7" s="27" t="n"/>
      <c r="L7" s="27" t="n"/>
      <c r="M7" s="27" t="n"/>
      <c r="N7" s="27" t="n"/>
    </row>
    <row r="8">
      <c r="A8" s="24" t="inlineStr">
        <is>
          <t>S38</t>
        </is>
      </c>
      <c r="B8" s="24" t="inlineStr">
        <is>
          <t>강화</t>
        </is>
      </c>
      <c r="C8" s="24" t="inlineStr">
        <is>
          <t>1-2-3</t>
        </is>
      </c>
      <c r="D8" s="24" t="inlineStr">
        <is>
          <t>2024.04.17</t>
        </is>
      </c>
      <c r="E8" s="29" t="n">
        <v>-8.659731000000001</v>
      </c>
      <c r="F8" s="29" t="n">
        <v>54.765217</v>
      </c>
      <c r="G8" s="30" t="n">
        <v>51531.2</v>
      </c>
      <c r="H8" s="24" t="inlineStr">
        <is>
          <t>MAG-02H</t>
        </is>
      </c>
      <c r="I8" s="27" t="n"/>
      <c r="J8" s="27" t="n"/>
      <c r="K8" s="27" t="n"/>
      <c r="L8" s="27" t="n"/>
      <c r="M8" s="27" t="n"/>
      <c r="N8" s="27" t="n"/>
    </row>
    <row r="9">
      <c r="A9" s="24" t="inlineStr">
        <is>
          <t>S39</t>
        </is>
      </c>
      <c r="B9" s="24" t="inlineStr">
        <is>
          <t>언양</t>
        </is>
      </c>
      <c r="C9" s="24" t="inlineStr">
        <is>
          <t>1-23-1</t>
        </is>
      </c>
      <c r="D9" s="24" t="inlineStr">
        <is>
          <t>2024.10.17</t>
        </is>
      </c>
      <c r="E9" s="29" t="n">
        <v>-9.003038999999999</v>
      </c>
      <c r="F9" s="29" t="n">
        <v>51.749664</v>
      </c>
      <c r="G9" s="30" t="n">
        <v>49597.3</v>
      </c>
      <c r="H9" s="24" t="inlineStr">
        <is>
          <t>MAG-01H</t>
        </is>
      </c>
      <c r="I9" s="27" t="n"/>
      <c r="J9" s="27" t="n"/>
      <c r="K9" s="27" t="n"/>
      <c r="L9" s="27" t="n"/>
      <c r="M9" s="27" t="n"/>
      <c r="N9" s="27" t="n"/>
    </row>
    <row r="10">
      <c r="A10" s="24" t="inlineStr">
        <is>
          <t>S40</t>
        </is>
      </c>
      <c r="B10" s="24" t="inlineStr">
        <is>
          <t>남지</t>
        </is>
      </c>
      <c r="C10" s="24" t="inlineStr">
        <is>
          <t>1-24-3</t>
        </is>
      </c>
      <c r="D10" s="24" t="inlineStr">
        <is>
          <t>2019.06.24</t>
        </is>
      </c>
      <c r="E10" s="29" t="n">
        <v>-7.60285</v>
      </c>
      <c r="F10" s="29" t="n">
        <v>51.288442</v>
      </c>
      <c r="G10" s="30" t="n">
        <v>49481.8</v>
      </c>
      <c r="H10" s="24" t="inlineStr">
        <is>
          <t>MAG-01H</t>
        </is>
      </c>
      <c r="I10" s="27" t="n"/>
      <c r="J10" s="27" t="n"/>
      <c r="K10" s="27" t="n"/>
      <c r="L10" s="27" t="n"/>
      <c r="M10" s="27" t="n"/>
      <c r="N10" s="27" t="n"/>
    </row>
    <row r="11">
      <c r="A11" s="24" t="inlineStr">
        <is>
          <t>S41</t>
        </is>
      </c>
      <c r="B11" s="24" t="inlineStr">
        <is>
          <t>거제</t>
        </is>
      </c>
      <c r="C11" s="24" t="inlineStr">
        <is>
          <t>1-25-2</t>
        </is>
      </c>
      <c r="D11" s="24" t="inlineStr">
        <is>
          <t>2024.10.24.</t>
        </is>
      </c>
      <c r="E11" s="29" t="n">
        <v>-8.147074999999999</v>
      </c>
      <c r="F11" s="29" t="n">
        <v>51.198997</v>
      </c>
      <c r="G11" s="30" t="n">
        <v>49335.5</v>
      </c>
      <c r="H11" s="24" t="inlineStr">
        <is>
          <t>MAG-02H</t>
        </is>
      </c>
      <c r="I11" s="27" t="n"/>
      <c r="J11" s="27" t="n"/>
      <c r="K11" s="27" t="n"/>
      <c r="L11" s="27" t="n"/>
      <c r="M11" s="27" t="n"/>
      <c r="N11" s="27" t="n"/>
    </row>
    <row r="12">
      <c r="A12" s="24" t="inlineStr">
        <is>
          <t>S42</t>
        </is>
      </c>
      <c r="B12" s="24" t="inlineStr">
        <is>
          <t>조도</t>
        </is>
      </c>
      <c r="C12" s="24" t="inlineStr">
        <is>
          <t>1-29-2</t>
        </is>
      </c>
      <c r="D12" s="24" t="inlineStr">
        <is>
          <t>2010연구성과</t>
        </is>
      </c>
      <c r="E12" s="29" t="n">
        <v>-6.046111111111111</v>
      </c>
      <c r="F12" s="29" t="n">
        <v>50.36833333333333</v>
      </c>
      <c r="G12" s="30" t="n">
        <v>49534</v>
      </c>
      <c r="H12" s="24" t="inlineStr">
        <is>
          <t>연구성과보고서</t>
        </is>
      </c>
      <c r="I12" s="27" t="n"/>
      <c r="J12" s="27" t="n"/>
      <c r="K12" s="27" t="n"/>
      <c r="L12" s="27" t="n"/>
      <c r="M12" s="27" t="n"/>
      <c r="N12" s="27" t="n"/>
    </row>
    <row r="13">
      <c r="A13" s="24" t="inlineStr">
        <is>
          <t>S43</t>
        </is>
      </c>
      <c r="B13" s="24" t="inlineStr">
        <is>
          <t>포천</t>
        </is>
      </c>
      <c r="C13" s="24" t="inlineStr">
        <is>
          <t>1-3-3</t>
        </is>
      </c>
      <c r="D13" s="24" t="inlineStr">
        <is>
          <t>2025.05.27.</t>
        </is>
      </c>
      <c r="E13" s="29" t="n">
        <v>-9.245017000000001</v>
      </c>
      <c r="F13" s="29" t="n">
        <v>55.042983</v>
      </c>
      <c r="G13" s="30" t="n">
        <v>51495.3</v>
      </c>
      <c r="H13" s="24" t="inlineStr">
        <is>
          <t>MAG-02H</t>
        </is>
      </c>
      <c r="I13" s="27" t="n"/>
      <c r="J13" s="27" t="n"/>
      <c r="K13" s="27" t="n"/>
      <c r="L13" s="27" t="n"/>
      <c r="M13" s="27" t="n"/>
      <c r="N13" s="27" t="n"/>
    </row>
    <row r="14">
      <c r="A14" s="24" t="inlineStr">
        <is>
          <t>S44</t>
        </is>
      </c>
      <c r="B14" s="24" t="inlineStr">
        <is>
          <t>성산</t>
        </is>
      </c>
      <c r="C14" s="24" t="inlineStr">
        <is>
          <t>1-30-2</t>
        </is>
      </c>
      <c r="D14" s="24" t="inlineStr">
        <is>
          <t>2025.05.15</t>
        </is>
      </c>
      <c r="E14" s="29" t="n">
        <v>-8.658168999999999</v>
      </c>
      <c r="F14" s="29" t="n">
        <v>50.120781</v>
      </c>
      <c r="G14" s="30" t="n">
        <v>48909.9</v>
      </c>
      <c r="H14" s="24" t="inlineStr">
        <is>
          <t>MAG-03H</t>
        </is>
      </c>
      <c r="I14" s="27" t="n"/>
      <c r="J14" s="27" t="n"/>
      <c r="K14" s="27" t="n"/>
      <c r="L14" s="27" t="n"/>
      <c r="M14" s="27" t="n"/>
      <c r="N14" s="27" t="n"/>
    </row>
    <row r="15">
      <c r="A15" s="24" t="inlineStr">
        <is>
          <t>S45</t>
        </is>
      </c>
      <c r="B15" s="24" t="inlineStr">
        <is>
          <t>여주</t>
        </is>
      </c>
      <c r="C15" s="24" t="inlineStr">
        <is>
          <t>1-4-4</t>
        </is>
      </c>
      <c r="D15" s="24" t="inlineStr">
        <is>
          <t>2023.09.07</t>
        </is>
      </c>
      <c r="E15" s="29" t="n">
        <v>-9.267430555555556</v>
      </c>
      <c r="F15" s="29" t="n">
        <v>54.423825</v>
      </c>
      <c r="G15" s="30" t="n">
        <v>51174.98</v>
      </c>
      <c r="H15" s="24" t="inlineStr">
        <is>
          <t>MAG-01H</t>
        </is>
      </c>
      <c r="I15" s="27" t="n"/>
      <c r="J15" s="27" t="n"/>
      <c r="K15" s="27" t="n"/>
      <c r="L15" s="27" t="n"/>
      <c r="M15" s="27" t="n"/>
      <c r="N15" s="27" t="n"/>
    </row>
    <row r="16">
      <c r="A16" s="24" t="inlineStr">
        <is>
          <t>S46</t>
        </is>
      </c>
      <c r="B16" s="24" t="inlineStr">
        <is>
          <t>화천</t>
        </is>
      </c>
      <c r="C16" s="24" t="inlineStr">
        <is>
          <t>1-5-2</t>
        </is>
      </c>
      <c r="D16" s="24" t="inlineStr">
        <is>
          <t>2018.5.23</t>
        </is>
      </c>
      <c r="E16" s="29" t="n">
        <v>-8.933944</v>
      </c>
      <c r="F16" s="29" t="n">
        <v>54.944778</v>
      </c>
      <c r="G16" s="30" t="n">
        <v>51499.4</v>
      </c>
      <c r="H16" s="24" t="inlineStr">
        <is>
          <t>MAG-01H</t>
        </is>
      </c>
      <c r="I16" s="27" t="n"/>
      <c r="J16" s="27" t="n"/>
      <c r="K16" s="27" t="n"/>
      <c r="L16" s="27" t="n"/>
      <c r="M16" s="27" t="n"/>
      <c r="N16" s="27" t="n"/>
    </row>
    <row r="17">
      <c r="A17" s="24" t="inlineStr">
        <is>
          <t>S47</t>
        </is>
      </c>
      <c r="B17" s="24" t="inlineStr">
        <is>
          <t>봉평</t>
        </is>
      </c>
      <c r="C17" s="24" t="inlineStr">
        <is>
          <t>1-7-2</t>
        </is>
      </c>
      <c r="D17" s="24" t="inlineStr">
        <is>
          <t>2015</t>
        </is>
      </c>
      <c r="E17" s="29" t="n">
        <v>-8.446667</v>
      </c>
      <c r="F17" s="29" t="n">
        <v>54.1425</v>
      </c>
      <c r="G17" s="30" t="n">
        <v>50634</v>
      </c>
      <c r="H17" s="24" t="inlineStr">
        <is>
          <t>MAG-04H</t>
        </is>
      </c>
      <c r="I17" s="27" t="n"/>
      <c r="J17" s="27" t="n"/>
      <c r="K17" s="27" t="n"/>
      <c r="L17" s="27" t="n"/>
      <c r="M17" s="27" t="n"/>
      <c r="N17" s="27" t="n"/>
    </row>
    <row r="18">
      <c r="A18" s="24" t="inlineStr">
        <is>
          <t>S48</t>
        </is>
      </c>
      <c r="B18" s="24" t="inlineStr">
        <is>
          <t>삼척</t>
        </is>
      </c>
      <c r="C18" s="24" t="inlineStr">
        <is>
          <t>1-8-4</t>
        </is>
      </c>
      <c r="D18" s="24" t="inlineStr">
        <is>
          <t>2024.08.29.</t>
        </is>
      </c>
      <c r="E18" s="29" t="n">
        <v>-8.223682999999999</v>
      </c>
      <c r="F18" s="29" t="n">
        <v>54.325956</v>
      </c>
      <c r="G18" s="30" t="n">
        <v>50647.4</v>
      </c>
      <c r="H18" s="24" t="inlineStr">
        <is>
          <t>MAG-07H</t>
        </is>
      </c>
      <c r="I18" s="27" t="n"/>
      <c r="J18" s="27" t="n"/>
      <c r="K18" s="27" t="n"/>
      <c r="L18" s="27" t="n"/>
      <c r="M18" s="27" t="n"/>
      <c r="N18" s="27" t="n"/>
    </row>
    <row r="19">
      <c r="A19" s="24" t="inlineStr">
        <is>
          <t>S49</t>
        </is>
      </c>
      <c r="B19" s="24" t="inlineStr">
        <is>
          <t>제천</t>
        </is>
      </c>
      <c r="C19" s="24" t="inlineStr">
        <is>
          <t>1-9-2</t>
        </is>
      </c>
      <c r="D19" s="24" t="inlineStr">
        <is>
          <t>2015</t>
        </is>
      </c>
      <c r="E19" s="29" t="n">
        <v>-7.575278</v>
      </c>
      <c r="F19" s="29" t="n">
        <v>53.646944</v>
      </c>
      <c r="G19" s="30" t="n">
        <v>50410</v>
      </c>
      <c r="H19" s="24" t="inlineStr">
        <is>
          <t>MAG-09H</t>
        </is>
      </c>
      <c r="I19" s="27" t="n"/>
      <c r="J19" s="27" t="n"/>
      <c r="K19" s="27" t="n"/>
      <c r="L19" s="27" t="n"/>
      <c r="M19" s="27" t="n"/>
      <c r="N19" s="27" t="n"/>
    </row>
    <row r="20">
      <c r="A20" s="24" t="inlineStr">
        <is>
          <t>S50</t>
        </is>
      </c>
      <c r="B20" s="24" t="inlineStr">
        <is>
          <t>함양</t>
        </is>
      </c>
      <c r="C20" s="24" t="inlineStr">
        <is>
          <t>1-20-3</t>
        </is>
      </c>
      <c r="D20" s="24" t="inlineStr">
        <is>
          <t>2025.10.29.</t>
        </is>
      </c>
      <c r="E20" s="29" t="n">
        <v>-7.629208</v>
      </c>
      <c r="F20" s="29" t="n">
        <v>52.017197</v>
      </c>
      <c r="G20" s="30" t="n">
        <v>49779.9</v>
      </c>
      <c r="H20" s="24" t="inlineStr">
        <is>
          <t>MAG-02H</t>
        </is>
      </c>
      <c r="I20" s="27" t="n"/>
      <c r="J20" s="27" t="n"/>
      <c r="K20" s="27" t="n"/>
      <c r="L20" s="27" t="n"/>
      <c r="M20" s="27" t="n"/>
      <c r="N20" s="27" t="n"/>
    </row>
  </sheetData>
  <mergeCells count="3">
    <mergeCell ref="A3:N3"/>
    <mergeCell ref="A2:N2"/>
    <mergeCell ref="A1:N1"/>
  </mergeCells>
  <dataValidations count="2">
    <dataValidation sqref="I5:K20" showDropDown="0" showInputMessage="0" showErrorMessage="0" allowBlank="1" type="list">
      <formula1>"확인,불일치,PENDING,HOLD"</formula1>
    </dataValidation>
    <dataValidation sqref="L5:N20" showDropDown="0" showInputMessage="0" showErrorMessage="0" allowBlank="1" type="list">
      <formula1>"비교가능,조건부,불가,PENDING,HOLD"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0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5" customWidth="1" min="10" max="10"/>
    <col width="15" customWidth="1" min="11" max="11"/>
    <col width="11" customWidth="1" min="12" max="12"/>
    <col width="13" customWidth="1" min="13" max="13"/>
    <col width="13" customWidth="1" min="14" max="14"/>
    <col width="13" customWidth="1" min="15" max="15"/>
    <col width="16" customWidth="1" min="16" max="16"/>
    <col width="14" customWidth="1" min="17" max="17"/>
    <col width="15" customWidth="1" min="18" max="18"/>
    <col width="14" customWidth="1" min="19" max="19"/>
    <col width="30" customWidth="1" min="20" max="20"/>
  </cols>
  <sheetData>
    <row r="1" ht="26" customHeight="1">
      <c r="A1" s="1" t="inlineStr">
        <is>
          <t>방위표지 · 참방위각 결정 — 편각 30′ 잔차의 주범</t>
        </is>
      </c>
    </row>
    <row r="2" ht="33" customHeight="1">
      <c r="A2" s="3" t="inlineStr">
        <is>
          <t>⚠ 규약: 진북 기준 · 북 = 0° · 시계방향 · FROM = 기준점 · TO = 방위표지. 현장 원시각은 «gon» 으로 적는다(1회전 400 · 대척 200). 도(°) 환산은 계산 칸이다. 200 gon 역방향과 180° 역방향이 섞이면 대규모 오류가 난다.</t>
        </is>
      </c>
    </row>
    <row r="3" ht="33" customHeight="1">
      <c r="A3" s="2" t="inlineStr">
        <is>
          <t>재방문 16구간 전부에서 마크 참방위각이 60″ 넘게 변했다. 마크를 바꾸는 것 자체는 오류가 아니지만, 바뀐 마크의 참방위각이 틀리면 그 방문의 편각이 통째로 틀어진다. 그래서 «이전 확정값 대비 차이»와 «재결정 사유»가 필수다.</t>
        </is>
      </c>
    </row>
    <row r="4" ht="34" customHeight="1">
      <c r="A4" s="7" t="inlineStr">
        <is>
          <t>Site ID</t>
        </is>
      </c>
      <c r="B4" s="7" t="inlineStr">
        <is>
          <t>Mark ID</t>
        </is>
      </c>
      <c r="C4" s="8" t="inlineStr">
        <is>
          <t>지점명</t>
        </is>
      </c>
      <c r="D4" s="8" t="inlineStr">
        <is>
          <t>표지 구분</t>
        </is>
      </c>
      <c r="E4" s="8" t="inlineStr">
        <is>
          <t>표지 위도</t>
        </is>
      </c>
      <c r="F4" s="8" t="inlineStr">
        <is>
          <t>표지 경도</t>
        </is>
      </c>
      <c r="G4" s="8" t="inlineStr">
        <is>
          <t>시준 지점(표지의 어디)</t>
        </is>
      </c>
      <c r="H4" s="8" t="inlineStr">
        <is>
          <t>FROM</t>
        </is>
      </c>
      <c r="I4" s="8" t="inlineStr">
        <is>
          <t>TO</t>
        </is>
      </c>
      <c r="J4" s="8" t="inlineStr">
        <is>
          <t>정 시준 원시각(gon)</t>
        </is>
      </c>
      <c r="K4" s="8" t="inlineStr">
        <is>
          <t>반 시준 원시각(gon)</t>
        </is>
      </c>
      <c r="L4" s="8" t="inlineStr">
        <is>
          <t>폐합차(gon)</t>
        </is>
      </c>
      <c r="M4" s="8" t="inlineStr">
        <is>
          <t>참방위각(gon)</t>
        </is>
      </c>
      <c r="N4" s="8" t="inlineStr">
        <is>
          <t>참방위각(°)
계산</t>
        </is>
      </c>
      <c r="O4" s="8" t="inlineStr">
        <is>
          <t>역방위(°)
계산</t>
        </is>
      </c>
      <c r="P4" s="8" t="inlineStr">
        <is>
          <t>결정방법</t>
        </is>
      </c>
      <c r="Q4" s="8" t="inlineStr">
        <is>
          <t>근거좌표 정확도(m)</t>
        </is>
      </c>
      <c r="R4" s="8" t="inlineStr">
        <is>
          <t>이전 확정 방위각(°)</t>
        </is>
      </c>
      <c r="S4" s="8" t="inlineStr">
        <is>
          <t>이전값 대비 차(″)</t>
        </is>
      </c>
      <c r="T4" s="8" t="inlineStr">
        <is>
          <t>재결정 사유</t>
        </is>
      </c>
    </row>
    <row r="5">
      <c r="A5" s="24" t="inlineStr">
        <is>
          <t>S01</t>
        </is>
      </c>
      <c r="B5" s="24" t="inlineStr">
        <is>
          <t>S01-M1</t>
        </is>
      </c>
      <c r="C5" s="24" t="inlineStr">
        <is>
          <t>태백 신규점</t>
        </is>
      </c>
      <c r="D5" s="24" t="inlineStr">
        <is>
          <t>방위표지1</t>
        </is>
      </c>
      <c r="E5" s="25" t="n">
        <v>37.02000693333333</v>
      </c>
      <c r="F5" s="25" t="n">
        <v>128.9839214583333</v>
      </c>
      <c r="G5" s="27" t="n"/>
      <c r="H5" s="32" t="inlineStr">
        <is>
          <t>기준점</t>
        </is>
      </c>
      <c r="I5" s="32" t="inlineStr">
        <is>
          <t>방위표지</t>
        </is>
      </c>
      <c r="J5" s="33" t="n"/>
      <c r="K5" s="33" t="n"/>
      <c r="L5" s="29">
        <f>IF(COUNT(J5:K5)=2,ABS(ABS(K5-J5)-200),"")</f>
        <v/>
      </c>
      <c r="M5" s="33" t="n"/>
      <c r="N5" s="29">
        <f>IF(N(M5)=0,"",M5*0.9)</f>
        <v/>
      </c>
      <c r="O5" s="29">
        <f>IF(N(M5)=0,"",MOD(M5*0.9+180,360))</f>
        <v/>
      </c>
      <c r="P5" s="27" t="n"/>
      <c r="Q5" s="28" t="n"/>
      <c r="R5" s="28" t="n"/>
      <c r="S5" s="34">
        <f>IF(OR(N(M5)=0,N(R5)=0),"",(M5*0.9-R5)*3600)</f>
        <v/>
      </c>
      <c r="T5" s="27" t="n"/>
    </row>
    <row r="6">
      <c r="A6" s="24" t="inlineStr">
        <is>
          <t>S01</t>
        </is>
      </c>
      <c r="B6" s="24" t="inlineStr">
        <is>
          <t>S01-M2</t>
        </is>
      </c>
      <c r="C6" s="24" t="inlineStr">
        <is>
          <t>태백 신규점</t>
        </is>
      </c>
      <c r="D6" s="24" t="inlineStr">
        <is>
          <t>방위표지2</t>
        </is>
      </c>
      <c r="E6" s="25" t="n">
        <v>37.02171640277778</v>
      </c>
      <c r="F6" s="25" t="n">
        <v>128.9834711361111</v>
      </c>
      <c r="G6" s="27" t="n"/>
      <c r="H6" s="32" t="inlineStr">
        <is>
          <t>기준점</t>
        </is>
      </c>
      <c r="I6" s="32" t="inlineStr">
        <is>
          <t>방위표지</t>
        </is>
      </c>
      <c r="J6" s="33" t="n"/>
      <c r="K6" s="33" t="n"/>
      <c r="L6" s="29">
        <f>IF(COUNT(J6:K6)=2,ABS(ABS(K6-J6)-200),"")</f>
        <v/>
      </c>
      <c r="M6" s="33" t="n"/>
      <c r="N6" s="29">
        <f>IF(N(M6)=0,"",M6*0.9)</f>
        <v/>
      </c>
      <c r="O6" s="29">
        <f>IF(N(M6)=0,"",MOD(M6*0.9+180,360))</f>
        <v/>
      </c>
      <c r="P6" s="27" t="n"/>
      <c r="Q6" s="28" t="n"/>
      <c r="R6" s="28" t="n"/>
      <c r="S6" s="34">
        <f>IF(OR(N(M6)=0,N(R6)=0),"",(M6*0.9-R6)*3600)</f>
        <v/>
      </c>
      <c r="T6" s="27" t="n"/>
    </row>
    <row r="7">
      <c r="A7" s="24" t="inlineStr">
        <is>
          <t>S02</t>
        </is>
      </c>
      <c r="B7" s="24" t="inlineStr">
        <is>
          <t>S02-M1</t>
        </is>
      </c>
      <c r="C7" s="24" t="inlineStr">
        <is>
          <t>임계 신규점1</t>
        </is>
      </c>
      <c r="D7" s="24" t="inlineStr">
        <is>
          <t>방위표지1</t>
        </is>
      </c>
      <c r="E7" s="25" t="n">
        <v>37.35869970833333</v>
      </c>
      <c r="F7" s="25" t="n">
        <v>128.9739014888889</v>
      </c>
      <c r="G7" s="27" t="n"/>
      <c r="H7" s="32" t="inlineStr">
        <is>
          <t>기준점</t>
        </is>
      </c>
      <c r="I7" s="32" t="inlineStr">
        <is>
          <t>방위표지</t>
        </is>
      </c>
      <c r="J7" s="33" t="n"/>
      <c r="K7" s="33" t="n"/>
      <c r="L7" s="29">
        <f>IF(COUNT(J7:K7)=2,ABS(ABS(K7-J7)-200),"")</f>
        <v/>
      </c>
      <c r="M7" s="33" t="n"/>
      <c r="N7" s="29">
        <f>IF(N(M7)=0,"",M7*0.9)</f>
        <v/>
      </c>
      <c r="O7" s="29">
        <f>IF(N(M7)=0,"",MOD(M7*0.9+180,360))</f>
        <v/>
      </c>
      <c r="P7" s="27" t="n"/>
      <c r="Q7" s="28" t="n"/>
      <c r="R7" s="28" t="n"/>
      <c r="S7" s="34">
        <f>IF(OR(N(M7)=0,N(R7)=0),"",(M7*0.9-R7)*3600)</f>
        <v/>
      </c>
      <c r="T7" s="27" t="n"/>
    </row>
    <row r="8">
      <c r="A8" s="24" t="inlineStr">
        <is>
          <t>S02</t>
        </is>
      </c>
      <c r="B8" s="24" t="inlineStr">
        <is>
          <t>S02-M2</t>
        </is>
      </c>
      <c r="C8" s="24" t="inlineStr">
        <is>
          <t>임계 신규점1</t>
        </is>
      </c>
      <c r="D8" s="24" t="inlineStr">
        <is>
          <t>방위표지2</t>
        </is>
      </c>
      <c r="E8" s="25" t="n">
        <v>37.35852910555555</v>
      </c>
      <c r="F8" s="25" t="n">
        <v>128.9747658583333</v>
      </c>
      <c r="G8" s="27" t="n"/>
      <c r="H8" s="32" t="inlineStr">
        <is>
          <t>기준점</t>
        </is>
      </c>
      <c r="I8" s="32" t="inlineStr">
        <is>
          <t>방위표지</t>
        </is>
      </c>
      <c r="J8" s="33" t="n"/>
      <c r="K8" s="33" t="n"/>
      <c r="L8" s="29">
        <f>IF(COUNT(J8:K8)=2,ABS(ABS(K8-J8)-200),"")</f>
        <v/>
      </c>
      <c r="M8" s="33" t="n"/>
      <c r="N8" s="29">
        <f>IF(N(M8)=0,"",M8*0.9)</f>
        <v/>
      </c>
      <c r="O8" s="29">
        <f>IF(N(M8)=0,"",MOD(M8*0.9+180,360))</f>
        <v/>
      </c>
      <c r="P8" s="27" t="n"/>
      <c r="Q8" s="28" t="n"/>
      <c r="R8" s="28" t="n"/>
      <c r="S8" s="34">
        <f>IF(OR(N(M8)=0,N(R8)=0),"",(M8*0.9-R8)*3600)</f>
        <v/>
      </c>
      <c r="T8" s="27" t="n"/>
    </row>
    <row r="9">
      <c r="A9" s="24" t="inlineStr">
        <is>
          <t>S03</t>
        </is>
      </c>
      <c r="B9" s="24" t="inlineStr">
        <is>
          <t>S03-M1</t>
        </is>
      </c>
      <c r="C9" s="24" t="inlineStr">
        <is>
          <t>예산 신규점2</t>
        </is>
      </c>
      <c r="D9" s="24" t="inlineStr">
        <is>
          <t>방위표지1</t>
        </is>
      </c>
      <c r="E9" s="25" t="n">
        <v>36.53409415277778</v>
      </c>
      <c r="F9" s="25" t="n">
        <v>126.9348136944444</v>
      </c>
      <c r="G9" s="27" t="n"/>
      <c r="H9" s="32" t="inlineStr">
        <is>
          <t>기준점</t>
        </is>
      </c>
      <c r="I9" s="32" t="inlineStr">
        <is>
          <t>방위표지</t>
        </is>
      </c>
      <c r="J9" s="33" t="n"/>
      <c r="K9" s="33" t="n"/>
      <c r="L9" s="29">
        <f>IF(COUNT(J9:K9)=2,ABS(ABS(K9-J9)-200),"")</f>
        <v/>
      </c>
      <c r="M9" s="33" t="n"/>
      <c r="N9" s="29">
        <f>IF(N(M9)=0,"",M9*0.9)</f>
        <v/>
      </c>
      <c r="O9" s="29">
        <f>IF(N(M9)=0,"",MOD(M9*0.9+180,360))</f>
        <v/>
      </c>
      <c r="P9" s="27" t="n"/>
      <c r="Q9" s="28" t="n"/>
      <c r="R9" s="28" t="n"/>
      <c r="S9" s="34">
        <f>IF(OR(N(M9)=0,N(R9)=0),"",(M9*0.9-R9)*3600)</f>
        <v/>
      </c>
      <c r="T9" s="27" t="n"/>
    </row>
    <row r="10">
      <c r="A10" s="24" t="inlineStr">
        <is>
          <t>S03</t>
        </is>
      </c>
      <c r="B10" s="24" t="inlineStr">
        <is>
          <t>S03-M2</t>
        </is>
      </c>
      <c r="C10" s="24" t="inlineStr">
        <is>
          <t>예산 신규점2</t>
        </is>
      </c>
      <c r="D10" s="24" t="inlineStr">
        <is>
          <t>방위표지2</t>
        </is>
      </c>
      <c r="E10" s="25" t="n">
        <v>36.53369888611111</v>
      </c>
      <c r="F10" s="25" t="n">
        <v>126.9379807166667</v>
      </c>
      <c r="G10" s="27" t="n"/>
      <c r="H10" s="32" t="inlineStr">
        <is>
          <t>기준점</t>
        </is>
      </c>
      <c r="I10" s="32" t="inlineStr">
        <is>
          <t>방위표지</t>
        </is>
      </c>
      <c r="J10" s="33" t="n"/>
      <c r="K10" s="33" t="n"/>
      <c r="L10" s="29">
        <f>IF(COUNT(J10:K10)=2,ABS(ABS(K10-J10)-200),"")</f>
        <v/>
      </c>
      <c r="M10" s="33" t="n"/>
      <c r="N10" s="29">
        <f>IF(N(M10)=0,"",M10*0.9)</f>
        <v/>
      </c>
      <c r="O10" s="29">
        <f>IF(N(M10)=0,"",MOD(M10*0.9+180,360))</f>
        <v/>
      </c>
      <c r="P10" s="27" t="n"/>
      <c r="Q10" s="28" t="n"/>
      <c r="R10" s="28" t="n"/>
      <c r="S10" s="34">
        <f>IF(OR(N(M10)=0,N(R10)=0),"",(M10*0.9-R10)*3600)</f>
        <v/>
      </c>
      <c r="T10" s="27" t="n"/>
    </row>
    <row r="11">
      <c r="A11" s="24" t="inlineStr">
        <is>
          <t>S04</t>
        </is>
      </c>
      <c r="B11" s="24" t="inlineStr">
        <is>
          <t>S04-M1</t>
        </is>
      </c>
      <c r="C11" s="24" t="inlineStr">
        <is>
          <t>진안 신규점1</t>
        </is>
      </c>
      <c r="D11" s="24" t="inlineStr">
        <is>
          <t>방위표지1</t>
        </is>
      </c>
      <c r="E11" s="25" t="n">
        <v>35.89187639722222</v>
      </c>
      <c r="F11" s="25" t="n">
        <v>127.3084895805556</v>
      </c>
      <c r="G11" s="27" t="n"/>
      <c r="H11" s="32" t="inlineStr">
        <is>
          <t>기준점</t>
        </is>
      </c>
      <c r="I11" s="32" t="inlineStr">
        <is>
          <t>방위표지</t>
        </is>
      </c>
      <c r="J11" s="33" t="n"/>
      <c r="K11" s="33" t="n"/>
      <c r="L11" s="29">
        <f>IF(COUNT(J11:K11)=2,ABS(ABS(K11-J11)-200),"")</f>
        <v/>
      </c>
      <c r="M11" s="33" t="n"/>
      <c r="N11" s="29">
        <f>IF(N(M11)=0,"",M11*0.9)</f>
        <v/>
      </c>
      <c r="O11" s="29">
        <f>IF(N(M11)=0,"",MOD(M11*0.9+180,360))</f>
        <v/>
      </c>
      <c r="P11" s="27" t="n"/>
      <c r="Q11" s="28" t="n"/>
      <c r="R11" s="28" t="n"/>
      <c r="S11" s="34">
        <f>IF(OR(N(M11)=0,N(R11)=0),"",(M11*0.9-R11)*3600)</f>
        <v/>
      </c>
      <c r="T11" s="27" t="n"/>
    </row>
    <row r="12">
      <c r="A12" s="24" t="inlineStr">
        <is>
          <t>S04</t>
        </is>
      </c>
      <c r="B12" s="24" t="inlineStr">
        <is>
          <t>S04-M2</t>
        </is>
      </c>
      <c r="C12" s="24" t="inlineStr">
        <is>
          <t>진안 신규점1</t>
        </is>
      </c>
      <c r="D12" s="24" t="inlineStr">
        <is>
          <t>방위표지2</t>
        </is>
      </c>
      <c r="E12" s="25" t="n">
        <v>35.89031036388889</v>
      </c>
      <c r="F12" s="25" t="n">
        <v>127.3087851305555</v>
      </c>
      <c r="G12" s="27" t="n"/>
      <c r="H12" s="32" t="inlineStr">
        <is>
          <t>기준점</t>
        </is>
      </c>
      <c r="I12" s="32" t="inlineStr">
        <is>
          <t>방위표지</t>
        </is>
      </c>
      <c r="J12" s="33" t="n"/>
      <c r="K12" s="33" t="n"/>
      <c r="L12" s="29">
        <f>IF(COUNT(J12:K12)=2,ABS(ABS(K12-J12)-200),"")</f>
        <v/>
      </c>
      <c r="M12" s="33" t="n"/>
      <c r="N12" s="29">
        <f>IF(N(M12)=0,"",M12*0.9)</f>
        <v/>
      </c>
      <c r="O12" s="29">
        <f>IF(N(M12)=0,"",MOD(M12*0.9+180,360))</f>
        <v/>
      </c>
      <c r="P12" s="27" t="n"/>
      <c r="Q12" s="28" t="n"/>
      <c r="R12" s="28" t="n"/>
      <c r="S12" s="34">
        <f>IF(OR(N(M12)=0,N(R12)=0),"",(M12*0.9-R12)*3600)</f>
        <v/>
      </c>
      <c r="T12" s="27" t="n"/>
    </row>
    <row r="13">
      <c r="A13" s="24" t="inlineStr">
        <is>
          <t>S05</t>
        </is>
      </c>
      <c r="B13" s="24" t="inlineStr">
        <is>
          <t>S05-M1</t>
        </is>
      </c>
      <c r="C13" s="24" t="inlineStr">
        <is>
          <t>무풍 신규점1</t>
        </is>
      </c>
      <c r="D13" s="24" t="inlineStr">
        <is>
          <t>방위표지1</t>
        </is>
      </c>
      <c r="E13" s="25" t="n">
        <v>35.94505332888888</v>
      </c>
      <c r="F13" s="25" t="n">
        <v>127.8005402961111</v>
      </c>
      <c r="G13" s="27" t="n"/>
      <c r="H13" s="32" t="inlineStr">
        <is>
          <t>기준점</t>
        </is>
      </c>
      <c r="I13" s="32" t="inlineStr">
        <is>
          <t>방위표지</t>
        </is>
      </c>
      <c r="J13" s="33" t="n"/>
      <c r="K13" s="33" t="n"/>
      <c r="L13" s="29">
        <f>IF(COUNT(J13:K13)=2,ABS(ABS(K13-J13)-200),"")</f>
        <v/>
      </c>
      <c r="M13" s="33" t="n"/>
      <c r="N13" s="29">
        <f>IF(N(M13)=0,"",M13*0.9)</f>
        <v/>
      </c>
      <c r="O13" s="29">
        <f>IF(N(M13)=0,"",MOD(M13*0.9+180,360))</f>
        <v/>
      </c>
      <c r="P13" s="27" t="n"/>
      <c r="Q13" s="28" t="n"/>
      <c r="R13" s="28" t="n"/>
      <c r="S13" s="34">
        <f>IF(OR(N(M13)=0,N(R13)=0),"",(M13*0.9-R13)*3600)</f>
        <v/>
      </c>
      <c r="T13" s="27" t="n"/>
    </row>
    <row r="14">
      <c r="A14" s="24" t="inlineStr">
        <is>
          <t>S05</t>
        </is>
      </c>
      <c r="B14" s="24" t="inlineStr">
        <is>
          <t>S05-M2</t>
        </is>
      </c>
      <c r="C14" s="24" t="inlineStr">
        <is>
          <t>무풍 신규점1</t>
        </is>
      </c>
      <c r="D14" s="24" t="inlineStr">
        <is>
          <t>방위표지2</t>
        </is>
      </c>
      <c r="E14" s="25" t="n">
        <v>35.94630698</v>
      </c>
      <c r="F14" s="25" t="n">
        <v>127.8024070330556</v>
      </c>
      <c r="G14" s="27" t="n"/>
      <c r="H14" s="32" t="inlineStr">
        <is>
          <t>기준점</t>
        </is>
      </c>
      <c r="I14" s="32" t="inlineStr">
        <is>
          <t>방위표지</t>
        </is>
      </c>
      <c r="J14" s="33" t="n"/>
      <c r="K14" s="33" t="n"/>
      <c r="L14" s="29">
        <f>IF(COUNT(J14:K14)=2,ABS(ABS(K14-J14)-200),"")</f>
        <v/>
      </c>
      <c r="M14" s="33" t="n"/>
      <c r="N14" s="29">
        <f>IF(N(M14)=0,"",M14*0.9)</f>
        <v/>
      </c>
      <c r="O14" s="29">
        <f>IF(N(M14)=0,"",MOD(M14*0.9+180,360))</f>
        <v/>
      </c>
      <c r="P14" s="27" t="n"/>
      <c r="Q14" s="28" t="n"/>
      <c r="R14" s="28" t="n"/>
      <c r="S14" s="34">
        <f>IF(OR(N(M14)=0,N(R14)=0),"",(M14*0.9-R14)*3600)</f>
        <v/>
      </c>
      <c r="T14" s="27" t="n"/>
    </row>
    <row r="15">
      <c r="A15" s="24" t="inlineStr">
        <is>
          <t>S06</t>
        </is>
      </c>
      <c r="B15" s="24" t="inlineStr">
        <is>
          <t>S06-M1</t>
        </is>
      </c>
      <c r="C15" s="24" t="inlineStr">
        <is>
          <t>길담 신규점</t>
        </is>
      </c>
      <c r="D15" s="24" t="inlineStr">
        <is>
          <t>방위표지1</t>
        </is>
      </c>
      <c r="E15" s="25" t="n">
        <v>35.60522805</v>
      </c>
      <c r="F15" s="25" t="n">
        <v>127.2301382</v>
      </c>
      <c r="G15" s="27" t="n"/>
      <c r="H15" s="32" t="inlineStr">
        <is>
          <t>기준점</t>
        </is>
      </c>
      <c r="I15" s="32" t="inlineStr">
        <is>
          <t>방위표지</t>
        </is>
      </c>
      <c r="J15" s="33" t="n"/>
      <c r="K15" s="33" t="n"/>
      <c r="L15" s="29">
        <f>IF(COUNT(J15:K15)=2,ABS(ABS(K15-J15)-200),"")</f>
        <v/>
      </c>
      <c r="M15" s="33" t="n"/>
      <c r="N15" s="29">
        <f>IF(N(M15)=0,"",M15*0.9)</f>
        <v/>
      </c>
      <c r="O15" s="29">
        <f>IF(N(M15)=0,"",MOD(M15*0.9+180,360))</f>
        <v/>
      </c>
      <c r="P15" s="27" t="n"/>
      <c r="Q15" s="28" t="n"/>
      <c r="R15" s="28" t="n"/>
      <c r="S15" s="34">
        <f>IF(OR(N(M15)=0,N(R15)=0),"",(M15*0.9-R15)*3600)</f>
        <v/>
      </c>
      <c r="T15" s="27" t="n"/>
    </row>
    <row r="16">
      <c r="A16" s="24" t="inlineStr">
        <is>
          <t>S06</t>
        </is>
      </c>
      <c r="B16" s="24" t="inlineStr">
        <is>
          <t>S06-M2</t>
        </is>
      </c>
      <c r="C16" s="24" t="inlineStr">
        <is>
          <t>길담 신규점</t>
        </is>
      </c>
      <c r="D16" s="24" t="inlineStr">
        <is>
          <t>방위표지2</t>
        </is>
      </c>
      <c r="E16" s="25" t="n">
        <v>35.60412521944445</v>
      </c>
      <c r="F16" s="25" t="n">
        <v>127.2301907</v>
      </c>
      <c r="G16" s="27" t="n"/>
      <c r="H16" s="32" t="inlineStr">
        <is>
          <t>기준점</t>
        </is>
      </c>
      <c r="I16" s="32" t="inlineStr">
        <is>
          <t>방위표지</t>
        </is>
      </c>
      <c r="J16" s="33" t="n"/>
      <c r="K16" s="33" t="n"/>
      <c r="L16" s="29">
        <f>IF(COUNT(J16:K16)=2,ABS(ABS(K16-J16)-200),"")</f>
        <v/>
      </c>
      <c r="M16" s="33" t="n"/>
      <c r="N16" s="29">
        <f>IF(N(M16)=0,"",M16*0.9)</f>
        <v/>
      </c>
      <c r="O16" s="29">
        <f>IF(N(M16)=0,"",MOD(M16*0.9+180,360))</f>
        <v/>
      </c>
      <c r="P16" s="27" t="n"/>
      <c r="Q16" s="28" t="n"/>
      <c r="R16" s="28" t="n"/>
      <c r="S16" s="34">
        <f>IF(OR(N(M16)=0,N(R16)=0),"",(M16*0.9-R16)*3600)</f>
        <v/>
      </c>
      <c r="T16" s="27" t="n"/>
    </row>
    <row r="17">
      <c r="A17" s="24" t="inlineStr">
        <is>
          <t>S07</t>
        </is>
      </c>
      <c r="B17" s="24" t="inlineStr">
        <is>
          <t>S07-M1</t>
        </is>
      </c>
      <c r="C17" s="24" t="inlineStr">
        <is>
          <t>남해 신규점1</t>
        </is>
      </c>
      <c r="D17" s="24" t="inlineStr">
        <is>
          <t>방위표지1</t>
        </is>
      </c>
      <c r="E17" s="25" t="n">
        <v>34.85201180833334</v>
      </c>
      <c r="F17" s="25" t="n">
        <v>127.9821716472222</v>
      </c>
      <c r="G17" s="27" t="n"/>
      <c r="H17" s="32" t="inlineStr">
        <is>
          <t>기준점</t>
        </is>
      </c>
      <c r="I17" s="32" t="inlineStr">
        <is>
          <t>방위표지</t>
        </is>
      </c>
      <c r="J17" s="33" t="n"/>
      <c r="K17" s="33" t="n"/>
      <c r="L17" s="29">
        <f>IF(COUNT(J17:K17)=2,ABS(ABS(K17-J17)-200),"")</f>
        <v/>
      </c>
      <c r="M17" s="33" t="n"/>
      <c r="N17" s="29">
        <f>IF(N(M17)=0,"",M17*0.9)</f>
        <v/>
      </c>
      <c r="O17" s="29">
        <f>IF(N(M17)=0,"",MOD(M17*0.9+180,360))</f>
        <v/>
      </c>
      <c r="P17" s="27" t="n"/>
      <c r="Q17" s="28" t="n"/>
      <c r="R17" s="28" t="n"/>
      <c r="S17" s="34">
        <f>IF(OR(N(M17)=0,N(R17)=0),"",(M17*0.9-R17)*3600)</f>
        <v/>
      </c>
      <c r="T17" s="27" t="n"/>
    </row>
    <row r="18">
      <c r="A18" s="24" t="inlineStr">
        <is>
          <t>S07</t>
        </is>
      </c>
      <c r="B18" s="24" t="inlineStr">
        <is>
          <t>S07-M2</t>
        </is>
      </c>
      <c r="C18" s="24" t="inlineStr">
        <is>
          <t>남해 신규점1</t>
        </is>
      </c>
      <c r="D18" s="24" t="inlineStr">
        <is>
          <t>방위표지2</t>
        </is>
      </c>
      <c r="E18" s="25" t="n">
        <v>34.851693275</v>
      </c>
      <c r="F18" s="25" t="n">
        <v>127.9813727194445</v>
      </c>
      <c r="G18" s="27" t="n"/>
      <c r="H18" s="32" t="inlineStr">
        <is>
          <t>기준점</t>
        </is>
      </c>
      <c r="I18" s="32" t="inlineStr">
        <is>
          <t>방위표지</t>
        </is>
      </c>
      <c r="J18" s="33" t="n"/>
      <c r="K18" s="33" t="n"/>
      <c r="L18" s="29">
        <f>IF(COUNT(J18:K18)=2,ABS(ABS(K18-J18)-200),"")</f>
        <v/>
      </c>
      <c r="M18" s="33" t="n"/>
      <c r="N18" s="29">
        <f>IF(N(M18)=0,"",M18*0.9)</f>
        <v/>
      </c>
      <c r="O18" s="29">
        <f>IF(N(M18)=0,"",MOD(M18*0.9+180,360))</f>
        <v/>
      </c>
      <c r="P18" s="27" t="n"/>
      <c r="Q18" s="28" t="n"/>
      <c r="R18" s="28" t="n"/>
      <c r="S18" s="34">
        <f>IF(OR(N(M18)=0,N(R18)=0),"",(M18*0.9-R18)*3600)</f>
        <v/>
      </c>
      <c r="T18" s="27" t="n"/>
    </row>
    <row r="19">
      <c r="A19" s="24" t="inlineStr">
        <is>
          <t>S08</t>
        </is>
      </c>
      <c r="B19" s="24" t="inlineStr">
        <is>
          <t>S08-M1</t>
        </is>
      </c>
      <c r="C19" s="24" t="inlineStr">
        <is>
          <t>청일 신규점2</t>
        </is>
      </c>
      <c r="D19" s="24" t="inlineStr">
        <is>
          <t>방위표지1</t>
        </is>
      </c>
      <c r="E19" s="25" t="n">
        <v>37.61797608333333</v>
      </c>
      <c r="F19" s="25" t="n">
        <v>128.1697351388889</v>
      </c>
      <c r="G19" s="27" t="n"/>
      <c r="H19" s="32" t="inlineStr">
        <is>
          <t>기준점</t>
        </is>
      </c>
      <c r="I19" s="32" t="inlineStr">
        <is>
          <t>방위표지</t>
        </is>
      </c>
      <c r="J19" s="33" t="n"/>
      <c r="K19" s="33" t="n"/>
      <c r="L19" s="29">
        <f>IF(COUNT(J19:K19)=2,ABS(ABS(K19-J19)-200),"")</f>
        <v/>
      </c>
      <c r="M19" s="33" t="n"/>
      <c r="N19" s="29">
        <f>IF(N(M19)=0,"",M19*0.9)</f>
        <v/>
      </c>
      <c r="O19" s="29">
        <f>IF(N(M19)=0,"",MOD(M19*0.9+180,360))</f>
        <v/>
      </c>
      <c r="P19" s="27" t="n"/>
      <c r="Q19" s="28" t="n"/>
      <c r="R19" s="28" t="n"/>
      <c r="S19" s="34">
        <f>IF(OR(N(M19)=0,N(R19)=0),"",(M19*0.9-R19)*3600)</f>
        <v/>
      </c>
      <c r="T19" s="27" t="n"/>
    </row>
    <row r="20">
      <c r="A20" s="24" t="inlineStr">
        <is>
          <t>S08</t>
        </is>
      </c>
      <c r="B20" s="24" t="inlineStr">
        <is>
          <t>S08-M2</t>
        </is>
      </c>
      <c r="C20" s="24" t="inlineStr">
        <is>
          <t>청일 신규점2</t>
        </is>
      </c>
      <c r="D20" s="24" t="inlineStr">
        <is>
          <t>방위표지2</t>
        </is>
      </c>
      <c r="E20" s="25" t="n">
        <v>37.61877277777778</v>
      </c>
      <c r="F20" s="25" t="n">
        <v>128.1701220833333</v>
      </c>
      <c r="G20" s="27" t="n"/>
      <c r="H20" s="32" t="inlineStr">
        <is>
          <t>기준점</t>
        </is>
      </c>
      <c r="I20" s="32" t="inlineStr">
        <is>
          <t>방위표지</t>
        </is>
      </c>
      <c r="J20" s="33" t="n"/>
      <c r="K20" s="33" t="n"/>
      <c r="L20" s="29">
        <f>IF(COUNT(J20:K20)=2,ABS(ABS(K20-J20)-200),"")</f>
        <v/>
      </c>
      <c r="M20" s="33" t="n"/>
      <c r="N20" s="29">
        <f>IF(N(M20)=0,"",M20*0.9)</f>
        <v/>
      </c>
      <c r="O20" s="29">
        <f>IF(N(M20)=0,"",MOD(M20*0.9+180,360))</f>
        <v/>
      </c>
      <c r="P20" s="27" t="n"/>
      <c r="Q20" s="28" t="n"/>
      <c r="R20" s="28" t="n"/>
      <c r="S20" s="34">
        <f>IF(OR(N(M20)=0,N(R20)=0),"",(M20*0.9-R20)*3600)</f>
        <v/>
      </c>
      <c r="T20" s="27" t="n"/>
    </row>
    <row r="21">
      <c r="A21" s="24" t="inlineStr">
        <is>
          <t>S09</t>
        </is>
      </c>
      <c r="B21" s="24" t="inlineStr">
        <is>
          <t>S09-M1</t>
        </is>
      </c>
      <c r="C21" s="24" t="inlineStr">
        <is>
          <t>어론 신규점</t>
        </is>
      </c>
      <c r="D21" s="24" t="inlineStr">
        <is>
          <t>방위표지1</t>
        </is>
      </c>
      <c r="E21" s="25" t="n">
        <v>37.77636436111111</v>
      </c>
      <c r="F21" s="25" t="n">
        <v>128.0754613833333</v>
      </c>
      <c r="G21" s="27" t="n"/>
      <c r="H21" s="32" t="inlineStr">
        <is>
          <t>기준점</t>
        </is>
      </c>
      <c r="I21" s="32" t="inlineStr">
        <is>
          <t>방위표지</t>
        </is>
      </c>
      <c r="J21" s="33" t="n"/>
      <c r="K21" s="33" t="n"/>
      <c r="L21" s="29">
        <f>IF(COUNT(J21:K21)=2,ABS(ABS(K21-J21)-200),"")</f>
        <v/>
      </c>
      <c r="M21" s="33" t="n"/>
      <c r="N21" s="29">
        <f>IF(N(M21)=0,"",M21*0.9)</f>
        <v/>
      </c>
      <c r="O21" s="29">
        <f>IF(N(M21)=0,"",MOD(M21*0.9+180,360))</f>
        <v/>
      </c>
      <c r="P21" s="27" t="n"/>
      <c r="Q21" s="28" t="n"/>
      <c r="R21" s="28" t="n"/>
      <c r="S21" s="34">
        <f>IF(OR(N(M21)=0,N(R21)=0),"",(M21*0.9-R21)*3600)</f>
        <v/>
      </c>
      <c r="T21" s="27" t="n"/>
    </row>
    <row r="22">
      <c r="A22" s="24" t="inlineStr">
        <is>
          <t>S09</t>
        </is>
      </c>
      <c r="B22" s="24" t="inlineStr">
        <is>
          <t>S09-M2</t>
        </is>
      </c>
      <c r="C22" s="24" t="inlineStr">
        <is>
          <t>어론 신규점</t>
        </is>
      </c>
      <c r="D22" s="24" t="inlineStr">
        <is>
          <t>방위표지2</t>
        </is>
      </c>
      <c r="E22" s="25" t="n">
        <v>37.77592578888889</v>
      </c>
      <c r="F22" s="25" t="n">
        <v>128.0757999888889</v>
      </c>
      <c r="G22" s="27" t="n"/>
      <c r="H22" s="32" t="inlineStr">
        <is>
          <t>기준점</t>
        </is>
      </c>
      <c r="I22" s="32" t="inlineStr">
        <is>
          <t>방위표지</t>
        </is>
      </c>
      <c r="J22" s="33" t="n"/>
      <c r="K22" s="33" t="n"/>
      <c r="L22" s="29">
        <f>IF(COUNT(J22:K22)=2,ABS(ABS(K22-J22)-200),"")</f>
        <v/>
      </c>
      <c r="M22" s="33" t="n"/>
      <c r="N22" s="29">
        <f>IF(N(M22)=0,"",M22*0.9)</f>
        <v/>
      </c>
      <c r="O22" s="29">
        <f>IF(N(M22)=0,"",MOD(M22*0.9+180,360))</f>
        <v/>
      </c>
      <c r="P22" s="27" t="n"/>
      <c r="Q22" s="28" t="n"/>
      <c r="R22" s="28" t="n"/>
      <c r="S22" s="34">
        <f>IF(OR(N(M22)=0,N(R22)=0),"",(M22*0.9-R22)*3600)</f>
        <v/>
      </c>
      <c r="T22" s="27" t="n"/>
    </row>
    <row r="23">
      <c r="A23" s="24" t="inlineStr">
        <is>
          <t>S10</t>
        </is>
      </c>
      <c r="B23" s="24" t="inlineStr">
        <is>
          <t>S10-M1</t>
        </is>
      </c>
      <c r="C23" s="24" t="inlineStr">
        <is>
          <t>예안 신규점1</t>
        </is>
      </c>
      <c r="D23" s="24" t="inlineStr">
        <is>
          <t>방위표지1</t>
        </is>
      </c>
      <c r="E23" s="25" t="n">
        <v>36.74535440277778</v>
      </c>
      <c r="F23" s="25" t="n">
        <v>128.8535571722222</v>
      </c>
      <c r="G23" s="27" t="n"/>
      <c r="H23" s="32" t="inlineStr">
        <is>
          <t>기준점</t>
        </is>
      </c>
      <c r="I23" s="32" t="inlineStr">
        <is>
          <t>방위표지</t>
        </is>
      </c>
      <c r="J23" s="33" t="n"/>
      <c r="K23" s="33" t="n"/>
      <c r="L23" s="29">
        <f>IF(COUNT(J23:K23)=2,ABS(ABS(K23-J23)-200),"")</f>
        <v/>
      </c>
      <c r="M23" s="33" t="n"/>
      <c r="N23" s="29">
        <f>IF(N(M23)=0,"",M23*0.9)</f>
        <v/>
      </c>
      <c r="O23" s="29">
        <f>IF(N(M23)=0,"",MOD(M23*0.9+180,360))</f>
        <v/>
      </c>
      <c r="P23" s="27" t="n"/>
      <c r="Q23" s="28" t="n"/>
      <c r="R23" s="28" t="n"/>
      <c r="S23" s="34">
        <f>IF(OR(N(M23)=0,N(R23)=0),"",(M23*0.9-R23)*3600)</f>
        <v/>
      </c>
      <c r="T23" s="27" t="n"/>
    </row>
    <row r="24">
      <c r="A24" s="24" t="inlineStr">
        <is>
          <t>S10</t>
        </is>
      </c>
      <c r="B24" s="24" t="inlineStr">
        <is>
          <t>S10-M2</t>
        </is>
      </c>
      <c r="C24" s="24" t="inlineStr">
        <is>
          <t>예안 신규점1</t>
        </is>
      </c>
      <c r="D24" s="24" t="inlineStr">
        <is>
          <t>방위표지2</t>
        </is>
      </c>
      <c r="E24" s="25" t="n">
        <v>36.74491753888889</v>
      </c>
      <c r="F24" s="25" t="n">
        <v>128.8532282277778</v>
      </c>
      <c r="G24" s="27" t="n"/>
      <c r="H24" s="32" t="inlineStr">
        <is>
          <t>기준점</t>
        </is>
      </c>
      <c r="I24" s="32" t="inlineStr">
        <is>
          <t>방위표지</t>
        </is>
      </c>
      <c r="J24" s="33" t="n"/>
      <c r="K24" s="33" t="n"/>
      <c r="L24" s="29">
        <f>IF(COUNT(J24:K24)=2,ABS(ABS(K24-J24)-200),"")</f>
        <v/>
      </c>
      <c r="M24" s="33" t="n"/>
      <c r="N24" s="29">
        <f>IF(N(M24)=0,"",M24*0.9)</f>
        <v/>
      </c>
      <c r="O24" s="29">
        <f>IF(N(M24)=0,"",MOD(M24*0.9+180,360))</f>
        <v/>
      </c>
      <c r="P24" s="27" t="n"/>
      <c r="Q24" s="28" t="n"/>
      <c r="R24" s="28" t="n"/>
      <c r="S24" s="34">
        <f>IF(OR(N(M24)=0,N(R24)=0),"",(M24*0.9-R24)*3600)</f>
        <v/>
      </c>
      <c r="T24" s="27" t="n"/>
    </row>
    <row r="25">
      <c r="A25" s="24" t="inlineStr">
        <is>
          <t>S11</t>
        </is>
      </c>
      <c r="B25" s="24" t="inlineStr">
        <is>
          <t>S11-M1</t>
        </is>
      </c>
      <c r="C25" s="24" t="inlineStr">
        <is>
          <t>소천 신규점4</t>
        </is>
      </c>
      <c r="D25" s="24" t="inlineStr">
        <is>
          <t>방위표지1</t>
        </is>
      </c>
      <c r="E25" s="25" t="n">
        <v>36.76564758611111</v>
      </c>
      <c r="F25" s="25" t="n">
        <v>129.1538573666667</v>
      </c>
      <c r="G25" s="27" t="n"/>
      <c r="H25" s="32" t="inlineStr">
        <is>
          <t>기준점</t>
        </is>
      </c>
      <c r="I25" s="32" t="inlineStr">
        <is>
          <t>방위표지</t>
        </is>
      </c>
      <c r="J25" s="33" t="n"/>
      <c r="K25" s="33" t="n"/>
      <c r="L25" s="29">
        <f>IF(COUNT(J25:K25)=2,ABS(ABS(K25-J25)-200),"")</f>
        <v/>
      </c>
      <c r="M25" s="33" t="n"/>
      <c r="N25" s="29">
        <f>IF(N(M25)=0,"",M25*0.9)</f>
        <v/>
      </c>
      <c r="O25" s="29">
        <f>IF(N(M25)=0,"",MOD(M25*0.9+180,360))</f>
        <v/>
      </c>
      <c r="P25" s="27" t="n"/>
      <c r="Q25" s="28" t="n"/>
      <c r="R25" s="28" t="n"/>
      <c r="S25" s="34">
        <f>IF(OR(N(M25)=0,N(R25)=0),"",(M25*0.9-R25)*3600)</f>
        <v/>
      </c>
      <c r="T25" s="27" t="n"/>
    </row>
    <row r="26">
      <c r="A26" s="24" t="inlineStr">
        <is>
          <t>S11</t>
        </is>
      </c>
      <c r="B26" s="24" t="inlineStr">
        <is>
          <t>S11-M2</t>
        </is>
      </c>
      <c r="C26" s="24" t="inlineStr">
        <is>
          <t>소천 신규점4</t>
        </is>
      </c>
      <c r="D26" s="24" t="inlineStr">
        <is>
          <t>방위표지2</t>
        </is>
      </c>
      <c r="E26" s="25" t="n">
        <v>36.76601024444444</v>
      </c>
      <c r="F26" s="25" t="n">
        <v>129.15444195</v>
      </c>
      <c r="G26" s="27" t="n"/>
      <c r="H26" s="32" t="inlineStr">
        <is>
          <t>기준점</t>
        </is>
      </c>
      <c r="I26" s="32" t="inlineStr">
        <is>
          <t>방위표지</t>
        </is>
      </c>
      <c r="J26" s="33" t="n"/>
      <c r="K26" s="33" t="n"/>
      <c r="L26" s="29">
        <f>IF(COUNT(J26:K26)=2,ABS(ABS(K26-J26)-200),"")</f>
        <v/>
      </c>
      <c r="M26" s="33" t="n"/>
      <c r="N26" s="29">
        <f>IF(N(M26)=0,"",M26*0.9)</f>
        <v/>
      </c>
      <c r="O26" s="29">
        <f>IF(N(M26)=0,"",MOD(M26*0.9+180,360))</f>
        <v/>
      </c>
      <c r="P26" s="27" t="n"/>
      <c r="Q26" s="28" t="n"/>
      <c r="R26" s="28" t="n"/>
      <c r="S26" s="34">
        <f>IF(OR(N(M26)=0,N(R26)=0),"",(M26*0.9-R26)*3600)</f>
        <v/>
      </c>
      <c r="T26" s="27" t="n"/>
    </row>
    <row r="27">
      <c r="A27" s="24" t="inlineStr">
        <is>
          <t>S12</t>
        </is>
      </c>
      <c r="B27" s="24" t="inlineStr">
        <is>
          <t>S12-M1</t>
        </is>
      </c>
      <c r="C27" s="24" t="inlineStr">
        <is>
          <t>순창 신규점</t>
        </is>
      </c>
      <c r="D27" s="24" t="inlineStr">
        <is>
          <t>방위표지1</t>
        </is>
      </c>
      <c r="E27" s="25" t="n">
        <v>35.28499025555556</v>
      </c>
      <c r="F27" s="25" t="n">
        <v>127.0942923083333</v>
      </c>
      <c r="G27" s="27" t="n"/>
      <c r="H27" s="32" t="inlineStr">
        <is>
          <t>기준점</t>
        </is>
      </c>
      <c r="I27" s="32" t="inlineStr">
        <is>
          <t>방위표지</t>
        </is>
      </c>
      <c r="J27" s="33" t="n"/>
      <c r="K27" s="33" t="n"/>
      <c r="L27" s="29">
        <f>IF(COUNT(J27:K27)=2,ABS(ABS(K27-J27)-200),"")</f>
        <v/>
      </c>
      <c r="M27" s="33" t="n"/>
      <c r="N27" s="29">
        <f>IF(N(M27)=0,"",M27*0.9)</f>
        <v/>
      </c>
      <c r="O27" s="29">
        <f>IF(N(M27)=0,"",MOD(M27*0.9+180,360))</f>
        <v/>
      </c>
      <c r="P27" s="27" t="n"/>
      <c r="Q27" s="28" t="n"/>
      <c r="R27" s="28" t="n"/>
      <c r="S27" s="34">
        <f>IF(OR(N(M27)=0,N(R27)=0),"",(M27*0.9-R27)*3600)</f>
        <v/>
      </c>
      <c r="T27" s="27" t="n"/>
    </row>
    <row r="28">
      <c r="A28" s="24" t="inlineStr">
        <is>
          <t>S12</t>
        </is>
      </c>
      <c r="B28" s="24" t="inlineStr">
        <is>
          <t>S12-M2</t>
        </is>
      </c>
      <c r="C28" s="24" t="inlineStr">
        <is>
          <t>순창 신규점</t>
        </is>
      </c>
      <c r="D28" s="24" t="inlineStr">
        <is>
          <t>방위표지2</t>
        </is>
      </c>
      <c r="E28" s="25" t="n">
        <v>35.28498230555555</v>
      </c>
      <c r="F28" s="25" t="n">
        <v>127.0952196972222</v>
      </c>
      <c r="G28" s="27" t="n"/>
      <c r="H28" s="32" t="inlineStr">
        <is>
          <t>기준점</t>
        </is>
      </c>
      <c r="I28" s="32" t="inlineStr">
        <is>
          <t>방위표지</t>
        </is>
      </c>
      <c r="J28" s="33" t="n"/>
      <c r="K28" s="33" t="n"/>
      <c r="L28" s="29">
        <f>IF(COUNT(J28:K28)=2,ABS(ABS(K28-J28)-200),"")</f>
        <v/>
      </c>
      <c r="M28" s="33" t="n"/>
      <c r="N28" s="29">
        <f>IF(N(M28)=0,"",M28*0.9)</f>
        <v/>
      </c>
      <c r="O28" s="29">
        <f>IF(N(M28)=0,"",MOD(M28*0.9+180,360))</f>
        <v/>
      </c>
      <c r="P28" s="27" t="n"/>
      <c r="Q28" s="28" t="n"/>
      <c r="R28" s="28" t="n"/>
      <c r="S28" s="34">
        <f>IF(OR(N(M28)=0,N(R28)=0),"",(M28*0.9-R28)*3600)</f>
        <v/>
      </c>
      <c r="T28" s="27" t="n"/>
    </row>
    <row r="29">
      <c r="A29" s="24" t="inlineStr">
        <is>
          <t>S13</t>
        </is>
      </c>
      <c r="B29" s="24" t="inlineStr">
        <is>
          <t>S13-M1</t>
        </is>
      </c>
      <c r="C29" s="24" t="inlineStr">
        <is>
          <t>순천 신규점</t>
        </is>
      </c>
      <c r="D29" s="24" t="inlineStr">
        <is>
          <t>방위표지1</t>
        </is>
      </c>
      <c r="E29" s="25" t="n">
        <v>34.90458620277778</v>
      </c>
      <c r="F29" s="25" t="n">
        <v>127.2947059805555</v>
      </c>
      <c r="G29" s="27" t="n"/>
      <c r="H29" s="32" t="inlineStr">
        <is>
          <t>기준점</t>
        </is>
      </c>
      <c r="I29" s="32" t="inlineStr">
        <is>
          <t>방위표지</t>
        </is>
      </c>
      <c r="J29" s="33" t="n"/>
      <c r="K29" s="33" t="n"/>
      <c r="L29" s="29">
        <f>IF(COUNT(J29:K29)=2,ABS(ABS(K29-J29)-200),"")</f>
        <v/>
      </c>
      <c r="M29" s="33" t="n"/>
      <c r="N29" s="29">
        <f>IF(N(M29)=0,"",M29*0.9)</f>
        <v/>
      </c>
      <c r="O29" s="29">
        <f>IF(N(M29)=0,"",MOD(M29*0.9+180,360))</f>
        <v/>
      </c>
      <c r="P29" s="27" t="n"/>
      <c r="Q29" s="28" t="n"/>
      <c r="R29" s="28" t="n"/>
      <c r="S29" s="34">
        <f>IF(OR(N(M29)=0,N(R29)=0),"",(M29*0.9-R29)*3600)</f>
        <v/>
      </c>
      <c r="T29" s="27" t="n"/>
    </row>
    <row r="30">
      <c r="A30" s="24" t="inlineStr">
        <is>
          <t>S13</t>
        </is>
      </c>
      <c r="B30" s="24" t="inlineStr">
        <is>
          <t>S13-M2</t>
        </is>
      </c>
      <c r="C30" s="24" t="inlineStr">
        <is>
          <t>순천 신규점</t>
        </is>
      </c>
      <c r="D30" s="24" t="inlineStr">
        <is>
          <t>방위표지2</t>
        </is>
      </c>
      <c r="E30" s="25" t="n">
        <v>34.90464454722222</v>
      </c>
      <c r="F30" s="25" t="n">
        <v>127.2944240916667</v>
      </c>
      <c r="G30" s="27" t="n"/>
      <c r="H30" s="32" t="inlineStr">
        <is>
          <t>기준점</t>
        </is>
      </c>
      <c r="I30" s="32" t="inlineStr">
        <is>
          <t>방위표지</t>
        </is>
      </c>
      <c r="J30" s="33" t="n"/>
      <c r="K30" s="33" t="n"/>
      <c r="L30" s="29">
        <f>IF(COUNT(J30:K30)=2,ABS(ABS(K30-J30)-200),"")</f>
        <v/>
      </c>
      <c r="M30" s="33" t="n"/>
      <c r="N30" s="29">
        <f>IF(N(M30)=0,"",M30*0.9)</f>
        <v/>
      </c>
      <c r="O30" s="29">
        <f>IF(N(M30)=0,"",MOD(M30*0.9+180,360))</f>
        <v/>
      </c>
      <c r="P30" s="27" t="n"/>
      <c r="Q30" s="28" t="n"/>
      <c r="R30" s="28" t="n"/>
      <c r="S30" s="34">
        <f>IF(OR(N(M30)=0,N(R30)=0),"",(M30*0.9-R30)*3600)</f>
        <v/>
      </c>
      <c r="T30" s="27" t="n"/>
    </row>
    <row r="31">
      <c r="A31" s="24" t="inlineStr">
        <is>
          <t>S14</t>
        </is>
      </c>
      <c r="B31" s="24" t="inlineStr">
        <is>
          <t>S14-M1</t>
        </is>
      </c>
      <c r="C31" s="24" t="inlineStr">
        <is>
          <t>청송 신규점1</t>
        </is>
      </c>
      <c r="D31" s="24" t="inlineStr">
        <is>
          <t>방위표지1</t>
        </is>
      </c>
      <c r="E31" s="25" t="n">
        <v>36.38259309444445</v>
      </c>
      <c r="F31" s="25" t="n">
        <v>129.1462726638889</v>
      </c>
      <c r="G31" s="27" t="n"/>
      <c r="H31" s="32" t="inlineStr">
        <is>
          <t>기준점</t>
        </is>
      </c>
      <c r="I31" s="32" t="inlineStr">
        <is>
          <t>방위표지</t>
        </is>
      </c>
      <c r="J31" s="33" t="n"/>
      <c r="K31" s="33" t="n"/>
      <c r="L31" s="29">
        <f>IF(COUNT(J31:K31)=2,ABS(ABS(K31-J31)-200),"")</f>
        <v/>
      </c>
      <c r="M31" s="33" t="n"/>
      <c r="N31" s="29">
        <f>IF(N(M31)=0,"",M31*0.9)</f>
        <v/>
      </c>
      <c r="O31" s="29">
        <f>IF(N(M31)=0,"",MOD(M31*0.9+180,360))</f>
        <v/>
      </c>
      <c r="P31" s="27" t="n"/>
      <c r="Q31" s="28" t="n"/>
      <c r="R31" s="28" t="n"/>
      <c r="S31" s="34">
        <f>IF(OR(N(M31)=0,N(R31)=0),"",(M31*0.9-R31)*3600)</f>
        <v/>
      </c>
      <c r="T31" s="27" t="n"/>
    </row>
    <row r="32">
      <c r="A32" s="24" t="inlineStr">
        <is>
          <t>S14</t>
        </is>
      </c>
      <c r="B32" s="24" t="inlineStr">
        <is>
          <t>S14-M2</t>
        </is>
      </c>
      <c r="C32" s="24" t="inlineStr">
        <is>
          <t>청송 신규점1</t>
        </is>
      </c>
      <c r="D32" s="24" t="inlineStr">
        <is>
          <t>방위표지2</t>
        </is>
      </c>
      <c r="E32" s="25" t="n">
        <v>36.38278041111111</v>
      </c>
      <c r="F32" s="25" t="n">
        <v>129.1454675861111</v>
      </c>
      <c r="G32" s="27" t="n"/>
      <c r="H32" s="32" t="inlineStr">
        <is>
          <t>기준점</t>
        </is>
      </c>
      <c r="I32" s="32" t="inlineStr">
        <is>
          <t>방위표지</t>
        </is>
      </c>
      <c r="J32" s="33" t="n"/>
      <c r="K32" s="33" t="n"/>
      <c r="L32" s="29">
        <f>IF(COUNT(J32:K32)=2,ABS(ABS(K32-J32)-200),"")</f>
        <v/>
      </c>
      <c r="M32" s="33" t="n"/>
      <c r="N32" s="29">
        <f>IF(N(M32)=0,"",M32*0.9)</f>
        <v/>
      </c>
      <c r="O32" s="29">
        <f>IF(N(M32)=0,"",MOD(M32*0.9+180,360))</f>
        <v/>
      </c>
      <c r="P32" s="27" t="n"/>
      <c r="Q32" s="28" t="n"/>
      <c r="R32" s="28" t="n"/>
      <c r="S32" s="34">
        <f>IF(OR(N(M32)=0,N(R32)=0),"",(M32*0.9-R32)*3600)</f>
        <v/>
      </c>
      <c r="T32" s="27" t="n"/>
    </row>
    <row r="33">
      <c r="A33" s="24" t="inlineStr">
        <is>
          <t>S15</t>
        </is>
      </c>
      <c r="B33" s="24" t="inlineStr">
        <is>
          <t>S15-M1</t>
        </is>
      </c>
      <c r="C33" s="24" t="inlineStr">
        <is>
          <t>의성 신규점</t>
        </is>
      </c>
      <c r="D33" s="24" t="inlineStr">
        <is>
          <t>방위표지1</t>
        </is>
      </c>
      <c r="E33" s="25" t="n">
        <v>36.47714171666667</v>
      </c>
      <c r="F33" s="25" t="n">
        <v>128.5092024361111</v>
      </c>
      <c r="G33" s="27" t="n"/>
      <c r="H33" s="32" t="inlineStr">
        <is>
          <t>기준점</t>
        </is>
      </c>
      <c r="I33" s="32" t="inlineStr">
        <is>
          <t>방위표지</t>
        </is>
      </c>
      <c r="J33" s="33" t="n"/>
      <c r="K33" s="33" t="n"/>
      <c r="L33" s="29">
        <f>IF(COUNT(J33:K33)=2,ABS(ABS(K33-J33)-200),"")</f>
        <v/>
      </c>
      <c r="M33" s="33" t="n"/>
      <c r="N33" s="29">
        <f>IF(N(M33)=0,"",M33*0.9)</f>
        <v/>
      </c>
      <c r="O33" s="29">
        <f>IF(N(M33)=0,"",MOD(M33*0.9+180,360))</f>
        <v/>
      </c>
      <c r="P33" s="27" t="n"/>
      <c r="Q33" s="28" t="n"/>
      <c r="R33" s="28" t="n"/>
      <c r="S33" s="34">
        <f>IF(OR(N(M33)=0,N(R33)=0),"",(M33*0.9-R33)*3600)</f>
        <v/>
      </c>
      <c r="T33" s="27" t="n"/>
    </row>
    <row r="34">
      <c r="A34" s="24" t="inlineStr">
        <is>
          <t>S15</t>
        </is>
      </c>
      <c r="B34" s="24" t="inlineStr">
        <is>
          <t>S15-M2</t>
        </is>
      </c>
      <c r="C34" s="24" t="inlineStr">
        <is>
          <t>의성 신규점</t>
        </is>
      </c>
      <c r="D34" s="24" t="inlineStr">
        <is>
          <t>방위표지2</t>
        </is>
      </c>
      <c r="E34" s="25" t="n">
        <v>36.47623722222222</v>
      </c>
      <c r="F34" s="25" t="n">
        <v>128.5080580638889</v>
      </c>
      <c r="G34" s="27" t="n"/>
      <c r="H34" s="32" t="inlineStr">
        <is>
          <t>기준점</t>
        </is>
      </c>
      <c r="I34" s="32" t="inlineStr">
        <is>
          <t>방위표지</t>
        </is>
      </c>
      <c r="J34" s="33" t="n"/>
      <c r="K34" s="33" t="n"/>
      <c r="L34" s="29">
        <f>IF(COUNT(J34:K34)=2,ABS(ABS(K34-J34)-200),"")</f>
        <v/>
      </c>
      <c r="M34" s="33" t="n"/>
      <c r="N34" s="29">
        <f>IF(N(M34)=0,"",M34*0.9)</f>
        <v/>
      </c>
      <c r="O34" s="29">
        <f>IF(N(M34)=0,"",MOD(M34*0.9+180,360))</f>
        <v/>
      </c>
      <c r="P34" s="27" t="n"/>
      <c r="Q34" s="28" t="n"/>
      <c r="R34" s="28" t="n"/>
      <c r="S34" s="34">
        <f>IF(OR(N(M34)=0,N(R34)=0),"",(M34*0.9-R34)*3600)</f>
        <v/>
      </c>
      <c r="T34" s="27" t="n"/>
    </row>
    <row r="35">
      <c r="A35" s="24" t="inlineStr">
        <is>
          <t>S16</t>
        </is>
      </c>
      <c r="B35" s="24" t="inlineStr">
        <is>
          <t>S16-M1</t>
        </is>
      </c>
      <c r="C35" s="24" t="inlineStr">
        <is>
          <t>예천 신규점</t>
        </is>
      </c>
      <c r="D35" s="24" t="inlineStr">
        <is>
          <t>방위표지1</t>
        </is>
      </c>
      <c r="E35" s="25" t="n">
        <v>36.50982223611111</v>
      </c>
      <c r="F35" s="25" t="n">
        <v>128.4944747027778</v>
      </c>
      <c r="G35" s="27" t="n"/>
      <c r="H35" s="32" t="inlineStr">
        <is>
          <t>기준점</t>
        </is>
      </c>
      <c r="I35" s="32" t="inlineStr">
        <is>
          <t>방위표지</t>
        </is>
      </c>
      <c r="J35" s="33" t="n"/>
      <c r="K35" s="33" t="n"/>
      <c r="L35" s="29">
        <f>IF(COUNT(J35:K35)=2,ABS(ABS(K35-J35)-200),"")</f>
        <v/>
      </c>
      <c r="M35" s="33" t="n"/>
      <c r="N35" s="29">
        <f>IF(N(M35)=0,"",M35*0.9)</f>
        <v/>
      </c>
      <c r="O35" s="29">
        <f>IF(N(M35)=0,"",MOD(M35*0.9+180,360))</f>
        <v/>
      </c>
      <c r="P35" s="27" t="n"/>
      <c r="Q35" s="28" t="n"/>
      <c r="R35" s="28" t="n"/>
      <c r="S35" s="34">
        <f>IF(OR(N(M35)=0,N(R35)=0),"",(M35*0.9-R35)*3600)</f>
        <v/>
      </c>
      <c r="T35" s="27" t="n"/>
    </row>
    <row r="36">
      <c r="A36" s="24" t="inlineStr">
        <is>
          <t>S16</t>
        </is>
      </c>
      <c r="B36" s="24" t="inlineStr">
        <is>
          <t>S16-M2</t>
        </is>
      </c>
      <c r="C36" s="24" t="inlineStr">
        <is>
          <t>예천 신규점</t>
        </is>
      </c>
      <c r="D36" s="24" t="inlineStr">
        <is>
          <t>방위표지2</t>
        </is>
      </c>
      <c r="E36" s="25" t="n">
        <v>36.50860930833333</v>
      </c>
      <c r="F36" s="25" t="n">
        <v>128.4948398027778</v>
      </c>
      <c r="G36" s="27" t="n"/>
      <c r="H36" s="32" t="inlineStr">
        <is>
          <t>기준점</t>
        </is>
      </c>
      <c r="I36" s="32" t="inlineStr">
        <is>
          <t>방위표지</t>
        </is>
      </c>
      <c r="J36" s="33" t="n"/>
      <c r="K36" s="33" t="n"/>
      <c r="L36" s="29">
        <f>IF(COUNT(J36:K36)=2,ABS(ABS(K36-J36)-200),"")</f>
        <v/>
      </c>
      <c r="M36" s="33" t="n"/>
      <c r="N36" s="29">
        <f>IF(N(M36)=0,"",M36*0.9)</f>
        <v/>
      </c>
      <c r="O36" s="29">
        <f>IF(N(M36)=0,"",MOD(M36*0.9+180,360))</f>
        <v/>
      </c>
      <c r="P36" s="27" t="n"/>
      <c r="Q36" s="28" t="n"/>
      <c r="R36" s="28" t="n"/>
      <c r="S36" s="34">
        <f>IF(OR(N(M36)=0,N(R36)=0),"",(M36*0.9-R36)*3600)</f>
        <v/>
      </c>
      <c r="T36" s="27" t="n"/>
    </row>
    <row r="37">
      <c r="A37" s="24" t="inlineStr">
        <is>
          <t>S17</t>
        </is>
      </c>
      <c r="B37" s="24" t="inlineStr">
        <is>
          <t>S17-M1</t>
        </is>
      </c>
      <c r="C37" s="24" t="inlineStr">
        <is>
          <t>영양 신규점4</t>
        </is>
      </c>
      <c r="D37" s="24" t="inlineStr">
        <is>
          <t>방위표지1</t>
        </is>
      </c>
      <c r="E37" s="25" t="n">
        <v>36.74274781111111</v>
      </c>
      <c r="F37" s="25" t="n">
        <v>129.1822400194444</v>
      </c>
      <c r="G37" s="27" t="n"/>
      <c r="H37" s="32" t="inlineStr">
        <is>
          <t>기준점</t>
        </is>
      </c>
      <c r="I37" s="32" t="inlineStr">
        <is>
          <t>방위표지</t>
        </is>
      </c>
      <c r="J37" s="33" t="n"/>
      <c r="K37" s="33" t="n"/>
      <c r="L37" s="29">
        <f>IF(COUNT(J37:K37)=2,ABS(ABS(K37-J37)-200),"")</f>
        <v/>
      </c>
      <c r="M37" s="33" t="n"/>
      <c r="N37" s="29">
        <f>IF(N(M37)=0,"",M37*0.9)</f>
        <v/>
      </c>
      <c r="O37" s="29">
        <f>IF(N(M37)=0,"",MOD(M37*0.9+180,360))</f>
        <v/>
      </c>
      <c r="P37" s="27" t="n"/>
      <c r="Q37" s="28" t="n"/>
      <c r="R37" s="28" t="n"/>
      <c r="S37" s="34">
        <f>IF(OR(N(M37)=0,N(R37)=0),"",(M37*0.9-R37)*3600)</f>
        <v/>
      </c>
      <c r="T37" s="27" t="n"/>
    </row>
    <row r="38">
      <c r="A38" s="24" t="inlineStr">
        <is>
          <t>S17</t>
        </is>
      </c>
      <c r="B38" s="24" t="inlineStr">
        <is>
          <t>S17-M2</t>
        </is>
      </c>
      <c r="C38" s="24" t="inlineStr">
        <is>
          <t>영양 신규점4</t>
        </is>
      </c>
      <c r="D38" s="24" t="inlineStr">
        <is>
          <t>방위표지2</t>
        </is>
      </c>
      <c r="E38" s="25" t="n">
        <v>36.74337451388889</v>
      </c>
      <c r="F38" s="25" t="n">
        <v>129.1815866805555</v>
      </c>
      <c r="G38" s="27" t="n"/>
      <c r="H38" s="32" t="inlineStr">
        <is>
          <t>기준점</t>
        </is>
      </c>
      <c r="I38" s="32" t="inlineStr">
        <is>
          <t>방위표지</t>
        </is>
      </c>
      <c r="J38" s="33" t="n"/>
      <c r="K38" s="33" t="n"/>
      <c r="L38" s="29">
        <f>IF(COUNT(J38:K38)=2,ABS(ABS(K38-J38)-200),"")</f>
        <v/>
      </c>
      <c r="M38" s="33" t="n"/>
      <c r="N38" s="29">
        <f>IF(N(M38)=0,"",M38*0.9)</f>
        <v/>
      </c>
      <c r="O38" s="29">
        <f>IF(N(M38)=0,"",MOD(M38*0.9+180,360))</f>
        <v/>
      </c>
      <c r="P38" s="27" t="n"/>
      <c r="Q38" s="28" t="n"/>
      <c r="R38" s="28" t="n"/>
      <c r="S38" s="34">
        <f>IF(OR(N(M38)=0,N(R38)=0),"",(M38*0.9-R38)*3600)</f>
        <v/>
      </c>
      <c r="T38" s="27" t="n"/>
    </row>
    <row r="39">
      <c r="A39" s="24" t="inlineStr">
        <is>
          <t>S18</t>
        </is>
      </c>
      <c r="B39" s="24" t="inlineStr">
        <is>
          <t>S18-M1</t>
        </is>
      </c>
      <c r="C39" s="24" t="inlineStr">
        <is>
          <t>통영 신규점</t>
        </is>
      </c>
      <c r="D39" s="24" t="inlineStr">
        <is>
          <t>방위표지1</t>
        </is>
      </c>
      <c r="E39" s="25" t="n">
        <v>34.79323658333333</v>
      </c>
      <c r="F39" s="25" t="n">
        <v>128.3937161666666</v>
      </c>
      <c r="G39" s="27" t="n"/>
      <c r="H39" s="32" t="inlineStr">
        <is>
          <t>기준점</t>
        </is>
      </c>
      <c r="I39" s="32" t="inlineStr">
        <is>
          <t>방위표지</t>
        </is>
      </c>
      <c r="J39" s="33" t="n"/>
      <c r="K39" s="33" t="n"/>
      <c r="L39" s="29">
        <f>IF(COUNT(J39:K39)=2,ABS(ABS(K39-J39)-200),"")</f>
        <v/>
      </c>
      <c r="M39" s="33" t="n"/>
      <c r="N39" s="29">
        <f>IF(N(M39)=0,"",M39*0.9)</f>
        <v/>
      </c>
      <c r="O39" s="29">
        <f>IF(N(M39)=0,"",MOD(M39*0.9+180,360))</f>
        <v/>
      </c>
      <c r="P39" s="27" t="n"/>
      <c r="Q39" s="28" t="n"/>
      <c r="R39" s="28" t="n"/>
      <c r="S39" s="34">
        <f>IF(OR(N(M39)=0,N(R39)=0),"",(M39*0.9-R39)*3600)</f>
        <v/>
      </c>
      <c r="T39" s="27" t="n"/>
    </row>
    <row r="40">
      <c r="A40" s="24" t="inlineStr">
        <is>
          <t>S18</t>
        </is>
      </c>
      <c r="B40" s="24" t="inlineStr">
        <is>
          <t>S18-M2</t>
        </is>
      </c>
      <c r="C40" s="24" t="inlineStr">
        <is>
          <t>통영 신규점</t>
        </is>
      </c>
      <c r="D40" s="24" t="inlineStr">
        <is>
          <t>방위표지2</t>
        </is>
      </c>
      <c r="E40" s="25" t="n">
        <v>34.79294247222222</v>
      </c>
      <c r="F40" s="25" t="n">
        <v>128.3939980833333</v>
      </c>
      <c r="G40" s="27" t="n"/>
      <c r="H40" s="32" t="inlineStr">
        <is>
          <t>기준점</t>
        </is>
      </c>
      <c r="I40" s="32" t="inlineStr">
        <is>
          <t>방위표지</t>
        </is>
      </c>
      <c r="J40" s="33" t="n"/>
      <c r="K40" s="33" t="n"/>
      <c r="L40" s="29">
        <f>IF(COUNT(J40:K40)=2,ABS(ABS(K40-J40)-200),"")</f>
        <v/>
      </c>
      <c r="M40" s="33" t="n"/>
      <c r="N40" s="29">
        <f>IF(N(M40)=0,"",M40*0.9)</f>
        <v/>
      </c>
      <c r="O40" s="29">
        <f>IF(N(M40)=0,"",MOD(M40*0.9+180,360))</f>
        <v/>
      </c>
      <c r="P40" s="27" t="n"/>
      <c r="Q40" s="28" t="n"/>
      <c r="R40" s="28" t="n"/>
      <c r="S40" s="34">
        <f>IF(OR(N(M40)=0,N(R40)=0),"",(M40*0.9-R40)*3600)</f>
        <v/>
      </c>
      <c r="T40" s="27" t="n"/>
    </row>
    <row r="41">
      <c r="A41" s="24" t="inlineStr">
        <is>
          <t>S19</t>
        </is>
      </c>
      <c r="B41" s="24" t="inlineStr">
        <is>
          <t>S19-M1</t>
        </is>
      </c>
      <c r="C41" s="24" t="inlineStr">
        <is>
          <t>오호 신규점</t>
        </is>
      </c>
      <c r="D41" s="24" t="inlineStr">
        <is>
          <t>방위표지1</t>
        </is>
      </c>
      <c r="E41" s="25" t="n">
        <v>38.31886791666667</v>
      </c>
      <c r="F41" s="25" t="n">
        <v>128.5214078888889</v>
      </c>
      <c r="G41" s="27" t="n"/>
      <c r="H41" s="32" t="inlineStr">
        <is>
          <t>기준점</t>
        </is>
      </c>
      <c r="I41" s="32" t="inlineStr">
        <is>
          <t>방위표지</t>
        </is>
      </c>
      <c r="J41" s="33" t="n"/>
      <c r="K41" s="33" t="n"/>
      <c r="L41" s="29">
        <f>IF(COUNT(J41:K41)=2,ABS(ABS(K41-J41)-200),"")</f>
        <v/>
      </c>
      <c r="M41" s="33" t="n"/>
      <c r="N41" s="29">
        <f>IF(N(M41)=0,"",M41*0.9)</f>
        <v/>
      </c>
      <c r="O41" s="29">
        <f>IF(N(M41)=0,"",MOD(M41*0.9+180,360))</f>
        <v/>
      </c>
      <c r="P41" s="27" t="n"/>
      <c r="Q41" s="28" t="n"/>
      <c r="R41" s="28" t="n"/>
      <c r="S41" s="34">
        <f>IF(OR(N(M41)=0,N(R41)=0),"",(M41*0.9-R41)*3600)</f>
        <v/>
      </c>
      <c r="T41" s="27" t="n"/>
    </row>
    <row r="42">
      <c r="A42" s="24" t="inlineStr">
        <is>
          <t>S19</t>
        </is>
      </c>
      <c r="B42" s="24" t="inlineStr">
        <is>
          <t>S19-M2</t>
        </is>
      </c>
      <c r="C42" s="24" t="inlineStr">
        <is>
          <t>오호 신규점</t>
        </is>
      </c>
      <c r="D42" s="24" t="inlineStr">
        <is>
          <t>방위표지2</t>
        </is>
      </c>
      <c r="E42" s="25" t="n">
        <v>38.31926597222223</v>
      </c>
      <c r="F42" s="25" t="n">
        <v>128.5219848888889</v>
      </c>
      <c r="G42" s="27" t="n"/>
      <c r="H42" s="32" t="inlineStr">
        <is>
          <t>기준점</t>
        </is>
      </c>
      <c r="I42" s="32" t="inlineStr">
        <is>
          <t>방위표지</t>
        </is>
      </c>
      <c r="J42" s="33" t="n"/>
      <c r="K42" s="33" t="n"/>
      <c r="L42" s="29">
        <f>IF(COUNT(J42:K42)=2,ABS(ABS(K42-J42)-200),"")</f>
        <v/>
      </c>
      <c r="M42" s="33" t="n"/>
      <c r="N42" s="29">
        <f>IF(N(M42)=0,"",M42*0.9)</f>
        <v/>
      </c>
      <c r="O42" s="29">
        <f>IF(N(M42)=0,"",MOD(M42*0.9+180,360))</f>
        <v/>
      </c>
      <c r="P42" s="27" t="n"/>
      <c r="Q42" s="28" t="n"/>
      <c r="R42" s="28" t="n"/>
      <c r="S42" s="34">
        <f>IF(OR(N(M42)=0,N(R42)=0),"",(M42*0.9-R42)*3600)</f>
        <v/>
      </c>
      <c r="T42" s="27" t="n"/>
    </row>
    <row r="43">
      <c r="A43" s="24" t="inlineStr">
        <is>
          <t>S20</t>
        </is>
      </c>
      <c r="B43" s="24" t="inlineStr">
        <is>
          <t>S20-M1</t>
        </is>
      </c>
      <c r="C43" s="24" t="inlineStr">
        <is>
          <t>보령 신규점2</t>
        </is>
      </c>
      <c r="D43" s="24" t="inlineStr">
        <is>
          <t>방위표지1</t>
        </is>
      </c>
      <c r="E43" s="25" t="n">
        <v>36.26744262777778</v>
      </c>
      <c r="F43" s="25" t="n">
        <v>126.7070338055556</v>
      </c>
      <c r="G43" s="27" t="n"/>
      <c r="H43" s="32" t="inlineStr">
        <is>
          <t>기준점</t>
        </is>
      </c>
      <c r="I43" s="32" t="inlineStr">
        <is>
          <t>방위표지</t>
        </is>
      </c>
      <c r="J43" s="33" t="n"/>
      <c r="K43" s="33" t="n"/>
      <c r="L43" s="29">
        <f>IF(COUNT(J43:K43)=2,ABS(ABS(K43-J43)-200),"")</f>
        <v/>
      </c>
      <c r="M43" s="33" t="n"/>
      <c r="N43" s="29">
        <f>IF(N(M43)=0,"",M43*0.9)</f>
        <v/>
      </c>
      <c r="O43" s="29">
        <f>IF(N(M43)=0,"",MOD(M43*0.9+180,360))</f>
        <v/>
      </c>
      <c r="P43" s="27" t="n"/>
      <c r="Q43" s="28" t="n"/>
      <c r="R43" s="28" t="n"/>
      <c r="S43" s="34">
        <f>IF(OR(N(M43)=0,N(R43)=0),"",(M43*0.9-R43)*3600)</f>
        <v/>
      </c>
      <c r="T43" s="27" t="n"/>
    </row>
    <row r="44">
      <c r="A44" s="24" t="inlineStr">
        <is>
          <t>S20</t>
        </is>
      </c>
      <c r="B44" s="24" t="inlineStr">
        <is>
          <t>S20-M2</t>
        </is>
      </c>
      <c r="C44" s="24" t="inlineStr">
        <is>
          <t>보령 신규점2</t>
        </is>
      </c>
      <c r="D44" s="24" t="inlineStr">
        <is>
          <t>방위표지2</t>
        </is>
      </c>
      <c r="E44" s="25" t="n">
        <v>36.26662340277777</v>
      </c>
      <c r="F44" s="25" t="n">
        <v>126.7077012166667</v>
      </c>
      <c r="G44" s="27" t="n"/>
      <c r="H44" s="32" t="inlineStr">
        <is>
          <t>기준점</t>
        </is>
      </c>
      <c r="I44" s="32" t="inlineStr">
        <is>
          <t>방위표지</t>
        </is>
      </c>
      <c r="J44" s="33" t="n"/>
      <c r="K44" s="33" t="n"/>
      <c r="L44" s="29">
        <f>IF(COUNT(J44:K44)=2,ABS(ABS(K44-J44)-200),"")</f>
        <v/>
      </c>
      <c r="M44" s="33" t="n"/>
      <c r="N44" s="29">
        <f>IF(N(M44)=0,"",M44*0.9)</f>
        <v/>
      </c>
      <c r="O44" s="29">
        <f>IF(N(M44)=0,"",MOD(M44*0.9+180,360))</f>
        <v/>
      </c>
      <c r="P44" s="27" t="n"/>
      <c r="Q44" s="28" t="n"/>
      <c r="R44" s="28" t="n"/>
      <c r="S44" s="34">
        <f>IF(OR(N(M44)=0,N(R44)=0),"",(M44*0.9-R44)*3600)</f>
        <v/>
      </c>
      <c r="T44" s="27" t="n"/>
    </row>
    <row r="45">
      <c r="A45" s="24" t="inlineStr">
        <is>
          <t>S21</t>
        </is>
      </c>
      <c r="B45" s="24" t="inlineStr">
        <is>
          <t>S21-M1</t>
        </is>
      </c>
      <c r="C45" s="24" t="inlineStr">
        <is>
          <t>담양 신규점2</t>
        </is>
      </c>
      <c r="D45" s="24" t="inlineStr">
        <is>
          <t>방위표지1</t>
        </is>
      </c>
      <c r="E45" s="25" t="n">
        <v>35.45721812777778</v>
      </c>
      <c r="F45" s="25" t="n">
        <v>126.9627115333333</v>
      </c>
      <c r="G45" s="27" t="n"/>
      <c r="H45" s="32" t="inlineStr">
        <is>
          <t>기준점</t>
        </is>
      </c>
      <c r="I45" s="32" t="inlineStr">
        <is>
          <t>방위표지</t>
        </is>
      </c>
      <c r="J45" s="33" t="n"/>
      <c r="K45" s="33" t="n"/>
      <c r="L45" s="29">
        <f>IF(COUNT(J45:K45)=2,ABS(ABS(K45-J45)-200),"")</f>
        <v/>
      </c>
      <c r="M45" s="33" t="n"/>
      <c r="N45" s="29">
        <f>IF(N(M45)=0,"",M45*0.9)</f>
        <v/>
      </c>
      <c r="O45" s="29">
        <f>IF(N(M45)=0,"",MOD(M45*0.9+180,360))</f>
        <v/>
      </c>
      <c r="P45" s="27" t="n"/>
      <c r="Q45" s="28" t="n"/>
      <c r="R45" s="28" t="n"/>
      <c r="S45" s="34">
        <f>IF(OR(N(M45)=0,N(R45)=0),"",(M45*0.9-R45)*3600)</f>
        <v/>
      </c>
      <c r="T45" s="27" t="n"/>
    </row>
    <row r="46">
      <c r="A46" s="24" t="inlineStr">
        <is>
          <t>S21</t>
        </is>
      </c>
      <c r="B46" s="24" t="inlineStr">
        <is>
          <t>S21-M2</t>
        </is>
      </c>
      <c r="C46" s="24" t="inlineStr">
        <is>
          <t>담양 신규점2</t>
        </is>
      </c>
      <c r="D46" s="24" t="inlineStr">
        <is>
          <t>방위표지2</t>
        </is>
      </c>
      <c r="E46" s="25" t="n">
        <v>35.45783280000001</v>
      </c>
      <c r="F46" s="25" t="n">
        <v>126.9635998555556</v>
      </c>
      <c r="G46" s="27" t="n"/>
      <c r="H46" s="32" t="inlineStr">
        <is>
          <t>기준점</t>
        </is>
      </c>
      <c r="I46" s="32" t="inlineStr">
        <is>
          <t>방위표지</t>
        </is>
      </c>
      <c r="J46" s="33" t="n"/>
      <c r="K46" s="33" t="n"/>
      <c r="L46" s="29">
        <f>IF(COUNT(J46:K46)=2,ABS(ABS(K46-J46)-200),"")</f>
        <v/>
      </c>
      <c r="M46" s="33" t="n"/>
      <c r="N46" s="29">
        <f>IF(N(M46)=0,"",M46*0.9)</f>
        <v/>
      </c>
      <c r="O46" s="29">
        <f>IF(N(M46)=0,"",MOD(M46*0.9+180,360))</f>
        <v/>
      </c>
      <c r="P46" s="27" t="n"/>
      <c r="Q46" s="28" t="n"/>
      <c r="R46" s="28" t="n"/>
      <c r="S46" s="34">
        <f>IF(OR(N(M46)=0,N(R46)=0),"",(M46*0.9-R46)*3600)</f>
        <v/>
      </c>
      <c r="T46" s="27" t="n"/>
    </row>
    <row r="47">
      <c r="A47" s="24" t="inlineStr">
        <is>
          <t>S22</t>
        </is>
      </c>
      <c r="B47" s="24" t="inlineStr">
        <is>
          <t>S22-M1</t>
        </is>
      </c>
      <c r="C47" s="24" t="inlineStr">
        <is>
          <t>완도 신규점</t>
        </is>
      </c>
      <c r="D47" s="24" t="inlineStr">
        <is>
          <t>방위표지1</t>
        </is>
      </c>
      <c r="E47" s="25" t="n">
        <v>34.32863245555556</v>
      </c>
      <c r="F47" s="25" t="n">
        <v>126.5434784972222</v>
      </c>
      <c r="G47" s="27" t="n"/>
      <c r="H47" s="32" t="inlineStr">
        <is>
          <t>기준점</t>
        </is>
      </c>
      <c r="I47" s="32" t="inlineStr">
        <is>
          <t>방위표지</t>
        </is>
      </c>
      <c r="J47" s="33" t="n"/>
      <c r="K47" s="33" t="n"/>
      <c r="L47" s="29">
        <f>IF(COUNT(J47:K47)=2,ABS(ABS(K47-J47)-200),"")</f>
        <v/>
      </c>
      <c r="M47" s="33" t="n"/>
      <c r="N47" s="29">
        <f>IF(N(M47)=0,"",M47*0.9)</f>
        <v/>
      </c>
      <c r="O47" s="29">
        <f>IF(N(M47)=0,"",MOD(M47*0.9+180,360))</f>
        <v/>
      </c>
      <c r="P47" s="27" t="n"/>
      <c r="Q47" s="28" t="n"/>
      <c r="R47" s="28" t="n"/>
      <c r="S47" s="34">
        <f>IF(OR(N(M47)=0,N(R47)=0),"",(M47*0.9-R47)*3600)</f>
        <v/>
      </c>
      <c r="T47" s="27" t="n"/>
    </row>
    <row r="48">
      <c r="A48" s="24" t="inlineStr">
        <is>
          <t>S22</t>
        </is>
      </c>
      <c r="B48" s="24" t="inlineStr">
        <is>
          <t>S22-M2</t>
        </is>
      </c>
      <c r="C48" s="24" t="inlineStr">
        <is>
          <t>완도 신규점</t>
        </is>
      </c>
      <c r="D48" s="24" t="inlineStr">
        <is>
          <t>방위표지2</t>
        </is>
      </c>
      <c r="E48" s="25" t="n">
        <v>34.32910643611111</v>
      </c>
      <c r="F48" s="25" t="n">
        <v>126.5433582611111</v>
      </c>
      <c r="G48" s="27" t="n"/>
      <c r="H48" s="32" t="inlineStr">
        <is>
          <t>기준점</t>
        </is>
      </c>
      <c r="I48" s="32" t="inlineStr">
        <is>
          <t>방위표지</t>
        </is>
      </c>
      <c r="J48" s="33" t="n"/>
      <c r="K48" s="33" t="n"/>
      <c r="L48" s="29">
        <f>IF(COUNT(J48:K48)=2,ABS(ABS(K48-J48)-200),"")</f>
        <v/>
      </c>
      <c r="M48" s="33" t="n"/>
      <c r="N48" s="29">
        <f>IF(N(M48)=0,"",M48*0.9)</f>
        <v/>
      </c>
      <c r="O48" s="29">
        <f>IF(N(M48)=0,"",MOD(M48*0.9+180,360))</f>
        <v/>
      </c>
      <c r="P48" s="27" t="n"/>
      <c r="Q48" s="28" t="n"/>
      <c r="R48" s="28" t="n"/>
      <c r="S48" s="34">
        <f>IF(OR(N(M48)=0,N(R48)=0),"",(M48*0.9-R48)*3600)</f>
        <v/>
      </c>
      <c r="T48" s="27" t="n"/>
    </row>
    <row r="49">
      <c r="A49" s="24" t="inlineStr">
        <is>
          <t>S23</t>
        </is>
      </c>
      <c r="B49" s="24" t="inlineStr">
        <is>
          <t>S23-M1</t>
        </is>
      </c>
      <c r="C49" s="24" t="inlineStr">
        <is>
          <t>덕산 신규점1</t>
        </is>
      </c>
      <c r="D49" s="24" t="inlineStr">
        <is>
          <t>방위표지1</t>
        </is>
      </c>
      <c r="E49" s="25" t="n">
        <v>36.88794938055555</v>
      </c>
      <c r="F49" s="25" t="n">
        <v>128.1924044888889</v>
      </c>
      <c r="G49" s="27" t="n"/>
      <c r="H49" s="32" t="inlineStr">
        <is>
          <t>기준점</t>
        </is>
      </c>
      <c r="I49" s="32" t="inlineStr">
        <is>
          <t>방위표지</t>
        </is>
      </c>
      <c r="J49" s="33" t="n"/>
      <c r="K49" s="33" t="n"/>
      <c r="L49" s="29">
        <f>IF(COUNT(J49:K49)=2,ABS(ABS(K49-J49)-200),"")</f>
        <v/>
      </c>
      <c r="M49" s="33" t="n"/>
      <c r="N49" s="29">
        <f>IF(N(M49)=0,"",M49*0.9)</f>
        <v/>
      </c>
      <c r="O49" s="29">
        <f>IF(N(M49)=0,"",MOD(M49*0.9+180,360))</f>
        <v/>
      </c>
      <c r="P49" s="27" t="n"/>
      <c r="Q49" s="28" t="n"/>
      <c r="R49" s="28" t="n"/>
      <c r="S49" s="34">
        <f>IF(OR(N(M49)=0,N(R49)=0),"",(M49*0.9-R49)*3600)</f>
        <v/>
      </c>
      <c r="T49" s="27" t="n"/>
    </row>
    <row r="50">
      <c r="A50" s="24" t="inlineStr">
        <is>
          <t>S23</t>
        </is>
      </c>
      <c r="B50" s="24" t="inlineStr">
        <is>
          <t>S23-M2</t>
        </is>
      </c>
      <c r="C50" s="24" t="inlineStr">
        <is>
          <t>덕산 신규점1</t>
        </is>
      </c>
      <c r="D50" s="24" t="inlineStr">
        <is>
          <t>방위표지2</t>
        </is>
      </c>
      <c r="E50" s="25" t="n">
        <v>36.88754781944444</v>
      </c>
      <c r="F50" s="25" t="n">
        <v>128.1915143777778</v>
      </c>
      <c r="G50" s="27" t="n"/>
      <c r="H50" s="32" t="inlineStr">
        <is>
          <t>기준점</t>
        </is>
      </c>
      <c r="I50" s="32" t="inlineStr">
        <is>
          <t>방위표지</t>
        </is>
      </c>
      <c r="J50" s="33" t="n"/>
      <c r="K50" s="33" t="n"/>
      <c r="L50" s="29">
        <f>IF(COUNT(J50:K50)=2,ABS(ABS(K50-J50)-200),"")</f>
        <v/>
      </c>
      <c r="M50" s="33" t="n"/>
      <c r="N50" s="29">
        <f>IF(N(M50)=0,"",M50*0.9)</f>
        <v/>
      </c>
      <c r="O50" s="29">
        <f>IF(N(M50)=0,"",MOD(M50*0.9+180,360))</f>
        <v/>
      </c>
      <c r="P50" s="27" t="n"/>
      <c r="Q50" s="28" t="n"/>
      <c r="R50" s="28" t="n"/>
      <c r="S50" s="34">
        <f>IF(OR(N(M50)=0,N(R50)=0),"",(M50*0.9-R50)*3600)</f>
        <v/>
      </c>
      <c r="T50" s="27" t="n"/>
    </row>
    <row r="51">
      <c r="A51" s="24" t="inlineStr">
        <is>
          <t>S24</t>
        </is>
      </c>
      <c r="B51" s="24" t="inlineStr">
        <is>
          <t>S24-M1</t>
        </is>
      </c>
      <c r="C51" s="24" t="inlineStr">
        <is>
          <t>회천 신규점2</t>
        </is>
      </c>
      <c r="D51" s="24" t="inlineStr">
        <is>
          <t>방위표지1</t>
        </is>
      </c>
      <c r="E51" s="25" t="n">
        <v>34.68041006111111</v>
      </c>
      <c r="F51" s="25" t="n">
        <v>127.0476548055556</v>
      </c>
      <c r="G51" s="27" t="n"/>
      <c r="H51" s="32" t="inlineStr">
        <is>
          <t>기준점</t>
        </is>
      </c>
      <c r="I51" s="32" t="inlineStr">
        <is>
          <t>방위표지</t>
        </is>
      </c>
      <c r="J51" s="33" t="n"/>
      <c r="K51" s="33" t="n"/>
      <c r="L51" s="29">
        <f>IF(COUNT(J51:K51)=2,ABS(ABS(K51-J51)-200),"")</f>
        <v/>
      </c>
      <c r="M51" s="33" t="n"/>
      <c r="N51" s="29">
        <f>IF(N(M51)=0,"",M51*0.9)</f>
        <v/>
      </c>
      <c r="O51" s="29">
        <f>IF(N(M51)=0,"",MOD(M51*0.9+180,360))</f>
        <v/>
      </c>
      <c r="P51" s="27" t="n"/>
      <c r="Q51" s="28" t="n"/>
      <c r="R51" s="28" t="n"/>
      <c r="S51" s="34">
        <f>IF(OR(N(M51)=0,N(R51)=0),"",(M51*0.9-R51)*3600)</f>
        <v/>
      </c>
      <c r="T51" s="27" t="n"/>
    </row>
    <row r="52">
      <c r="A52" s="24" t="inlineStr">
        <is>
          <t>S24</t>
        </is>
      </c>
      <c r="B52" s="24" t="inlineStr">
        <is>
          <t>S24-M2</t>
        </is>
      </c>
      <c r="C52" s="24" t="inlineStr">
        <is>
          <t>회천 신규점2</t>
        </is>
      </c>
      <c r="D52" s="24" t="inlineStr">
        <is>
          <t>방위표지2</t>
        </is>
      </c>
      <c r="E52" s="25" t="n">
        <v>34.68004149444445</v>
      </c>
      <c r="F52" s="25" t="n">
        <v>127.0478311027778</v>
      </c>
      <c r="G52" s="27" t="n"/>
      <c r="H52" s="32" t="inlineStr">
        <is>
          <t>기준점</t>
        </is>
      </c>
      <c r="I52" s="32" t="inlineStr">
        <is>
          <t>방위표지</t>
        </is>
      </c>
      <c r="J52" s="33" t="n"/>
      <c r="K52" s="33" t="n"/>
      <c r="L52" s="29">
        <f>IF(COUNT(J52:K52)=2,ABS(ABS(K52-J52)-200),"")</f>
        <v/>
      </c>
      <c r="M52" s="33" t="n"/>
      <c r="N52" s="29">
        <f>IF(N(M52)=0,"",M52*0.9)</f>
        <v/>
      </c>
      <c r="O52" s="29">
        <f>IF(N(M52)=0,"",MOD(M52*0.9+180,360))</f>
        <v/>
      </c>
      <c r="P52" s="27" t="n"/>
      <c r="Q52" s="28" t="n"/>
      <c r="R52" s="28" t="n"/>
      <c r="S52" s="34">
        <f>IF(OR(N(M52)=0,N(R52)=0),"",(M52*0.9-R52)*3600)</f>
        <v/>
      </c>
      <c r="T52" s="27" t="n"/>
    </row>
    <row r="53">
      <c r="A53" s="24" t="inlineStr">
        <is>
          <t>S25</t>
        </is>
      </c>
      <c r="B53" s="24" t="inlineStr">
        <is>
          <t>S25-M1</t>
        </is>
      </c>
      <c r="C53" s="24" t="inlineStr">
        <is>
          <t>관리 신규점3</t>
        </is>
      </c>
      <c r="D53" s="24" t="inlineStr">
        <is>
          <t>방위표지1</t>
        </is>
      </c>
      <c r="E53" s="25" t="n">
        <v>36.32529493611111</v>
      </c>
      <c r="F53" s="25" t="n">
        <v>127.9063972722222</v>
      </c>
      <c r="G53" s="27" t="n"/>
      <c r="H53" s="32" t="inlineStr">
        <is>
          <t>기준점</t>
        </is>
      </c>
      <c r="I53" s="32" t="inlineStr">
        <is>
          <t>방위표지</t>
        </is>
      </c>
      <c r="J53" s="33" t="n"/>
      <c r="K53" s="33" t="n"/>
      <c r="L53" s="29">
        <f>IF(COUNT(J53:K53)=2,ABS(ABS(K53-J53)-200),"")</f>
        <v/>
      </c>
      <c r="M53" s="33" t="n"/>
      <c r="N53" s="29">
        <f>IF(N(M53)=0,"",M53*0.9)</f>
        <v/>
      </c>
      <c r="O53" s="29">
        <f>IF(N(M53)=0,"",MOD(M53*0.9+180,360))</f>
        <v/>
      </c>
      <c r="P53" s="27" t="n"/>
      <c r="Q53" s="28" t="n"/>
      <c r="R53" s="28" t="n"/>
      <c r="S53" s="34">
        <f>IF(OR(N(M53)=0,N(R53)=0),"",(M53*0.9-R53)*3600)</f>
        <v/>
      </c>
      <c r="T53" s="27" t="n"/>
    </row>
    <row r="54">
      <c r="A54" s="24" t="inlineStr">
        <is>
          <t>S25</t>
        </is>
      </c>
      <c r="B54" s="24" t="inlineStr">
        <is>
          <t>S25-M2</t>
        </is>
      </c>
      <c r="C54" s="24" t="inlineStr">
        <is>
          <t>관리 신규점3</t>
        </is>
      </c>
      <c r="D54" s="24" t="inlineStr">
        <is>
          <t>방위표지2</t>
        </is>
      </c>
      <c r="E54" s="25" t="n">
        <v>36.32622315833333</v>
      </c>
      <c r="F54" s="25" t="n">
        <v>127.9067672388889</v>
      </c>
      <c r="G54" s="27" t="n"/>
      <c r="H54" s="32" t="inlineStr">
        <is>
          <t>기준점</t>
        </is>
      </c>
      <c r="I54" s="32" t="inlineStr">
        <is>
          <t>방위표지</t>
        </is>
      </c>
      <c r="J54" s="33" t="n"/>
      <c r="K54" s="33" t="n"/>
      <c r="L54" s="29">
        <f>IF(COUNT(J54:K54)=2,ABS(ABS(K54-J54)-200),"")</f>
        <v/>
      </c>
      <c r="M54" s="33" t="n"/>
      <c r="N54" s="29">
        <f>IF(N(M54)=0,"",M54*0.9)</f>
        <v/>
      </c>
      <c r="O54" s="29">
        <f>IF(N(M54)=0,"",MOD(M54*0.9+180,360))</f>
        <v/>
      </c>
      <c r="P54" s="27" t="n"/>
      <c r="Q54" s="28" t="n"/>
      <c r="R54" s="28" t="n"/>
      <c r="S54" s="34">
        <f>IF(OR(N(M54)=0,N(R54)=0),"",(M54*0.9-R54)*3600)</f>
        <v/>
      </c>
      <c r="T54" s="27" t="n"/>
    </row>
    <row r="55">
      <c r="A55" s="24" t="inlineStr">
        <is>
          <t>S26</t>
        </is>
      </c>
      <c r="B55" s="24" t="inlineStr">
        <is>
          <t>S26-M1</t>
        </is>
      </c>
      <c r="C55" s="24" t="inlineStr">
        <is>
          <t>고남 신규점2</t>
        </is>
      </c>
      <c r="D55" s="24" t="inlineStr">
        <is>
          <t>방위표지1</t>
        </is>
      </c>
      <c r="E55" s="25" t="n">
        <v>36.45300476666667</v>
      </c>
      <c r="F55" s="25" t="n">
        <v>126.39622445</v>
      </c>
      <c r="G55" s="27" t="n"/>
      <c r="H55" s="32" t="inlineStr">
        <is>
          <t>기준점</t>
        </is>
      </c>
      <c r="I55" s="32" t="inlineStr">
        <is>
          <t>방위표지</t>
        </is>
      </c>
      <c r="J55" s="33" t="n"/>
      <c r="K55" s="33" t="n"/>
      <c r="L55" s="29">
        <f>IF(COUNT(J55:K55)=2,ABS(ABS(K55-J55)-200),"")</f>
        <v/>
      </c>
      <c r="M55" s="33" t="n"/>
      <c r="N55" s="29">
        <f>IF(N(M55)=0,"",M55*0.9)</f>
        <v/>
      </c>
      <c r="O55" s="29">
        <f>IF(N(M55)=0,"",MOD(M55*0.9+180,360))</f>
        <v/>
      </c>
      <c r="P55" s="27" t="n"/>
      <c r="Q55" s="28" t="n"/>
      <c r="R55" s="28" t="n"/>
      <c r="S55" s="34">
        <f>IF(OR(N(M55)=0,N(R55)=0),"",(M55*0.9-R55)*3600)</f>
        <v/>
      </c>
      <c r="T55" s="27" t="n"/>
    </row>
    <row r="56">
      <c r="A56" s="24" t="inlineStr">
        <is>
          <t>S26</t>
        </is>
      </c>
      <c r="B56" s="24" t="inlineStr">
        <is>
          <t>S26-M2</t>
        </is>
      </c>
      <c r="C56" s="24" t="inlineStr">
        <is>
          <t>고남 신규점2</t>
        </is>
      </c>
      <c r="D56" s="24" t="inlineStr">
        <is>
          <t>방위표지2</t>
        </is>
      </c>
      <c r="E56" s="25" t="n">
        <v>36.45190164722222</v>
      </c>
      <c r="F56" s="25" t="n">
        <v>126.3956203666667</v>
      </c>
      <c r="G56" s="27" t="n"/>
      <c r="H56" s="32" t="inlineStr">
        <is>
          <t>기준점</t>
        </is>
      </c>
      <c r="I56" s="32" t="inlineStr">
        <is>
          <t>방위표지</t>
        </is>
      </c>
      <c r="J56" s="33" t="n"/>
      <c r="K56" s="33" t="n"/>
      <c r="L56" s="29">
        <f>IF(COUNT(J56:K56)=2,ABS(ABS(K56-J56)-200),"")</f>
        <v/>
      </c>
      <c r="M56" s="33" t="n"/>
      <c r="N56" s="29">
        <f>IF(N(M56)=0,"",M56*0.9)</f>
        <v/>
      </c>
      <c r="O56" s="29">
        <f>IF(N(M56)=0,"",MOD(M56*0.9+180,360))</f>
        <v/>
      </c>
      <c r="P56" s="27" t="n"/>
      <c r="Q56" s="28" t="n"/>
      <c r="R56" s="28" t="n"/>
      <c r="S56" s="34">
        <f>IF(OR(N(M56)=0,N(R56)=0),"",(M56*0.9-R56)*3600)</f>
        <v/>
      </c>
      <c r="T56" s="27" t="n"/>
    </row>
    <row r="57">
      <c r="A57" s="24" t="inlineStr">
        <is>
          <t>S27</t>
        </is>
      </c>
      <c r="B57" s="24" t="inlineStr">
        <is>
          <t>S27-M1</t>
        </is>
      </c>
      <c r="C57" s="24" t="inlineStr">
        <is>
          <t>전의 신규점</t>
        </is>
      </c>
      <c r="D57" s="24" t="inlineStr">
        <is>
          <t>방위표지1</t>
        </is>
      </c>
      <c r="E57" s="25" t="n">
        <v>36.57988551111112</v>
      </c>
      <c r="F57" s="25" t="n">
        <v>127.0679051638889</v>
      </c>
      <c r="G57" s="27" t="n"/>
      <c r="H57" s="32" t="inlineStr">
        <is>
          <t>기준점</t>
        </is>
      </c>
      <c r="I57" s="32" t="inlineStr">
        <is>
          <t>방위표지</t>
        </is>
      </c>
      <c r="J57" s="33" t="n"/>
      <c r="K57" s="33" t="n"/>
      <c r="L57" s="29">
        <f>IF(COUNT(J57:K57)=2,ABS(ABS(K57-J57)-200),"")</f>
        <v/>
      </c>
      <c r="M57" s="33" t="n"/>
      <c r="N57" s="29">
        <f>IF(N(M57)=0,"",M57*0.9)</f>
        <v/>
      </c>
      <c r="O57" s="29">
        <f>IF(N(M57)=0,"",MOD(M57*0.9+180,360))</f>
        <v/>
      </c>
      <c r="P57" s="27" t="n"/>
      <c r="Q57" s="28" t="n"/>
      <c r="R57" s="28" t="n"/>
      <c r="S57" s="34">
        <f>IF(OR(N(M57)=0,N(R57)=0),"",(M57*0.9-R57)*3600)</f>
        <v/>
      </c>
      <c r="T57" s="27" t="n"/>
    </row>
    <row r="58">
      <c r="A58" s="24" t="inlineStr">
        <is>
          <t>S27</t>
        </is>
      </c>
      <c r="B58" s="24" t="inlineStr">
        <is>
          <t>S27-M2</t>
        </is>
      </c>
      <c r="C58" s="24" t="inlineStr">
        <is>
          <t>전의 신규점</t>
        </is>
      </c>
      <c r="D58" s="24" t="inlineStr">
        <is>
          <t>방위표지2</t>
        </is>
      </c>
      <c r="E58" s="25" t="n">
        <v>36.57941415555556</v>
      </c>
      <c r="F58" s="25" t="n">
        <v>127.0686793722222</v>
      </c>
      <c r="G58" s="27" t="n"/>
      <c r="H58" s="32" t="inlineStr">
        <is>
          <t>기준점</t>
        </is>
      </c>
      <c r="I58" s="32" t="inlineStr">
        <is>
          <t>방위표지</t>
        </is>
      </c>
      <c r="J58" s="33" t="n"/>
      <c r="K58" s="33" t="n"/>
      <c r="L58" s="29">
        <f>IF(COUNT(J58:K58)=2,ABS(ABS(K58-J58)-200),"")</f>
        <v/>
      </c>
      <c r="M58" s="33" t="n"/>
      <c r="N58" s="29">
        <f>IF(N(M58)=0,"",M58*0.9)</f>
        <v/>
      </c>
      <c r="O58" s="29">
        <f>IF(N(M58)=0,"",MOD(M58*0.9+180,360))</f>
        <v/>
      </c>
      <c r="P58" s="27" t="n"/>
      <c r="Q58" s="28" t="n"/>
      <c r="R58" s="28" t="n"/>
      <c r="S58" s="34">
        <f>IF(OR(N(M58)=0,N(R58)=0),"",(M58*0.9-R58)*3600)</f>
        <v/>
      </c>
      <c r="T58" s="27" t="n"/>
    </row>
    <row r="59">
      <c r="A59" s="24" t="inlineStr">
        <is>
          <t>S28</t>
        </is>
      </c>
      <c r="B59" s="24" t="inlineStr">
        <is>
          <t>S28-M1</t>
        </is>
      </c>
      <c r="C59" s="24" t="inlineStr">
        <is>
          <t>이원 신규점</t>
        </is>
      </c>
      <c r="D59" s="24" t="inlineStr">
        <is>
          <t>방위표지1</t>
        </is>
      </c>
      <c r="E59" s="25" t="n">
        <v>36.16622559722222</v>
      </c>
      <c r="F59" s="25" t="n">
        <v>127.5833975027778</v>
      </c>
      <c r="G59" s="27" t="n"/>
      <c r="H59" s="32" t="inlineStr">
        <is>
          <t>기준점</t>
        </is>
      </c>
      <c r="I59" s="32" t="inlineStr">
        <is>
          <t>방위표지</t>
        </is>
      </c>
      <c r="J59" s="33" t="n"/>
      <c r="K59" s="33" t="n"/>
      <c r="L59" s="29">
        <f>IF(COUNT(J59:K59)=2,ABS(ABS(K59-J59)-200),"")</f>
        <v/>
      </c>
      <c r="M59" s="33" t="n"/>
      <c r="N59" s="29">
        <f>IF(N(M59)=0,"",M59*0.9)</f>
        <v/>
      </c>
      <c r="O59" s="29">
        <f>IF(N(M59)=0,"",MOD(M59*0.9+180,360))</f>
        <v/>
      </c>
      <c r="P59" s="27" t="n"/>
      <c r="Q59" s="28" t="n"/>
      <c r="R59" s="28" t="n"/>
      <c r="S59" s="34">
        <f>IF(OR(N(M59)=0,N(R59)=0),"",(M59*0.9-R59)*3600)</f>
        <v/>
      </c>
      <c r="T59" s="27" t="n"/>
    </row>
    <row r="60">
      <c r="A60" s="24" t="inlineStr">
        <is>
          <t>S28</t>
        </is>
      </c>
      <c r="B60" s="24" t="inlineStr">
        <is>
          <t>S28-M2</t>
        </is>
      </c>
      <c r="C60" s="24" t="inlineStr">
        <is>
          <t>이원 신규점</t>
        </is>
      </c>
      <c r="D60" s="24" t="inlineStr">
        <is>
          <t>방위표지2</t>
        </is>
      </c>
      <c r="E60" s="25" t="n">
        <v>36.16659431666667</v>
      </c>
      <c r="F60" s="25" t="n">
        <v>127.5827973611111</v>
      </c>
      <c r="G60" s="27" t="n"/>
      <c r="H60" s="32" t="inlineStr">
        <is>
          <t>기준점</t>
        </is>
      </c>
      <c r="I60" s="32" t="inlineStr">
        <is>
          <t>방위표지</t>
        </is>
      </c>
      <c r="J60" s="33" t="n"/>
      <c r="K60" s="33" t="n"/>
      <c r="L60" s="29">
        <f>IF(COUNT(J60:K60)=2,ABS(ABS(K60-J60)-200),"")</f>
        <v/>
      </c>
      <c r="M60" s="33" t="n"/>
      <c r="N60" s="29">
        <f>IF(N(M60)=0,"",M60*0.9)</f>
        <v/>
      </c>
      <c r="O60" s="29">
        <f>IF(N(M60)=0,"",MOD(M60*0.9+180,360))</f>
        <v/>
      </c>
      <c r="P60" s="27" t="n"/>
      <c r="Q60" s="28" t="n"/>
      <c r="R60" s="28" t="n"/>
      <c r="S60" s="34">
        <f>IF(OR(N(M60)=0,N(R60)=0),"",(M60*0.9-R60)*3600)</f>
        <v/>
      </c>
      <c r="T60" s="27" t="n"/>
    </row>
    <row r="61">
      <c r="A61" s="24" t="inlineStr">
        <is>
          <t>S29</t>
        </is>
      </c>
      <c r="B61" s="24" t="inlineStr">
        <is>
          <t>S29-M1</t>
        </is>
      </c>
      <c r="C61" s="24" t="inlineStr">
        <is>
          <t>가야 신규점1</t>
        </is>
      </c>
      <c r="D61" s="24" t="inlineStr">
        <is>
          <t>방위표지1</t>
        </is>
      </c>
      <c r="E61" s="25" t="n">
        <v>35.77790352777777</v>
      </c>
      <c r="F61" s="25" t="n">
        <v>128.0370350277778</v>
      </c>
      <c r="G61" s="27" t="n"/>
      <c r="H61" s="32" t="inlineStr">
        <is>
          <t>기준점</t>
        </is>
      </c>
      <c r="I61" s="32" t="inlineStr">
        <is>
          <t>방위표지</t>
        </is>
      </c>
      <c r="J61" s="33" t="n"/>
      <c r="K61" s="33" t="n"/>
      <c r="L61" s="29">
        <f>IF(COUNT(J61:K61)=2,ABS(ABS(K61-J61)-200),"")</f>
        <v/>
      </c>
      <c r="M61" s="33" t="n"/>
      <c r="N61" s="29">
        <f>IF(N(M61)=0,"",M61*0.9)</f>
        <v/>
      </c>
      <c r="O61" s="29">
        <f>IF(N(M61)=0,"",MOD(M61*0.9+180,360))</f>
        <v/>
      </c>
      <c r="P61" s="27" t="n"/>
      <c r="Q61" s="28" t="n"/>
      <c r="R61" s="28" t="n"/>
      <c r="S61" s="34">
        <f>IF(OR(N(M61)=0,N(R61)=0),"",(M61*0.9-R61)*3600)</f>
        <v/>
      </c>
      <c r="T61" s="27" t="n"/>
    </row>
    <row r="62">
      <c r="A62" s="24" t="inlineStr">
        <is>
          <t>S29</t>
        </is>
      </c>
      <c r="B62" s="24" t="inlineStr">
        <is>
          <t>S29-M2</t>
        </is>
      </c>
      <c r="C62" s="24" t="inlineStr">
        <is>
          <t>가야 신규점1</t>
        </is>
      </c>
      <c r="D62" s="24" t="inlineStr">
        <is>
          <t>방위표지2</t>
        </is>
      </c>
      <c r="E62" s="25" t="n">
        <v>35.77756333333333</v>
      </c>
      <c r="F62" s="25" t="n">
        <v>128.0367176666667</v>
      </c>
      <c r="G62" s="27" t="n"/>
      <c r="H62" s="32" t="inlineStr">
        <is>
          <t>기준점</t>
        </is>
      </c>
      <c r="I62" s="32" t="inlineStr">
        <is>
          <t>방위표지</t>
        </is>
      </c>
      <c r="J62" s="33" t="n"/>
      <c r="K62" s="33" t="n"/>
      <c r="L62" s="29">
        <f>IF(COUNT(J62:K62)=2,ABS(ABS(K62-J62)-200),"")</f>
        <v/>
      </c>
      <c r="M62" s="33" t="n"/>
      <c r="N62" s="29">
        <f>IF(N(M62)=0,"",M62*0.9)</f>
        <v/>
      </c>
      <c r="O62" s="29">
        <f>IF(N(M62)=0,"",MOD(M62*0.9+180,360))</f>
        <v/>
      </c>
      <c r="P62" s="27" t="n"/>
      <c r="Q62" s="28" t="n"/>
      <c r="R62" s="28" t="n"/>
      <c r="S62" s="34">
        <f>IF(OR(N(M62)=0,N(R62)=0),"",(M62*0.9-R62)*3600)</f>
        <v/>
      </c>
      <c r="T62" s="27" t="n"/>
    </row>
    <row r="63">
      <c r="A63" s="24" t="inlineStr">
        <is>
          <t>S30</t>
        </is>
      </c>
      <c r="B63" s="24" t="inlineStr">
        <is>
          <t>S30-M1</t>
        </is>
      </c>
      <c r="C63" s="24" t="inlineStr">
        <is>
          <t>창녕 신규점</t>
        </is>
      </c>
      <c r="D63" s="24" t="inlineStr">
        <is>
          <t>방위표지1</t>
        </is>
      </c>
      <c r="E63" s="25" t="n">
        <v>35.66247446666667</v>
      </c>
      <c r="F63" s="25" t="n">
        <v>128.2979756861111</v>
      </c>
      <c r="G63" s="27" t="n"/>
      <c r="H63" s="32" t="inlineStr">
        <is>
          <t>기준점</t>
        </is>
      </c>
      <c r="I63" s="32" t="inlineStr">
        <is>
          <t>방위표지</t>
        </is>
      </c>
      <c r="J63" s="33" t="n"/>
      <c r="K63" s="33" t="n"/>
      <c r="L63" s="29">
        <f>IF(COUNT(J63:K63)=2,ABS(ABS(K63-J63)-200),"")</f>
        <v/>
      </c>
      <c r="M63" s="33" t="n"/>
      <c r="N63" s="29">
        <f>IF(N(M63)=0,"",M63*0.9)</f>
        <v/>
      </c>
      <c r="O63" s="29">
        <f>IF(N(M63)=0,"",MOD(M63*0.9+180,360))</f>
        <v/>
      </c>
      <c r="P63" s="27" t="n"/>
      <c r="Q63" s="28" t="n"/>
      <c r="R63" s="28" t="n"/>
      <c r="S63" s="34">
        <f>IF(OR(N(M63)=0,N(R63)=0),"",(M63*0.9-R63)*3600)</f>
        <v/>
      </c>
      <c r="T63" s="27" t="n"/>
    </row>
    <row r="64">
      <c r="A64" s="24" t="inlineStr">
        <is>
          <t>S30</t>
        </is>
      </c>
      <c r="B64" s="24" t="inlineStr">
        <is>
          <t>S30-M2</t>
        </is>
      </c>
      <c r="C64" s="24" t="inlineStr">
        <is>
          <t>창녕 신규점</t>
        </is>
      </c>
      <c r="D64" s="24" t="inlineStr">
        <is>
          <t>방위표지2</t>
        </is>
      </c>
      <c r="E64" s="25" t="n">
        <v>35.66235456388889</v>
      </c>
      <c r="F64" s="25" t="n">
        <v>128.2983300361111</v>
      </c>
      <c r="G64" s="27" t="n"/>
      <c r="H64" s="32" t="inlineStr">
        <is>
          <t>기준점</t>
        </is>
      </c>
      <c r="I64" s="32" t="inlineStr">
        <is>
          <t>방위표지</t>
        </is>
      </c>
      <c r="J64" s="33" t="n"/>
      <c r="K64" s="33" t="n"/>
      <c r="L64" s="29">
        <f>IF(COUNT(J64:K64)=2,ABS(ABS(K64-J64)-200),"")</f>
        <v/>
      </c>
      <c r="M64" s="33" t="n"/>
      <c r="N64" s="29">
        <f>IF(N(M64)=0,"",M64*0.9)</f>
        <v/>
      </c>
      <c r="O64" s="29">
        <f>IF(N(M64)=0,"",MOD(M64*0.9+180,360))</f>
        <v/>
      </c>
      <c r="P64" s="27" t="n"/>
      <c r="Q64" s="28" t="n"/>
      <c r="R64" s="28" t="n"/>
      <c r="S64" s="34">
        <f>IF(OR(N(M64)=0,N(R64)=0),"",(M64*0.9-R64)*3600)</f>
        <v/>
      </c>
      <c r="T64" s="27" t="n"/>
    </row>
    <row r="65">
      <c r="A65" s="24" t="inlineStr">
        <is>
          <t>S31</t>
        </is>
      </c>
      <c r="B65" s="24" t="inlineStr">
        <is>
          <t>S31-M1</t>
        </is>
      </c>
      <c r="C65" s="24" t="inlineStr">
        <is>
          <t>언양 신규점3</t>
        </is>
      </c>
      <c r="D65" s="24" t="inlineStr">
        <is>
          <t>방위표지1</t>
        </is>
      </c>
      <c r="E65" s="25" t="n">
        <v>35.74275622222223</v>
      </c>
      <c r="F65" s="25" t="n">
        <v>129.0301785833333</v>
      </c>
      <c r="G65" s="27" t="n"/>
      <c r="H65" s="32" t="inlineStr">
        <is>
          <t>기준점</t>
        </is>
      </c>
      <c r="I65" s="32" t="inlineStr">
        <is>
          <t>방위표지</t>
        </is>
      </c>
      <c r="J65" s="33" t="n"/>
      <c r="K65" s="33" t="n"/>
      <c r="L65" s="29">
        <f>IF(COUNT(J65:K65)=2,ABS(ABS(K65-J65)-200),"")</f>
        <v/>
      </c>
      <c r="M65" s="33" t="n"/>
      <c r="N65" s="29">
        <f>IF(N(M65)=0,"",M65*0.9)</f>
        <v/>
      </c>
      <c r="O65" s="29">
        <f>IF(N(M65)=0,"",MOD(M65*0.9+180,360))</f>
        <v/>
      </c>
      <c r="P65" s="27" t="n"/>
      <c r="Q65" s="28" t="n"/>
      <c r="R65" s="28" t="n"/>
      <c r="S65" s="34">
        <f>IF(OR(N(M65)=0,N(R65)=0),"",(M65*0.9-R65)*3600)</f>
        <v/>
      </c>
      <c r="T65" s="27" t="n"/>
    </row>
    <row r="66">
      <c r="A66" s="24" t="inlineStr">
        <is>
          <t>S31</t>
        </is>
      </c>
      <c r="B66" s="24" t="inlineStr">
        <is>
          <t>S31-M2</t>
        </is>
      </c>
      <c r="C66" s="24" t="inlineStr">
        <is>
          <t>언양 신규점3</t>
        </is>
      </c>
      <c r="D66" s="24" t="inlineStr">
        <is>
          <t>방위표지2</t>
        </is>
      </c>
      <c r="E66" s="25" t="n">
        <v>35.742551</v>
      </c>
      <c r="F66" s="25" t="n">
        <v>129.0299160277778</v>
      </c>
      <c r="G66" s="27" t="n"/>
      <c r="H66" s="32" t="inlineStr">
        <is>
          <t>기준점</t>
        </is>
      </c>
      <c r="I66" s="32" t="inlineStr">
        <is>
          <t>방위표지</t>
        </is>
      </c>
      <c r="J66" s="33" t="n"/>
      <c r="K66" s="33" t="n"/>
      <c r="L66" s="29">
        <f>IF(COUNT(J66:K66)=2,ABS(ABS(K66-J66)-200),"")</f>
        <v/>
      </c>
      <c r="M66" s="33" t="n"/>
      <c r="N66" s="29">
        <f>IF(N(M66)=0,"",M66*0.9)</f>
        <v/>
      </c>
      <c r="O66" s="29">
        <f>IF(N(M66)=0,"",MOD(M66*0.9+180,360))</f>
        <v/>
      </c>
      <c r="P66" s="27" t="n"/>
      <c r="Q66" s="28" t="n"/>
      <c r="R66" s="28" t="n"/>
      <c r="S66" s="34">
        <f>IF(OR(N(M66)=0,N(R66)=0),"",(M66*0.9-R66)*3600)</f>
        <v/>
      </c>
      <c r="T66" s="27" t="n"/>
    </row>
    <row r="67">
      <c r="A67" s="24" t="inlineStr">
        <is>
          <t>S32</t>
        </is>
      </c>
      <c r="B67" s="24" t="inlineStr">
        <is>
          <t>S32-M1</t>
        </is>
      </c>
      <c r="C67" s="24" t="inlineStr">
        <is>
          <t>함양 신규점</t>
        </is>
      </c>
      <c r="D67" s="24" t="inlineStr">
        <is>
          <t>방위표지1</t>
        </is>
      </c>
      <c r="E67" s="25" t="n">
        <v>35.5859508</v>
      </c>
      <c r="F67" s="25" t="n">
        <v>127.5747908</v>
      </c>
      <c r="G67" s="27" t="n"/>
      <c r="H67" s="32" t="inlineStr">
        <is>
          <t>기준점</t>
        </is>
      </c>
      <c r="I67" s="32" t="inlineStr">
        <is>
          <t>방위표지</t>
        </is>
      </c>
      <c r="J67" s="33" t="n"/>
      <c r="K67" s="33" t="n"/>
      <c r="L67" s="29">
        <f>IF(COUNT(J67:K67)=2,ABS(ABS(K67-J67)-200),"")</f>
        <v/>
      </c>
      <c r="M67" s="33" t="n"/>
      <c r="N67" s="29">
        <f>IF(N(M67)=0,"",M67*0.9)</f>
        <v/>
      </c>
      <c r="O67" s="29">
        <f>IF(N(M67)=0,"",MOD(M67*0.9+180,360))</f>
        <v/>
      </c>
      <c r="P67" s="27" t="n"/>
      <c r="Q67" s="28" t="n"/>
      <c r="R67" s="28" t="n"/>
      <c r="S67" s="34">
        <f>IF(OR(N(M67)=0,N(R67)=0),"",(M67*0.9-R67)*3600)</f>
        <v/>
      </c>
      <c r="T67" s="27" t="n"/>
    </row>
    <row r="68">
      <c r="A68" s="24" t="inlineStr">
        <is>
          <t>S32</t>
        </is>
      </c>
      <c r="B68" s="24" t="inlineStr">
        <is>
          <t>S32-M2</t>
        </is>
      </c>
      <c r="C68" s="24" t="inlineStr">
        <is>
          <t>함양 신규점</t>
        </is>
      </c>
      <c r="D68" s="24" t="inlineStr">
        <is>
          <t>방위표지2</t>
        </is>
      </c>
      <c r="E68" s="25" t="n">
        <v>35.58639289</v>
      </c>
      <c r="F68" s="25" t="n">
        <v>127.5742091</v>
      </c>
      <c r="G68" s="27" t="n"/>
      <c r="H68" s="32" t="inlineStr">
        <is>
          <t>기준점</t>
        </is>
      </c>
      <c r="I68" s="32" t="inlineStr">
        <is>
          <t>방위표지</t>
        </is>
      </c>
      <c r="J68" s="33" t="n"/>
      <c r="K68" s="33" t="n"/>
      <c r="L68" s="29">
        <f>IF(COUNT(J68:K68)=2,ABS(ABS(K68-J68)-200),"")</f>
        <v/>
      </c>
      <c r="M68" s="33" t="n"/>
      <c r="N68" s="29">
        <f>IF(N(M68)=0,"",M68*0.9)</f>
        <v/>
      </c>
      <c r="O68" s="29">
        <f>IF(N(M68)=0,"",MOD(M68*0.9+180,360))</f>
        <v/>
      </c>
      <c r="P68" s="27" t="n"/>
      <c r="Q68" s="28" t="n"/>
      <c r="R68" s="28" t="n"/>
      <c r="S68" s="34">
        <f>IF(OR(N(M68)=0,N(R68)=0),"",(M68*0.9-R68)*3600)</f>
        <v/>
      </c>
      <c r="T68" s="27" t="n"/>
    </row>
    <row r="69">
      <c r="A69" s="24" t="inlineStr">
        <is>
          <t>S33</t>
        </is>
      </c>
      <c r="B69" s="24" t="inlineStr">
        <is>
          <t>S33-M1</t>
        </is>
      </c>
      <c r="C69" s="24" t="inlineStr">
        <is>
          <t>문산 신규점</t>
        </is>
      </c>
      <c r="D69" s="24" t="inlineStr">
        <is>
          <t>방위표지1</t>
        </is>
      </c>
      <c r="E69" s="25" t="n">
        <v>37.92835582777778</v>
      </c>
      <c r="F69" s="25" t="n">
        <v>126.8695256111111</v>
      </c>
      <c r="G69" s="27" t="n"/>
      <c r="H69" s="32" t="inlineStr">
        <is>
          <t>기준점</t>
        </is>
      </c>
      <c r="I69" s="32" t="inlineStr">
        <is>
          <t>방위표지</t>
        </is>
      </c>
      <c r="J69" s="33" t="n"/>
      <c r="K69" s="33" t="n"/>
      <c r="L69" s="29">
        <f>IF(COUNT(J69:K69)=2,ABS(ABS(K69-J69)-200),"")</f>
        <v/>
      </c>
      <c r="M69" s="33" t="n"/>
      <c r="N69" s="29">
        <f>IF(N(M69)=0,"",M69*0.9)</f>
        <v/>
      </c>
      <c r="O69" s="29">
        <f>IF(N(M69)=0,"",MOD(M69*0.9+180,360))</f>
        <v/>
      </c>
      <c r="P69" s="27" t="n"/>
      <c r="Q69" s="28" t="n"/>
      <c r="R69" s="28" t="n"/>
      <c r="S69" s="34">
        <f>IF(OR(N(M69)=0,N(R69)=0),"",(M69*0.9-R69)*3600)</f>
        <v/>
      </c>
      <c r="T69" s="27" t="n"/>
    </row>
    <row r="70">
      <c r="A70" s="24" t="inlineStr">
        <is>
          <t>S33</t>
        </is>
      </c>
      <c r="B70" s="24" t="inlineStr">
        <is>
          <t>S33-M2</t>
        </is>
      </c>
      <c r="C70" s="24" t="inlineStr">
        <is>
          <t>문산 신규점</t>
        </is>
      </c>
      <c r="D70" s="24" t="inlineStr">
        <is>
          <t>방위표지2</t>
        </is>
      </c>
      <c r="E70" s="25" t="n">
        <v>37.92751204166667</v>
      </c>
      <c r="F70" s="25" t="n">
        <v>126.8704798111111</v>
      </c>
      <c r="G70" s="27" t="n"/>
      <c r="H70" s="32" t="inlineStr">
        <is>
          <t>기준점</t>
        </is>
      </c>
      <c r="I70" s="32" t="inlineStr">
        <is>
          <t>방위표지</t>
        </is>
      </c>
      <c r="J70" s="33" t="n"/>
      <c r="K70" s="33" t="n"/>
      <c r="L70" s="29">
        <f>IF(COUNT(J70:K70)=2,ABS(ABS(K70-J70)-200),"")</f>
        <v/>
      </c>
      <c r="M70" s="33" t="n"/>
      <c r="N70" s="29">
        <f>IF(N(M70)=0,"",M70*0.9)</f>
        <v/>
      </c>
      <c r="O70" s="29">
        <f>IF(N(M70)=0,"",MOD(M70*0.9+180,360))</f>
        <v/>
      </c>
      <c r="P70" s="27" t="n"/>
      <c r="Q70" s="28" t="n"/>
      <c r="R70" s="28" t="n"/>
      <c r="S70" s="34">
        <f>IF(OR(N(M70)=0,N(R70)=0),"",(M70*0.9-R70)*3600)</f>
        <v/>
      </c>
      <c r="T70" s="27" t="n"/>
    </row>
    <row r="71">
      <c r="A71" s="24" t="inlineStr">
        <is>
          <t>S34</t>
        </is>
      </c>
      <c r="B71" s="24" t="inlineStr">
        <is>
          <t>S34-M1</t>
        </is>
      </c>
      <c r="C71" s="24" t="inlineStr">
        <is>
          <t>부안 신규점</t>
        </is>
      </c>
      <c r="D71" s="24" t="inlineStr">
        <is>
          <t>방위표지1</t>
        </is>
      </c>
      <c r="E71" s="25" t="n">
        <v>35.54168809722222</v>
      </c>
      <c r="F71" s="25" t="n">
        <v>126.6455125722222</v>
      </c>
      <c r="G71" s="27" t="n"/>
      <c r="H71" s="32" t="inlineStr">
        <is>
          <t>기준점</t>
        </is>
      </c>
      <c r="I71" s="32" t="inlineStr">
        <is>
          <t>방위표지</t>
        </is>
      </c>
      <c r="J71" s="33" t="n"/>
      <c r="K71" s="33" t="n"/>
      <c r="L71" s="29">
        <f>IF(COUNT(J71:K71)=2,ABS(ABS(K71-J71)-200),"")</f>
        <v/>
      </c>
      <c r="M71" s="33" t="n"/>
      <c r="N71" s="29">
        <f>IF(N(M71)=0,"",M71*0.9)</f>
        <v/>
      </c>
      <c r="O71" s="29">
        <f>IF(N(M71)=0,"",MOD(M71*0.9+180,360))</f>
        <v/>
      </c>
      <c r="P71" s="27" t="n"/>
      <c r="Q71" s="28" t="n"/>
      <c r="R71" s="28" t="n"/>
      <c r="S71" s="34">
        <f>IF(OR(N(M71)=0,N(R71)=0),"",(M71*0.9-R71)*3600)</f>
        <v/>
      </c>
      <c r="T71" s="27" t="n"/>
    </row>
    <row r="72">
      <c r="A72" s="24" t="inlineStr">
        <is>
          <t>S34</t>
        </is>
      </c>
      <c r="B72" s="24" t="inlineStr">
        <is>
          <t>S34-M2</t>
        </is>
      </c>
      <c r="C72" s="24" t="inlineStr">
        <is>
          <t>부안 신규점</t>
        </is>
      </c>
      <c r="D72" s="24" t="inlineStr">
        <is>
          <t>방위표지2</t>
        </is>
      </c>
      <c r="E72" s="25" t="n">
        <v>35.5424344</v>
      </c>
      <c r="F72" s="25" t="n">
        <v>126.6443657833333</v>
      </c>
      <c r="G72" s="27" t="n"/>
      <c r="H72" s="32" t="inlineStr">
        <is>
          <t>기준점</t>
        </is>
      </c>
      <c r="I72" s="32" t="inlineStr">
        <is>
          <t>방위표지</t>
        </is>
      </c>
      <c r="J72" s="33" t="n"/>
      <c r="K72" s="33" t="n"/>
      <c r="L72" s="29">
        <f>IF(COUNT(J72:K72)=2,ABS(ABS(K72-J72)-200),"")</f>
        <v/>
      </c>
      <c r="M72" s="33" t="n"/>
      <c r="N72" s="29">
        <f>IF(N(M72)=0,"",M72*0.9)</f>
        <v/>
      </c>
      <c r="O72" s="29">
        <f>IF(N(M72)=0,"",MOD(M72*0.9+180,360))</f>
        <v/>
      </c>
      <c r="P72" s="27" t="n"/>
      <c r="Q72" s="28" t="n"/>
      <c r="R72" s="28" t="n"/>
      <c r="S72" s="34">
        <f>IF(OR(N(M72)=0,N(R72)=0),"",(M72*0.9-R72)*3600)</f>
        <v/>
      </c>
      <c r="T72" s="27" t="n"/>
    </row>
    <row r="73">
      <c r="A73" s="24" t="inlineStr">
        <is>
          <t>S35</t>
        </is>
      </c>
      <c r="B73" s="24" t="inlineStr">
        <is>
          <t>S35-M1</t>
        </is>
      </c>
      <c r="C73" s="24" t="inlineStr">
        <is>
          <t>상주</t>
        </is>
      </c>
      <c r="D73" s="24" t="inlineStr">
        <is>
          <t>방위표지1</t>
        </is>
      </c>
      <c r="E73" s="24" t="n"/>
      <c r="F73" s="24" t="n"/>
      <c r="G73" s="27" t="n"/>
      <c r="H73" s="32" t="inlineStr">
        <is>
          <t>기준점</t>
        </is>
      </c>
      <c r="I73" s="32" t="inlineStr">
        <is>
          <t>방위표지</t>
        </is>
      </c>
      <c r="J73" s="33" t="n"/>
      <c r="K73" s="33" t="n"/>
      <c r="L73" s="29">
        <f>IF(COUNT(J73:K73)=2,ABS(ABS(K73-J73)-200),"")</f>
        <v/>
      </c>
      <c r="M73" s="33" t="n"/>
      <c r="N73" s="29">
        <f>IF(N(M73)=0,"",M73*0.9)</f>
        <v/>
      </c>
      <c r="O73" s="29">
        <f>IF(N(M73)=0,"",MOD(M73*0.9+180,360))</f>
        <v/>
      </c>
      <c r="P73" s="27" t="n"/>
      <c r="Q73" s="28" t="n"/>
      <c r="R73" s="28" t="n"/>
      <c r="S73" s="34">
        <f>IF(OR(N(M73)=0,N(R73)=0),"",(M73*0.9-R73)*3600)</f>
        <v/>
      </c>
      <c r="T73" s="27" t="n"/>
    </row>
    <row r="74">
      <c r="A74" s="24" t="inlineStr">
        <is>
          <t>S35</t>
        </is>
      </c>
      <c r="B74" s="24" t="inlineStr">
        <is>
          <t>S35-M2</t>
        </is>
      </c>
      <c r="C74" s="24" t="inlineStr">
        <is>
          <t>상주</t>
        </is>
      </c>
      <c r="D74" s="24" t="inlineStr">
        <is>
          <t>방위표지2</t>
        </is>
      </c>
      <c r="E74" s="24" t="n"/>
      <c r="F74" s="24" t="n"/>
      <c r="G74" s="27" t="n"/>
      <c r="H74" s="32" t="inlineStr">
        <is>
          <t>기준점</t>
        </is>
      </c>
      <c r="I74" s="32" t="inlineStr">
        <is>
          <t>방위표지</t>
        </is>
      </c>
      <c r="J74" s="33" t="n"/>
      <c r="K74" s="33" t="n"/>
      <c r="L74" s="29">
        <f>IF(COUNT(J74:K74)=2,ABS(ABS(K74-J74)-200),"")</f>
        <v/>
      </c>
      <c r="M74" s="33" t="n"/>
      <c r="N74" s="29">
        <f>IF(N(M74)=0,"",M74*0.9)</f>
        <v/>
      </c>
      <c r="O74" s="29">
        <f>IF(N(M74)=0,"",MOD(M74*0.9+180,360))</f>
        <v/>
      </c>
      <c r="P74" s="27" t="n"/>
      <c r="Q74" s="28" t="n"/>
      <c r="R74" s="28" t="n"/>
      <c r="S74" s="34">
        <f>IF(OR(N(M74)=0,N(R74)=0),"",(M74*0.9-R74)*3600)</f>
        <v/>
      </c>
      <c r="T74" s="27" t="n"/>
    </row>
    <row r="75">
      <c r="A75" s="24" t="inlineStr">
        <is>
          <t>S36</t>
        </is>
      </c>
      <c r="B75" s="24" t="inlineStr">
        <is>
          <t>S36-M1</t>
        </is>
      </c>
      <c r="C75" s="24" t="inlineStr">
        <is>
          <t>미원</t>
        </is>
      </c>
      <c r="D75" s="24" t="inlineStr">
        <is>
          <t>방위표지1</t>
        </is>
      </c>
      <c r="E75" s="24" t="n"/>
      <c r="F75" s="24" t="n"/>
      <c r="G75" s="27" t="n"/>
      <c r="H75" s="32" t="inlineStr">
        <is>
          <t>기준점</t>
        </is>
      </c>
      <c r="I75" s="32" t="inlineStr">
        <is>
          <t>방위표지</t>
        </is>
      </c>
      <c r="J75" s="33" t="n"/>
      <c r="K75" s="33" t="n"/>
      <c r="L75" s="29">
        <f>IF(COUNT(J75:K75)=2,ABS(ABS(K75-J75)-200),"")</f>
        <v/>
      </c>
      <c r="M75" s="33" t="n"/>
      <c r="N75" s="29">
        <f>IF(N(M75)=0,"",M75*0.9)</f>
        <v/>
      </c>
      <c r="O75" s="29">
        <f>IF(N(M75)=0,"",MOD(M75*0.9+180,360))</f>
        <v/>
      </c>
      <c r="P75" s="27" t="n"/>
      <c r="Q75" s="28" t="n"/>
      <c r="R75" s="28" t="n"/>
      <c r="S75" s="34">
        <f>IF(OR(N(M75)=0,N(R75)=0),"",(M75*0.9-R75)*3600)</f>
        <v/>
      </c>
      <c r="T75" s="27" t="n"/>
    </row>
    <row r="76">
      <c r="A76" s="24" t="inlineStr">
        <is>
          <t>S36</t>
        </is>
      </c>
      <c r="B76" s="24" t="inlineStr">
        <is>
          <t>S36-M2</t>
        </is>
      </c>
      <c r="C76" s="24" t="inlineStr">
        <is>
          <t>미원</t>
        </is>
      </c>
      <c r="D76" s="24" t="inlineStr">
        <is>
          <t>방위표지2</t>
        </is>
      </c>
      <c r="E76" s="24" t="n"/>
      <c r="F76" s="24" t="n"/>
      <c r="G76" s="27" t="n"/>
      <c r="H76" s="32" t="inlineStr">
        <is>
          <t>기준점</t>
        </is>
      </c>
      <c r="I76" s="32" t="inlineStr">
        <is>
          <t>방위표지</t>
        </is>
      </c>
      <c r="J76" s="33" t="n"/>
      <c r="K76" s="33" t="n"/>
      <c r="L76" s="29">
        <f>IF(COUNT(J76:K76)=2,ABS(ABS(K76-J76)-200),"")</f>
        <v/>
      </c>
      <c r="M76" s="33" t="n"/>
      <c r="N76" s="29">
        <f>IF(N(M76)=0,"",M76*0.9)</f>
        <v/>
      </c>
      <c r="O76" s="29">
        <f>IF(N(M76)=0,"",MOD(M76*0.9+180,360))</f>
        <v/>
      </c>
      <c r="P76" s="27" t="n"/>
      <c r="Q76" s="28" t="n"/>
      <c r="R76" s="28" t="n"/>
      <c r="S76" s="34">
        <f>IF(OR(N(M76)=0,N(R76)=0),"",(M76*0.9-R76)*3600)</f>
        <v/>
      </c>
      <c r="T76" s="27" t="n"/>
    </row>
    <row r="77">
      <c r="A77" s="24" t="inlineStr">
        <is>
          <t>S37</t>
        </is>
      </c>
      <c r="B77" s="24" t="inlineStr">
        <is>
          <t>S37-M1</t>
        </is>
      </c>
      <c r="C77" s="24" t="inlineStr">
        <is>
          <t>부안</t>
        </is>
      </c>
      <c r="D77" s="24" t="inlineStr">
        <is>
          <t>방위표지1</t>
        </is>
      </c>
      <c r="E77" s="24" t="n"/>
      <c r="F77" s="24" t="n"/>
      <c r="G77" s="27" t="n"/>
      <c r="H77" s="32" t="inlineStr">
        <is>
          <t>기준점</t>
        </is>
      </c>
      <c r="I77" s="32" t="inlineStr">
        <is>
          <t>방위표지</t>
        </is>
      </c>
      <c r="J77" s="33" t="n"/>
      <c r="K77" s="33" t="n"/>
      <c r="L77" s="29">
        <f>IF(COUNT(J77:K77)=2,ABS(ABS(K77-J77)-200),"")</f>
        <v/>
      </c>
      <c r="M77" s="33" t="n"/>
      <c r="N77" s="29">
        <f>IF(N(M77)=0,"",M77*0.9)</f>
        <v/>
      </c>
      <c r="O77" s="29">
        <f>IF(N(M77)=0,"",MOD(M77*0.9+180,360))</f>
        <v/>
      </c>
      <c r="P77" s="27" t="n"/>
      <c r="Q77" s="28" t="n"/>
      <c r="R77" s="28" t="n"/>
      <c r="S77" s="34">
        <f>IF(OR(N(M77)=0,N(R77)=0),"",(M77*0.9-R77)*3600)</f>
        <v/>
      </c>
      <c r="T77" s="27" t="n"/>
    </row>
    <row r="78">
      <c r="A78" s="24" t="inlineStr">
        <is>
          <t>S37</t>
        </is>
      </c>
      <c r="B78" s="24" t="inlineStr">
        <is>
          <t>S37-M2</t>
        </is>
      </c>
      <c r="C78" s="24" t="inlineStr">
        <is>
          <t>부안</t>
        </is>
      </c>
      <c r="D78" s="24" t="inlineStr">
        <is>
          <t>방위표지2</t>
        </is>
      </c>
      <c r="E78" s="24" t="n"/>
      <c r="F78" s="24" t="n"/>
      <c r="G78" s="27" t="n"/>
      <c r="H78" s="32" t="inlineStr">
        <is>
          <t>기준점</t>
        </is>
      </c>
      <c r="I78" s="32" t="inlineStr">
        <is>
          <t>방위표지</t>
        </is>
      </c>
      <c r="J78" s="33" t="n"/>
      <c r="K78" s="33" t="n"/>
      <c r="L78" s="29">
        <f>IF(COUNT(J78:K78)=2,ABS(ABS(K78-J78)-200),"")</f>
        <v/>
      </c>
      <c r="M78" s="33" t="n"/>
      <c r="N78" s="29">
        <f>IF(N(M78)=0,"",M78*0.9)</f>
        <v/>
      </c>
      <c r="O78" s="29">
        <f>IF(N(M78)=0,"",MOD(M78*0.9+180,360))</f>
        <v/>
      </c>
      <c r="P78" s="27" t="n"/>
      <c r="Q78" s="28" t="n"/>
      <c r="R78" s="28" t="n"/>
      <c r="S78" s="34">
        <f>IF(OR(N(M78)=0,N(R78)=0),"",(M78*0.9-R78)*3600)</f>
        <v/>
      </c>
      <c r="T78" s="27" t="n"/>
    </row>
    <row r="79">
      <c r="A79" s="24" t="inlineStr">
        <is>
          <t>S38</t>
        </is>
      </c>
      <c r="B79" s="24" t="inlineStr">
        <is>
          <t>S38-M1</t>
        </is>
      </c>
      <c r="C79" s="24" t="inlineStr">
        <is>
          <t>강화</t>
        </is>
      </c>
      <c r="D79" s="24" t="inlineStr">
        <is>
          <t>방위표지1</t>
        </is>
      </c>
      <c r="E79" s="24" t="n"/>
      <c r="F79" s="24" t="n"/>
      <c r="G79" s="27" t="n"/>
      <c r="H79" s="32" t="inlineStr">
        <is>
          <t>기준점</t>
        </is>
      </c>
      <c r="I79" s="32" t="inlineStr">
        <is>
          <t>방위표지</t>
        </is>
      </c>
      <c r="J79" s="33" t="n"/>
      <c r="K79" s="33" t="n"/>
      <c r="L79" s="29">
        <f>IF(COUNT(J79:K79)=2,ABS(ABS(K79-J79)-200),"")</f>
        <v/>
      </c>
      <c r="M79" s="33" t="n"/>
      <c r="N79" s="29">
        <f>IF(N(M79)=0,"",M79*0.9)</f>
        <v/>
      </c>
      <c r="O79" s="29">
        <f>IF(N(M79)=0,"",MOD(M79*0.9+180,360))</f>
        <v/>
      </c>
      <c r="P79" s="27" t="n"/>
      <c r="Q79" s="28" t="n"/>
      <c r="R79" s="28" t="n"/>
      <c r="S79" s="34">
        <f>IF(OR(N(M79)=0,N(R79)=0),"",(M79*0.9-R79)*3600)</f>
        <v/>
      </c>
      <c r="T79" s="27" t="n"/>
    </row>
    <row r="80">
      <c r="A80" s="24" t="inlineStr">
        <is>
          <t>S38</t>
        </is>
      </c>
      <c r="B80" s="24" t="inlineStr">
        <is>
          <t>S38-M2</t>
        </is>
      </c>
      <c r="C80" s="24" t="inlineStr">
        <is>
          <t>강화</t>
        </is>
      </c>
      <c r="D80" s="24" t="inlineStr">
        <is>
          <t>방위표지2</t>
        </is>
      </c>
      <c r="E80" s="24" t="n"/>
      <c r="F80" s="24" t="n"/>
      <c r="G80" s="27" t="n"/>
      <c r="H80" s="32" t="inlineStr">
        <is>
          <t>기준점</t>
        </is>
      </c>
      <c r="I80" s="32" t="inlineStr">
        <is>
          <t>방위표지</t>
        </is>
      </c>
      <c r="J80" s="33" t="n"/>
      <c r="K80" s="33" t="n"/>
      <c r="L80" s="29">
        <f>IF(COUNT(J80:K80)=2,ABS(ABS(K80-J80)-200),"")</f>
        <v/>
      </c>
      <c r="M80" s="33" t="n"/>
      <c r="N80" s="29">
        <f>IF(N(M80)=0,"",M80*0.9)</f>
        <v/>
      </c>
      <c r="O80" s="29">
        <f>IF(N(M80)=0,"",MOD(M80*0.9+180,360))</f>
        <v/>
      </c>
      <c r="P80" s="27" t="n"/>
      <c r="Q80" s="28" t="n"/>
      <c r="R80" s="28" t="n"/>
      <c r="S80" s="34">
        <f>IF(OR(N(M80)=0,N(R80)=0),"",(M80*0.9-R80)*3600)</f>
        <v/>
      </c>
      <c r="T80" s="27" t="n"/>
    </row>
    <row r="81">
      <c r="A81" s="24" t="inlineStr">
        <is>
          <t>S39</t>
        </is>
      </c>
      <c r="B81" s="24" t="inlineStr">
        <is>
          <t>S39-M1</t>
        </is>
      </c>
      <c r="C81" s="24" t="inlineStr">
        <is>
          <t>언양</t>
        </is>
      </c>
      <c r="D81" s="24" t="inlineStr">
        <is>
          <t>방위표지1</t>
        </is>
      </c>
      <c r="E81" s="24" t="n"/>
      <c r="F81" s="24" t="n"/>
      <c r="G81" s="27" t="n"/>
      <c r="H81" s="32" t="inlineStr">
        <is>
          <t>기준점</t>
        </is>
      </c>
      <c r="I81" s="32" t="inlineStr">
        <is>
          <t>방위표지</t>
        </is>
      </c>
      <c r="J81" s="33" t="n"/>
      <c r="K81" s="33" t="n"/>
      <c r="L81" s="29">
        <f>IF(COUNT(J81:K81)=2,ABS(ABS(K81-J81)-200),"")</f>
        <v/>
      </c>
      <c r="M81" s="33" t="n"/>
      <c r="N81" s="29">
        <f>IF(N(M81)=0,"",M81*0.9)</f>
        <v/>
      </c>
      <c r="O81" s="29">
        <f>IF(N(M81)=0,"",MOD(M81*0.9+180,360))</f>
        <v/>
      </c>
      <c r="P81" s="27" t="n"/>
      <c r="Q81" s="28" t="n"/>
      <c r="R81" s="28" t="n"/>
      <c r="S81" s="34">
        <f>IF(OR(N(M81)=0,N(R81)=0),"",(M81*0.9-R81)*3600)</f>
        <v/>
      </c>
      <c r="T81" s="27" t="n"/>
    </row>
    <row r="82">
      <c r="A82" s="24" t="inlineStr">
        <is>
          <t>S39</t>
        </is>
      </c>
      <c r="B82" s="24" t="inlineStr">
        <is>
          <t>S39-M2</t>
        </is>
      </c>
      <c r="C82" s="24" t="inlineStr">
        <is>
          <t>언양</t>
        </is>
      </c>
      <c r="D82" s="24" t="inlineStr">
        <is>
          <t>방위표지2</t>
        </is>
      </c>
      <c r="E82" s="24" t="n"/>
      <c r="F82" s="24" t="n"/>
      <c r="G82" s="27" t="n"/>
      <c r="H82" s="32" t="inlineStr">
        <is>
          <t>기준점</t>
        </is>
      </c>
      <c r="I82" s="32" t="inlineStr">
        <is>
          <t>방위표지</t>
        </is>
      </c>
      <c r="J82" s="33" t="n"/>
      <c r="K82" s="33" t="n"/>
      <c r="L82" s="29">
        <f>IF(COUNT(J82:K82)=2,ABS(ABS(K82-J82)-200),"")</f>
        <v/>
      </c>
      <c r="M82" s="33" t="n"/>
      <c r="N82" s="29">
        <f>IF(N(M82)=0,"",M82*0.9)</f>
        <v/>
      </c>
      <c r="O82" s="29">
        <f>IF(N(M82)=0,"",MOD(M82*0.9+180,360))</f>
        <v/>
      </c>
      <c r="P82" s="27" t="n"/>
      <c r="Q82" s="28" t="n"/>
      <c r="R82" s="28" t="n"/>
      <c r="S82" s="34">
        <f>IF(OR(N(M82)=0,N(R82)=0),"",(M82*0.9-R82)*3600)</f>
        <v/>
      </c>
      <c r="T82" s="27" t="n"/>
    </row>
    <row r="83">
      <c r="A83" s="24" t="inlineStr">
        <is>
          <t>S40</t>
        </is>
      </c>
      <c r="B83" s="24" t="inlineStr">
        <is>
          <t>S40-M1</t>
        </is>
      </c>
      <c r="C83" s="24" t="inlineStr">
        <is>
          <t>남지</t>
        </is>
      </c>
      <c r="D83" s="24" t="inlineStr">
        <is>
          <t>방위표지1</t>
        </is>
      </c>
      <c r="E83" s="24" t="n"/>
      <c r="F83" s="24" t="n"/>
      <c r="G83" s="27" t="n"/>
      <c r="H83" s="32" t="inlineStr">
        <is>
          <t>기준점</t>
        </is>
      </c>
      <c r="I83" s="32" t="inlineStr">
        <is>
          <t>방위표지</t>
        </is>
      </c>
      <c r="J83" s="33" t="n"/>
      <c r="K83" s="33" t="n"/>
      <c r="L83" s="29">
        <f>IF(COUNT(J83:K83)=2,ABS(ABS(K83-J83)-200),"")</f>
        <v/>
      </c>
      <c r="M83" s="33" t="n"/>
      <c r="N83" s="29">
        <f>IF(N(M83)=0,"",M83*0.9)</f>
        <v/>
      </c>
      <c r="O83" s="29">
        <f>IF(N(M83)=0,"",MOD(M83*0.9+180,360))</f>
        <v/>
      </c>
      <c r="P83" s="27" t="n"/>
      <c r="Q83" s="28" t="n"/>
      <c r="R83" s="28" t="n"/>
      <c r="S83" s="34">
        <f>IF(OR(N(M83)=0,N(R83)=0),"",(M83*0.9-R83)*3600)</f>
        <v/>
      </c>
      <c r="T83" s="27" t="n"/>
    </row>
    <row r="84">
      <c r="A84" s="24" t="inlineStr">
        <is>
          <t>S40</t>
        </is>
      </c>
      <c r="B84" s="24" t="inlineStr">
        <is>
          <t>S40-M2</t>
        </is>
      </c>
      <c r="C84" s="24" t="inlineStr">
        <is>
          <t>남지</t>
        </is>
      </c>
      <c r="D84" s="24" t="inlineStr">
        <is>
          <t>방위표지2</t>
        </is>
      </c>
      <c r="E84" s="24" t="n"/>
      <c r="F84" s="24" t="n"/>
      <c r="G84" s="27" t="n"/>
      <c r="H84" s="32" t="inlineStr">
        <is>
          <t>기준점</t>
        </is>
      </c>
      <c r="I84" s="32" t="inlineStr">
        <is>
          <t>방위표지</t>
        </is>
      </c>
      <c r="J84" s="33" t="n"/>
      <c r="K84" s="33" t="n"/>
      <c r="L84" s="29">
        <f>IF(COUNT(J84:K84)=2,ABS(ABS(K84-J84)-200),"")</f>
        <v/>
      </c>
      <c r="M84" s="33" t="n"/>
      <c r="N84" s="29">
        <f>IF(N(M84)=0,"",M84*0.9)</f>
        <v/>
      </c>
      <c r="O84" s="29">
        <f>IF(N(M84)=0,"",MOD(M84*0.9+180,360))</f>
        <v/>
      </c>
      <c r="P84" s="27" t="n"/>
      <c r="Q84" s="28" t="n"/>
      <c r="R84" s="28" t="n"/>
      <c r="S84" s="34">
        <f>IF(OR(N(M84)=0,N(R84)=0),"",(M84*0.9-R84)*3600)</f>
        <v/>
      </c>
      <c r="T84" s="27" t="n"/>
    </row>
    <row r="85">
      <c r="A85" s="24" t="inlineStr">
        <is>
          <t>S41</t>
        </is>
      </c>
      <c r="B85" s="24" t="inlineStr">
        <is>
          <t>S41-M1</t>
        </is>
      </c>
      <c r="C85" s="24" t="inlineStr">
        <is>
          <t>거제</t>
        </is>
      </c>
      <c r="D85" s="24" t="inlineStr">
        <is>
          <t>방위표지1</t>
        </is>
      </c>
      <c r="E85" s="24" t="n"/>
      <c r="F85" s="24" t="n"/>
      <c r="G85" s="27" t="n"/>
      <c r="H85" s="32" t="inlineStr">
        <is>
          <t>기준점</t>
        </is>
      </c>
      <c r="I85" s="32" t="inlineStr">
        <is>
          <t>방위표지</t>
        </is>
      </c>
      <c r="J85" s="33" t="n"/>
      <c r="K85" s="33" t="n"/>
      <c r="L85" s="29">
        <f>IF(COUNT(J85:K85)=2,ABS(ABS(K85-J85)-200),"")</f>
        <v/>
      </c>
      <c r="M85" s="33" t="n"/>
      <c r="N85" s="29">
        <f>IF(N(M85)=0,"",M85*0.9)</f>
        <v/>
      </c>
      <c r="O85" s="29">
        <f>IF(N(M85)=0,"",MOD(M85*0.9+180,360))</f>
        <v/>
      </c>
      <c r="P85" s="27" t="n"/>
      <c r="Q85" s="28" t="n"/>
      <c r="R85" s="28" t="n"/>
      <c r="S85" s="34">
        <f>IF(OR(N(M85)=0,N(R85)=0),"",(M85*0.9-R85)*3600)</f>
        <v/>
      </c>
      <c r="T85" s="27" t="n"/>
    </row>
    <row r="86">
      <c r="A86" s="24" t="inlineStr">
        <is>
          <t>S41</t>
        </is>
      </c>
      <c r="B86" s="24" t="inlineStr">
        <is>
          <t>S41-M2</t>
        </is>
      </c>
      <c r="C86" s="24" t="inlineStr">
        <is>
          <t>거제</t>
        </is>
      </c>
      <c r="D86" s="24" t="inlineStr">
        <is>
          <t>방위표지2</t>
        </is>
      </c>
      <c r="E86" s="24" t="n"/>
      <c r="F86" s="24" t="n"/>
      <c r="G86" s="27" t="n"/>
      <c r="H86" s="32" t="inlineStr">
        <is>
          <t>기준점</t>
        </is>
      </c>
      <c r="I86" s="32" t="inlineStr">
        <is>
          <t>방위표지</t>
        </is>
      </c>
      <c r="J86" s="33" t="n"/>
      <c r="K86" s="33" t="n"/>
      <c r="L86" s="29">
        <f>IF(COUNT(J86:K86)=2,ABS(ABS(K86-J86)-200),"")</f>
        <v/>
      </c>
      <c r="M86" s="33" t="n"/>
      <c r="N86" s="29">
        <f>IF(N(M86)=0,"",M86*0.9)</f>
        <v/>
      </c>
      <c r="O86" s="29">
        <f>IF(N(M86)=0,"",MOD(M86*0.9+180,360))</f>
        <v/>
      </c>
      <c r="P86" s="27" t="n"/>
      <c r="Q86" s="28" t="n"/>
      <c r="R86" s="28" t="n"/>
      <c r="S86" s="34">
        <f>IF(OR(N(M86)=0,N(R86)=0),"",(M86*0.9-R86)*3600)</f>
        <v/>
      </c>
      <c r="T86" s="27" t="n"/>
    </row>
    <row r="87">
      <c r="A87" s="24" t="inlineStr">
        <is>
          <t>S42</t>
        </is>
      </c>
      <c r="B87" s="24" t="inlineStr">
        <is>
          <t>S42-M1</t>
        </is>
      </c>
      <c r="C87" s="24" t="inlineStr">
        <is>
          <t>조도</t>
        </is>
      </c>
      <c r="D87" s="24" t="inlineStr">
        <is>
          <t>방위표지1</t>
        </is>
      </c>
      <c r="E87" s="24" t="n"/>
      <c r="F87" s="24" t="n"/>
      <c r="G87" s="27" t="n"/>
      <c r="H87" s="32" t="inlineStr">
        <is>
          <t>기준점</t>
        </is>
      </c>
      <c r="I87" s="32" t="inlineStr">
        <is>
          <t>방위표지</t>
        </is>
      </c>
      <c r="J87" s="33" t="n"/>
      <c r="K87" s="33" t="n"/>
      <c r="L87" s="29">
        <f>IF(COUNT(J87:K87)=2,ABS(ABS(K87-J87)-200),"")</f>
        <v/>
      </c>
      <c r="M87" s="33" t="n"/>
      <c r="N87" s="29">
        <f>IF(N(M87)=0,"",M87*0.9)</f>
        <v/>
      </c>
      <c r="O87" s="29">
        <f>IF(N(M87)=0,"",MOD(M87*0.9+180,360))</f>
        <v/>
      </c>
      <c r="P87" s="27" t="n"/>
      <c r="Q87" s="28" t="n"/>
      <c r="R87" s="28" t="n"/>
      <c r="S87" s="34">
        <f>IF(OR(N(M87)=0,N(R87)=0),"",(M87*0.9-R87)*3600)</f>
        <v/>
      </c>
      <c r="T87" s="27" t="n"/>
    </row>
    <row r="88">
      <c r="A88" s="24" t="inlineStr">
        <is>
          <t>S42</t>
        </is>
      </c>
      <c r="B88" s="24" t="inlineStr">
        <is>
          <t>S42-M2</t>
        </is>
      </c>
      <c r="C88" s="24" t="inlineStr">
        <is>
          <t>조도</t>
        </is>
      </c>
      <c r="D88" s="24" t="inlineStr">
        <is>
          <t>방위표지2</t>
        </is>
      </c>
      <c r="E88" s="24" t="n"/>
      <c r="F88" s="24" t="n"/>
      <c r="G88" s="27" t="n"/>
      <c r="H88" s="32" t="inlineStr">
        <is>
          <t>기준점</t>
        </is>
      </c>
      <c r="I88" s="32" t="inlineStr">
        <is>
          <t>방위표지</t>
        </is>
      </c>
      <c r="J88" s="33" t="n"/>
      <c r="K88" s="33" t="n"/>
      <c r="L88" s="29">
        <f>IF(COUNT(J88:K88)=2,ABS(ABS(K88-J88)-200),"")</f>
        <v/>
      </c>
      <c r="M88" s="33" t="n"/>
      <c r="N88" s="29">
        <f>IF(N(M88)=0,"",M88*0.9)</f>
        <v/>
      </c>
      <c r="O88" s="29">
        <f>IF(N(M88)=0,"",MOD(M88*0.9+180,360))</f>
        <v/>
      </c>
      <c r="P88" s="27" t="n"/>
      <c r="Q88" s="28" t="n"/>
      <c r="R88" s="28" t="n"/>
      <c r="S88" s="34">
        <f>IF(OR(N(M88)=0,N(R88)=0),"",(M88*0.9-R88)*3600)</f>
        <v/>
      </c>
      <c r="T88" s="27" t="n"/>
    </row>
    <row r="89">
      <c r="A89" s="24" t="inlineStr">
        <is>
          <t>S43</t>
        </is>
      </c>
      <c r="B89" s="24" t="inlineStr">
        <is>
          <t>S43-M1</t>
        </is>
      </c>
      <c r="C89" s="24" t="inlineStr">
        <is>
          <t>포천</t>
        </is>
      </c>
      <c r="D89" s="24" t="inlineStr">
        <is>
          <t>방위표지1</t>
        </is>
      </c>
      <c r="E89" s="24" t="n"/>
      <c r="F89" s="24" t="n"/>
      <c r="G89" s="27" t="n"/>
      <c r="H89" s="32" t="inlineStr">
        <is>
          <t>기준점</t>
        </is>
      </c>
      <c r="I89" s="32" t="inlineStr">
        <is>
          <t>방위표지</t>
        </is>
      </c>
      <c r="J89" s="33" t="n"/>
      <c r="K89" s="33" t="n"/>
      <c r="L89" s="29">
        <f>IF(COUNT(J89:K89)=2,ABS(ABS(K89-J89)-200),"")</f>
        <v/>
      </c>
      <c r="M89" s="33" t="n"/>
      <c r="N89" s="29">
        <f>IF(N(M89)=0,"",M89*0.9)</f>
        <v/>
      </c>
      <c r="O89" s="29">
        <f>IF(N(M89)=0,"",MOD(M89*0.9+180,360))</f>
        <v/>
      </c>
      <c r="P89" s="27" t="n"/>
      <c r="Q89" s="28" t="n"/>
      <c r="R89" s="28" t="n"/>
      <c r="S89" s="34">
        <f>IF(OR(N(M89)=0,N(R89)=0),"",(M89*0.9-R89)*3600)</f>
        <v/>
      </c>
      <c r="T89" s="27" t="n"/>
    </row>
    <row r="90">
      <c r="A90" s="24" t="inlineStr">
        <is>
          <t>S43</t>
        </is>
      </c>
      <c r="B90" s="24" t="inlineStr">
        <is>
          <t>S43-M2</t>
        </is>
      </c>
      <c r="C90" s="24" t="inlineStr">
        <is>
          <t>포천</t>
        </is>
      </c>
      <c r="D90" s="24" t="inlineStr">
        <is>
          <t>방위표지2</t>
        </is>
      </c>
      <c r="E90" s="24" t="n"/>
      <c r="F90" s="24" t="n"/>
      <c r="G90" s="27" t="n"/>
      <c r="H90" s="32" t="inlineStr">
        <is>
          <t>기준점</t>
        </is>
      </c>
      <c r="I90" s="32" t="inlineStr">
        <is>
          <t>방위표지</t>
        </is>
      </c>
      <c r="J90" s="33" t="n"/>
      <c r="K90" s="33" t="n"/>
      <c r="L90" s="29">
        <f>IF(COUNT(J90:K90)=2,ABS(ABS(K90-J90)-200),"")</f>
        <v/>
      </c>
      <c r="M90" s="33" t="n"/>
      <c r="N90" s="29">
        <f>IF(N(M90)=0,"",M90*0.9)</f>
        <v/>
      </c>
      <c r="O90" s="29">
        <f>IF(N(M90)=0,"",MOD(M90*0.9+180,360))</f>
        <v/>
      </c>
      <c r="P90" s="27" t="n"/>
      <c r="Q90" s="28" t="n"/>
      <c r="R90" s="28" t="n"/>
      <c r="S90" s="34">
        <f>IF(OR(N(M90)=0,N(R90)=0),"",(M90*0.9-R90)*3600)</f>
        <v/>
      </c>
      <c r="T90" s="27" t="n"/>
    </row>
    <row r="91">
      <c r="A91" s="24" t="inlineStr">
        <is>
          <t>S44</t>
        </is>
      </c>
      <c r="B91" s="24" t="inlineStr">
        <is>
          <t>S44-M1</t>
        </is>
      </c>
      <c r="C91" s="24" t="inlineStr">
        <is>
          <t>성산</t>
        </is>
      </c>
      <c r="D91" s="24" t="inlineStr">
        <is>
          <t>방위표지1</t>
        </is>
      </c>
      <c r="E91" s="24" t="n"/>
      <c r="F91" s="24" t="n"/>
      <c r="G91" s="27" t="n"/>
      <c r="H91" s="32" t="inlineStr">
        <is>
          <t>기준점</t>
        </is>
      </c>
      <c r="I91" s="32" t="inlineStr">
        <is>
          <t>방위표지</t>
        </is>
      </c>
      <c r="J91" s="33" t="n"/>
      <c r="K91" s="33" t="n"/>
      <c r="L91" s="29">
        <f>IF(COUNT(J91:K91)=2,ABS(ABS(K91-J91)-200),"")</f>
        <v/>
      </c>
      <c r="M91" s="33" t="n"/>
      <c r="N91" s="29">
        <f>IF(N(M91)=0,"",M91*0.9)</f>
        <v/>
      </c>
      <c r="O91" s="29">
        <f>IF(N(M91)=0,"",MOD(M91*0.9+180,360))</f>
        <v/>
      </c>
      <c r="P91" s="27" t="n"/>
      <c r="Q91" s="28" t="n"/>
      <c r="R91" s="28" t="n"/>
      <c r="S91" s="34">
        <f>IF(OR(N(M91)=0,N(R91)=0),"",(M91*0.9-R91)*3600)</f>
        <v/>
      </c>
      <c r="T91" s="27" t="n"/>
    </row>
    <row r="92">
      <c r="A92" s="24" t="inlineStr">
        <is>
          <t>S44</t>
        </is>
      </c>
      <c r="B92" s="24" t="inlineStr">
        <is>
          <t>S44-M2</t>
        </is>
      </c>
      <c r="C92" s="24" t="inlineStr">
        <is>
          <t>성산</t>
        </is>
      </c>
      <c r="D92" s="24" t="inlineStr">
        <is>
          <t>방위표지2</t>
        </is>
      </c>
      <c r="E92" s="24" t="n"/>
      <c r="F92" s="24" t="n"/>
      <c r="G92" s="27" t="n"/>
      <c r="H92" s="32" t="inlineStr">
        <is>
          <t>기준점</t>
        </is>
      </c>
      <c r="I92" s="32" t="inlineStr">
        <is>
          <t>방위표지</t>
        </is>
      </c>
      <c r="J92" s="33" t="n"/>
      <c r="K92" s="33" t="n"/>
      <c r="L92" s="29">
        <f>IF(COUNT(J92:K92)=2,ABS(ABS(K92-J92)-200),"")</f>
        <v/>
      </c>
      <c r="M92" s="33" t="n"/>
      <c r="N92" s="29">
        <f>IF(N(M92)=0,"",M92*0.9)</f>
        <v/>
      </c>
      <c r="O92" s="29">
        <f>IF(N(M92)=0,"",MOD(M92*0.9+180,360))</f>
        <v/>
      </c>
      <c r="P92" s="27" t="n"/>
      <c r="Q92" s="28" t="n"/>
      <c r="R92" s="28" t="n"/>
      <c r="S92" s="34">
        <f>IF(OR(N(M92)=0,N(R92)=0),"",(M92*0.9-R92)*3600)</f>
        <v/>
      </c>
      <c r="T92" s="27" t="n"/>
    </row>
    <row r="93">
      <c r="A93" s="24" t="inlineStr">
        <is>
          <t>S45</t>
        </is>
      </c>
      <c r="B93" s="24" t="inlineStr">
        <is>
          <t>S45-M1</t>
        </is>
      </c>
      <c r="C93" s="24" t="inlineStr">
        <is>
          <t>여주</t>
        </is>
      </c>
      <c r="D93" s="24" t="inlineStr">
        <is>
          <t>방위표지1</t>
        </is>
      </c>
      <c r="E93" s="24" t="n"/>
      <c r="F93" s="24" t="n"/>
      <c r="G93" s="27" t="n"/>
      <c r="H93" s="32" t="inlineStr">
        <is>
          <t>기준점</t>
        </is>
      </c>
      <c r="I93" s="32" t="inlineStr">
        <is>
          <t>방위표지</t>
        </is>
      </c>
      <c r="J93" s="33" t="n"/>
      <c r="K93" s="33" t="n"/>
      <c r="L93" s="29">
        <f>IF(COUNT(J93:K93)=2,ABS(ABS(K93-J93)-200),"")</f>
        <v/>
      </c>
      <c r="M93" s="33" t="n"/>
      <c r="N93" s="29">
        <f>IF(N(M93)=0,"",M93*0.9)</f>
        <v/>
      </c>
      <c r="O93" s="29">
        <f>IF(N(M93)=0,"",MOD(M93*0.9+180,360))</f>
        <v/>
      </c>
      <c r="P93" s="27" t="n"/>
      <c r="Q93" s="28" t="n"/>
      <c r="R93" s="28" t="n"/>
      <c r="S93" s="34">
        <f>IF(OR(N(M93)=0,N(R93)=0),"",(M93*0.9-R93)*3600)</f>
        <v/>
      </c>
      <c r="T93" s="27" t="n"/>
    </row>
    <row r="94">
      <c r="A94" s="24" t="inlineStr">
        <is>
          <t>S45</t>
        </is>
      </c>
      <c r="B94" s="24" t="inlineStr">
        <is>
          <t>S45-M2</t>
        </is>
      </c>
      <c r="C94" s="24" t="inlineStr">
        <is>
          <t>여주</t>
        </is>
      </c>
      <c r="D94" s="24" t="inlineStr">
        <is>
          <t>방위표지2</t>
        </is>
      </c>
      <c r="E94" s="24" t="n"/>
      <c r="F94" s="24" t="n"/>
      <c r="G94" s="27" t="n"/>
      <c r="H94" s="32" t="inlineStr">
        <is>
          <t>기준점</t>
        </is>
      </c>
      <c r="I94" s="32" t="inlineStr">
        <is>
          <t>방위표지</t>
        </is>
      </c>
      <c r="J94" s="33" t="n"/>
      <c r="K94" s="33" t="n"/>
      <c r="L94" s="29">
        <f>IF(COUNT(J94:K94)=2,ABS(ABS(K94-J94)-200),"")</f>
        <v/>
      </c>
      <c r="M94" s="33" t="n"/>
      <c r="N94" s="29">
        <f>IF(N(M94)=0,"",M94*0.9)</f>
        <v/>
      </c>
      <c r="O94" s="29">
        <f>IF(N(M94)=0,"",MOD(M94*0.9+180,360))</f>
        <v/>
      </c>
      <c r="P94" s="27" t="n"/>
      <c r="Q94" s="28" t="n"/>
      <c r="R94" s="28" t="n"/>
      <c r="S94" s="34">
        <f>IF(OR(N(M94)=0,N(R94)=0),"",(M94*0.9-R94)*3600)</f>
        <v/>
      </c>
      <c r="T94" s="27" t="n"/>
    </row>
    <row r="95">
      <c r="A95" s="24" t="inlineStr">
        <is>
          <t>S46</t>
        </is>
      </c>
      <c r="B95" s="24" t="inlineStr">
        <is>
          <t>S46-M1</t>
        </is>
      </c>
      <c r="C95" s="24" t="inlineStr">
        <is>
          <t>화천</t>
        </is>
      </c>
      <c r="D95" s="24" t="inlineStr">
        <is>
          <t>방위표지1</t>
        </is>
      </c>
      <c r="E95" s="24" t="n"/>
      <c r="F95" s="24" t="n"/>
      <c r="G95" s="27" t="n"/>
      <c r="H95" s="32" t="inlineStr">
        <is>
          <t>기준점</t>
        </is>
      </c>
      <c r="I95" s="32" t="inlineStr">
        <is>
          <t>방위표지</t>
        </is>
      </c>
      <c r="J95" s="33" t="n"/>
      <c r="K95" s="33" t="n"/>
      <c r="L95" s="29">
        <f>IF(COUNT(J95:K95)=2,ABS(ABS(K95-J95)-200),"")</f>
        <v/>
      </c>
      <c r="M95" s="33" t="n"/>
      <c r="N95" s="29">
        <f>IF(N(M95)=0,"",M95*0.9)</f>
        <v/>
      </c>
      <c r="O95" s="29">
        <f>IF(N(M95)=0,"",MOD(M95*0.9+180,360))</f>
        <v/>
      </c>
      <c r="P95" s="27" t="n"/>
      <c r="Q95" s="28" t="n"/>
      <c r="R95" s="28" t="n"/>
      <c r="S95" s="34">
        <f>IF(OR(N(M95)=0,N(R95)=0),"",(M95*0.9-R95)*3600)</f>
        <v/>
      </c>
      <c r="T95" s="27" t="n"/>
    </row>
    <row r="96">
      <c r="A96" s="24" t="inlineStr">
        <is>
          <t>S46</t>
        </is>
      </c>
      <c r="B96" s="24" t="inlineStr">
        <is>
          <t>S46-M2</t>
        </is>
      </c>
      <c r="C96" s="24" t="inlineStr">
        <is>
          <t>화천</t>
        </is>
      </c>
      <c r="D96" s="24" t="inlineStr">
        <is>
          <t>방위표지2</t>
        </is>
      </c>
      <c r="E96" s="24" t="n"/>
      <c r="F96" s="24" t="n"/>
      <c r="G96" s="27" t="n"/>
      <c r="H96" s="32" t="inlineStr">
        <is>
          <t>기준점</t>
        </is>
      </c>
      <c r="I96" s="32" t="inlineStr">
        <is>
          <t>방위표지</t>
        </is>
      </c>
      <c r="J96" s="33" t="n"/>
      <c r="K96" s="33" t="n"/>
      <c r="L96" s="29">
        <f>IF(COUNT(J96:K96)=2,ABS(ABS(K96-J96)-200),"")</f>
        <v/>
      </c>
      <c r="M96" s="33" t="n"/>
      <c r="N96" s="29">
        <f>IF(N(M96)=0,"",M96*0.9)</f>
        <v/>
      </c>
      <c r="O96" s="29">
        <f>IF(N(M96)=0,"",MOD(M96*0.9+180,360))</f>
        <v/>
      </c>
      <c r="P96" s="27" t="n"/>
      <c r="Q96" s="28" t="n"/>
      <c r="R96" s="28" t="n"/>
      <c r="S96" s="34">
        <f>IF(OR(N(M96)=0,N(R96)=0),"",(M96*0.9-R96)*3600)</f>
        <v/>
      </c>
      <c r="T96" s="27" t="n"/>
    </row>
    <row r="97">
      <c r="A97" s="24" t="inlineStr">
        <is>
          <t>S47</t>
        </is>
      </c>
      <c r="B97" s="24" t="inlineStr">
        <is>
          <t>S47-M1</t>
        </is>
      </c>
      <c r="C97" s="24" t="inlineStr">
        <is>
          <t>봉평</t>
        </is>
      </c>
      <c r="D97" s="24" t="inlineStr">
        <is>
          <t>방위표지1</t>
        </is>
      </c>
      <c r="E97" s="24" t="n"/>
      <c r="F97" s="24" t="n"/>
      <c r="G97" s="27" t="n"/>
      <c r="H97" s="32" t="inlineStr">
        <is>
          <t>기준점</t>
        </is>
      </c>
      <c r="I97" s="32" t="inlineStr">
        <is>
          <t>방위표지</t>
        </is>
      </c>
      <c r="J97" s="33" t="n"/>
      <c r="K97" s="33" t="n"/>
      <c r="L97" s="29">
        <f>IF(COUNT(J97:K97)=2,ABS(ABS(K97-J97)-200),"")</f>
        <v/>
      </c>
      <c r="M97" s="33" t="n"/>
      <c r="N97" s="29">
        <f>IF(N(M97)=0,"",M97*0.9)</f>
        <v/>
      </c>
      <c r="O97" s="29">
        <f>IF(N(M97)=0,"",MOD(M97*0.9+180,360))</f>
        <v/>
      </c>
      <c r="P97" s="27" t="n"/>
      <c r="Q97" s="28" t="n"/>
      <c r="R97" s="28" t="n"/>
      <c r="S97" s="34">
        <f>IF(OR(N(M97)=0,N(R97)=0),"",(M97*0.9-R97)*3600)</f>
        <v/>
      </c>
      <c r="T97" s="27" t="n"/>
    </row>
    <row r="98">
      <c r="A98" s="24" t="inlineStr">
        <is>
          <t>S47</t>
        </is>
      </c>
      <c r="B98" s="24" t="inlineStr">
        <is>
          <t>S47-M2</t>
        </is>
      </c>
      <c r="C98" s="24" t="inlineStr">
        <is>
          <t>봉평</t>
        </is>
      </c>
      <c r="D98" s="24" t="inlineStr">
        <is>
          <t>방위표지2</t>
        </is>
      </c>
      <c r="E98" s="24" t="n"/>
      <c r="F98" s="24" t="n"/>
      <c r="G98" s="27" t="n"/>
      <c r="H98" s="32" t="inlineStr">
        <is>
          <t>기준점</t>
        </is>
      </c>
      <c r="I98" s="32" t="inlineStr">
        <is>
          <t>방위표지</t>
        </is>
      </c>
      <c r="J98" s="33" t="n"/>
      <c r="K98" s="33" t="n"/>
      <c r="L98" s="29">
        <f>IF(COUNT(J98:K98)=2,ABS(ABS(K98-J98)-200),"")</f>
        <v/>
      </c>
      <c r="M98" s="33" t="n"/>
      <c r="N98" s="29">
        <f>IF(N(M98)=0,"",M98*0.9)</f>
        <v/>
      </c>
      <c r="O98" s="29">
        <f>IF(N(M98)=0,"",MOD(M98*0.9+180,360))</f>
        <v/>
      </c>
      <c r="P98" s="27" t="n"/>
      <c r="Q98" s="28" t="n"/>
      <c r="R98" s="28" t="n"/>
      <c r="S98" s="34">
        <f>IF(OR(N(M98)=0,N(R98)=0),"",(M98*0.9-R98)*3600)</f>
        <v/>
      </c>
      <c r="T98" s="27" t="n"/>
    </row>
    <row r="99">
      <c r="A99" s="24" t="inlineStr">
        <is>
          <t>S48</t>
        </is>
      </c>
      <c r="B99" s="24" t="inlineStr">
        <is>
          <t>S48-M1</t>
        </is>
      </c>
      <c r="C99" s="24" t="inlineStr">
        <is>
          <t>삼척</t>
        </is>
      </c>
      <c r="D99" s="24" t="inlineStr">
        <is>
          <t>방위표지1</t>
        </is>
      </c>
      <c r="E99" s="24" t="n"/>
      <c r="F99" s="24" t="n"/>
      <c r="G99" s="27" t="n"/>
      <c r="H99" s="32" t="inlineStr">
        <is>
          <t>기준점</t>
        </is>
      </c>
      <c r="I99" s="32" t="inlineStr">
        <is>
          <t>방위표지</t>
        </is>
      </c>
      <c r="J99" s="33" t="n"/>
      <c r="K99" s="33" t="n"/>
      <c r="L99" s="29">
        <f>IF(COUNT(J99:K99)=2,ABS(ABS(K99-J99)-200),"")</f>
        <v/>
      </c>
      <c r="M99" s="33" t="n"/>
      <c r="N99" s="29">
        <f>IF(N(M99)=0,"",M99*0.9)</f>
        <v/>
      </c>
      <c r="O99" s="29">
        <f>IF(N(M99)=0,"",MOD(M99*0.9+180,360))</f>
        <v/>
      </c>
      <c r="P99" s="27" t="n"/>
      <c r="Q99" s="28" t="n"/>
      <c r="R99" s="28" t="n"/>
      <c r="S99" s="34">
        <f>IF(OR(N(M99)=0,N(R99)=0),"",(M99*0.9-R99)*3600)</f>
        <v/>
      </c>
      <c r="T99" s="27" t="n"/>
    </row>
    <row r="100">
      <c r="A100" s="24" t="inlineStr">
        <is>
          <t>S48</t>
        </is>
      </c>
      <c r="B100" s="24" t="inlineStr">
        <is>
          <t>S48-M2</t>
        </is>
      </c>
      <c r="C100" s="24" t="inlineStr">
        <is>
          <t>삼척</t>
        </is>
      </c>
      <c r="D100" s="24" t="inlineStr">
        <is>
          <t>방위표지2</t>
        </is>
      </c>
      <c r="E100" s="24" t="n"/>
      <c r="F100" s="24" t="n"/>
      <c r="G100" s="27" t="n"/>
      <c r="H100" s="32" t="inlineStr">
        <is>
          <t>기준점</t>
        </is>
      </c>
      <c r="I100" s="32" t="inlineStr">
        <is>
          <t>방위표지</t>
        </is>
      </c>
      <c r="J100" s="33" t="n"/>
      <c r="K100" s="33" t="n"/>
      <c r="L100" s="29">
        <f>IF(COUNT(J100:K100)=2,ABS(ABS(K100-J100)-200),"")</f>
        <v/>
      </c>
      <c r="M100" s="33" t="n"/>
      <c r="N100" s="29">
        <f>IF(N(M100)=0,"",M100*0.9)</f>
        <v/>
      </c>
      <c r="O100" s="29">
        <f>IF(N(M100)=0,"",MOD(M100*0.9+180,360))</f>
        <v/>
      </c>
      <c r="P100" s="27" t="n"/>
      <c r="Q100" s="28" t="n"/>
      <c r="R100" s="28" t="n"/>
      <c r="S100" s="34">
        <f>IF(OR(N(M100)=0,N(R100)=0),"",(M100*0.9-R100)*3600)</f>
        <v/>
      </c>
      <c r="T100" s="27" t="n"/>
    </row>
    <row r="101">
      <c r="A101" s="24" t="inlineStr">
        <is>
          <t>S49</t>
        </is>
      </c>
      <c r="B101" s="24" t="inlineStr">
        <is>
          <t>S49-M1</t>
        </is>
      </c>
      <c r="C101" s="24" t="inlineStr">
        <is>
          <t>제천</t>
        </is>
      </c>
      <c r="D101" s="24" t="inlineStr">
        <is>
          <t>방위표지1</t>
        </is>
      </c>
      <c r="E101" s="24" t="n"/>
      <c r="F101" s="24" t="n"/>
      <c r="G101" s="27" t="n"/>
      <c r="H101" s="32" t="inlineStr">
        <is>
          <t>기준점</t>
        </is>
      </c>
      <c r="I101" s="32" t="inlineStr">
        <is>
          <t>방위표지</t>
        </is>
      </c>
      <c r="J101" s="33" t="n"/>
      <c r="K101" s="33" t="n"/>
      <c r="L101" s="29">
        <f>IF(COUNT(J101:K101)=2,ABS(ABS(K101-J101)-200),"")</f>
        <v/>
      </c>
      <c r="M101" s="33" t="n"/>
      <c r="N101" s="29">
        <f>IF(N(M101)=0,"",M101*0.9)</f>
        <v/>
      </c>
      <c r="O101" s="29">
        <f>IF(N(M101)=0,"",MOD(M101*0.9+180,360))</f>
        <v/>
      </c>
      <c r="P101" s="27" t="n"/>
      <c r="Q101" s="28" t="n"/>
      <c r="R101" s="28" t="n"/>
      <c r="S101" s="34">
        <f>IF(OR(N(M101)=0,N(R101)=0),"",(M101*0.9-R101)*3600)</f>
        <v/>
      </c>
      <c r="T101" s="27" t="n"/>
    </row>
    <row r="102">
      <c r="A102" s="24" t="inlineStr">
        <is>
          <t>S49</t>
        </is>
      </c>
      <c r="B102" s="24" t="inlineStr">
        <is>
          <t>S49-M2</t>
        </is>
      </c>
      <c r="C102" s="24" t="inlineStr">
        <is>
          <t>제천</t>
        </is>
      </c>
      <c r="D102" s="24" t="inlineStr">
        <is>
          <t>방위표지2</t>
        </is>
      </c>
      <c r="E102" s="24" t="n"/>
      <c r="F102" s="24" t="n"/>
      <c r="G102" s="27" t="n"/>
      <c r="H102" s="32" t="inlineStr">
        <is>
          <t>기준점</t>
        </is>
      </c>
      <c r="I102" s="32" t="inlineStr">
        <is>
          <t>방위표지</t>
        </is>
      </c>
      <c r="J102" s="33" t="n"/>
      <c r="K102" s="33" t="n"/>
      <c r="L102" s="29">
        <f>IF(COUNT(J102:K102)=2,ABS(ABS(K102-J102)-200),"")</f>
        <v/>
      </c>
      <c r="M102" s="33" t="n"/>
      <c r="N102" s="29">
        <f>IF(N(M102)=0,"",M102*0.9)</f>
        <v/>
      </c>
      <c r="O102" s="29">
        <f>IF(N(M102)=0,"",MOD(M102*0.9+180,360))</f>
        <v/>
      </c>
      <c r="P102" s="27" t="n"/>
      <c r="Q102" s="28" t="n"/>
      <c r="R102" s="28" t="n"/>
      <c r="S102" s="34">
        <f>IF(OR(N(M102)=0,N(R102)=0),"",(M102*0.9-R102)*3600)</f>
        <v/>
      </c>
      <c r="T102" s="27" t="n"/>
    </row>
    <row r="103">
      <c r="A103" s="24" t="inlineStr">
        <is>
          <t>S50</t>
        </is>
      </c>
      <c r="B103" s="24" t="inlineStr">
        <is>
          <t>S50-M1</t>
        </is>
      </c>
      <c r="C103" s="24" t="inlineStr">
        <is>
          <t>함양</t>
        </is>
      </c>
      <c r="D103" s="24" t="inlineStr">
        <is>
          <t>방위표지1</t>
        </is>
      </c>
      <c r="E103" s="24" t="n"/>
      <c r="F103" s="24" t="n"/>
      <c r="G103" s="27" t="n"/>
      <c r="H103" s="32" t="inlineStr">
        <is>
          <t>기준점</t>
        </is>
      </c>
      <c r="I103" s="32" t="inlineStr">
        <is>
          <t>방위표지</t>
        </is>
      </c>
      <c r="J103" s="33" t="n"/>
      <c r="K103" s="33" t="n"/>
      <c r="L103" s="29">
        <f>IF(COUNT(J103:K103)=2,ABS(ABS(K103-J103)-200),"")</f>
        <v/>
      </c>
      <c r="M103" s="33" t="n"/>
      <c r="N103" s="29">
        <f>IF(N(M103)=0,"",M103*0.9)</f>
        <v/>
      </c>
      <c r="O103" s="29">
        <f>IF(N(M103)=0,"",MOD(M103*0.9+180,360))</f>
        <v/>
      </c>
      <c r="P103" s="27" t="n"/>
      <c r="Q103" s="28" t="n"/>
      <c r="R103" s="28" t="n"/>
      <c r="S103" s="34">
        <f>IF(OR(N(M103)=0,N(R103)=0),"",(M103*0.9-R103)*3600)</f>
        <v/>
      </c>
      <c r="T103" s="27" t="n"/>
    </row>
    <row r="104">
      <c r="A104" s="24" t="inlineStr">
        <is>
          <t>S50</t>
        </is>
      </c>
      <c r="B104" s="24" t="inlineStr">
        <is>
          <t>S50-M2</t>
        </is>
      </c>
      <c r="C104" s="24" t="inlineStr">
        <is>
          <t>함양</t>
        </is>
      </c>
      <c r="D104" s="24" t="inlineStr">
        <is>
          <t>방위표지2</t>
        </is>
      </c>
      <c r="E104" s="24" t="n"/>
      <c r="F104" s="24" t="n"/>
      <c r="G104" s="27" t="n"/>
      <c r="H104" s="32" t="inlineStr">
        <is>
          <t>기준점</t>
        </is>
      </c>
      <c r="I104" s="32" t="inlineStr">
        <is>
          <t>방위표지</t>
        </is>
      </c>
      <c r="J104" s="33" t="n"/>
      <c r="K104" s="33" t="n"/>
      <c r="L104" s="29">
        <f>IF(COUNT(J104:K104)=2,ABS(ABS(K104-J104)-200),"")</f>
        <v/>
      </c>
      <c r="M104" s="33" t="n"/>
      <c r="N104" s="29">
        <f>IF(N(M104)=0,"",M104*0.9)</f>
        <v/>
      </c>
      <c r="O104" s="29">
        <f>IF(N(M104)=0,"",MOD(M104*0.9+180,360))</f>
        <v/>
      </c>
      <c r="P104" s="27" t="n"/>
      <c r="Q104" s="28" t="n"/>
      <c r="R104" s="28" t="n"/>
      <c r="S104" s="34">
        <f>IF(OR(N(M104)=0,N(R104)=0),"",(M104*0.9-R104)*3600)</f>
        <v/>
      </c>
      <c r="T104" s="27" t="n"/>
    </row>
  </sheetData>
  <mergeCells count="3">
    <mergeCell ref="A1:T1"/>
    <mergeCell ref="A3:T3"/>
    <mergeCell ref="A2:T2"/>
  </mergeCells>
  <dataValidations count="2">
    <dataValidation sqref="P5:P104" showDropDown="0" showInputMessage="0" showErrorMessage="0" allowBlank="1" type="list">
      <formula1>"천문관측,자이로,RTK 장기선,좌표계산,기존 성과 인용,PENDING"</formula1>
    </dataValidation>
    <dataValidation sqref="L5:L104" showDropDown="0" showInputMessage="0" showErrorMessage="1" allowBlank="1" errorTitle="예상 범위 밖" error="마크 폐합차가 0.02 gon(약 65″)을 넘는다. 시준을 재확인할 것." type="decimal" errorStyle="warning" operator="between">
      <formula1>0</formula1>
      <formula2>0.02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1" customWidth="1" min="4" max="4"/>
    <col width="11" customWidth="1" min="5" max="5"/>
    <col width="11" customWidth="1" min="6" max="6"/>
    <col width="18" customWidth="1" min="7" max="7"/>
    <col width="12" customWidth="1" min="8" max="8"/>
    <col width="11" customWidth="1" min="9" max="9"/>
    <col width="19" customWidth="1" min="10" max="10"/>
    <col width="19" customWidth="1" min="11" max="11"/>
    <col width="24" customWidth="1" min="12" max="12"/>
    <col width="26" customWidth="1" min="13" max="13"/>
  </cols>
  <sheetData>
    <row r="1" ht="26" customHeight="1">
      <c r="A1" s="1" t="inlineStr">
        <is>
          <t>현지 기준자력계(연속 기록) — 일변화와 공간변화를 나누는 유일한 수단</t>
        </is>
      </c>
    </row>
    <row r="2" ht="47" customHeight="1">
      <c r="A2" s="3" t="inlineStr">
        <is>
          <t>⚠ 같은 측선을 시간을 두고 두 번 재는 것만으로는 «공간장»과 «시간변화»를 나눌 수 없다. 같은 순서로 돌면 위치와 시각이 함께 움직이기 때문이다. 상시관측소는 중앙 101 km · 최대 229 km 떨어져 있고, 그 거리에서 «외부장이 전역 균일»하다는 근사가 깨짐을 이 프로젝트가 이미 실증했다.</t>
        </is>
      </c>
    </row>
    <row r="3" ht="33" customHeight="1">
      <c r="A3" s="2" t="inlineStr">
        <is>
          <t>→ 현지 고정점에 기준자력계를 두고 «초 단위로 동기화»해 연속 기록한다. 기준자력계를 운용하지 못한 점은 ⑩ 판정에서 「시간변화 미분리」로 표시하고 **선점 확정 근거로 쓰지 않는다**. (투입 여부는 예산·인력 판단 — ⑫ 참조)</t>
        </is>
      </c>
    </row>
    <row r="4" ht="34" customHeight="1">
      <c r="A4" s="7" t="inlineStr">
        <is>
          <t>Site ID</t>
        </is>
      </c>
      <c r="B4" s="7" t="inlineStr">
        <is>
          <t>Visit ID</t>
        </is>
      </c>
      <c r="C4" s="8" t="inlineStr">
        <is>
          <t>기준자력계 위치 ID</t>
        </is>
      </c>
      <c r="D4" s="8" t="inlineStr">
        <is>
          <t>위도</t>
        </is>
      </c>
      <c r="E4" s="8" t="inlineStr">
        <is>
          <t>경도</t>
        </is>
      </c>
      <c r="F4" s="8" t="inlineStr">
        <is>
          <t>센서 높이(m)</t>
        </is>
      </c>
      <c r="G4" s="8" t="inlineStr">
        <is>
          <t>기기 제조사·모델</t>
        </is>
      </c>
      <c r="H4" s="8" t="inlineStr">
        <is>
          <t>기기번호</t>
        </is>
      </c>
      <c r="I4" s="8" t="inlineStr">
        <is>
          <t>기록 간격(s)</t>
        </is>
      </c>
      <c r="J4" s="8" t="inlineStr">
        <is>
          <t>기록 시작(KST)</t>
        </is>
      </c>
      <c r="K4" s="8" t="inlineStr">
        <is>
          <t>기록 종료(KST)</t>
        </is>
      </c>
      <c r="L4" s="8" t="inlineStr">
        <is>
          <t>이동 자력계와 시계 동기 방법</t>
        </is>
      </c>
      <c r="M4" s="8" t="inlineStr">
        <is>
          <t>기록파일명</t>
        </is>
      </c>
    </row>
    <row r="5">
      <c r="A5" s="27" t="n"/>
      <c r="B5" s="27" t="n"/>
      <c r="C5" s="27" t="n"/>
      <c r="D5" s="26" t="n"/>
      <c r="E5" s="26" t="n"/>
      <c r="F5" s="28" t="n"/>
      <c r="G5" s="27" t="n"/>
      <c r="H5" s="27" t="n"/>
      <c r="I5" s="35" t="n"/>
      <c r="J5" s="36" t="n"/>
      <c r="K5" s="36" t="n"/>
      <c r="L5" s="27" t="n"/>
      <c r="M5" s="27" t="n"/>
    </row>
    <row r="6">
      <c r="A6" s="27" t="n"/>
      <c r="B6" s="27" t="n"/>
      <c r="C6" s="27" t="n"/>
      <c r="D6" s="26" t="n"/>
      <c r="E6" s="26" t="n"/>
      <c r="F6" s="28" t="n"/>
      <c r="G6" s="27" t="n"/>
      <c r="H6" s="27" t="n"/>
      <c r="I6" s="35" t="n"/>
      <c r="J6" s="36" t="n"/>
      <c r="K6" s="36" t="n"/>
      <c r="L6" s="27" t="n"/>
      <c r="M6" s="27" t="n"/>
    </row>
    <row r="7">
      <c r="A7" s="27" t="n"/>
      <c r="B7" s="27" t="n"/>
      <c r="C7" s="27" t="n"/>
      <c r="D7" s="26" t="n"/>
      <c r="E7" s="26" t="n"/>
      <c r="F7" s="28" t="n"/>
      <c r="G7" s="27" t="n"/>
      <c r="H7" s="27" t="n"/>
      <c r="I7" s="35" t="n"/>
      <c r="J7" s="36" t="n"/>
      <c r="K7" s="36" t="n"/>
      <c r="L7" s="27" t="n"/>
      <c r="M7" s="27" t="n"/>
    </row>
    <row r="8">
      <c r="A8" s="27" t="n"/>
      <c r="B8" s="27" t="n"/>
      <c r="C8" s="27" t="n"/>
      <c r="D8" s="26" t="n"/>
      <c r="E8" s="26" t="n"/>
      <c r="F8" s="28" t="n"/>
      <c r="G8" s="27" t="n"/>
      <c r="H8" s="27" t="n"/>
      <c r="I8" s="35" t="n"/>
      <c r="J8" s="36" t="n"/>
      <c r="K8" s="36" t="n"/>
      <c r="L8" s="27" t="n"/>
      <c r="M8" s="27" t="n"/>
    </row>
    <row r="9">
      <c r="A9" s="27" t="n"/>
      <c r="B9" s="27" t="n"/>
      <c r="C9" s="27" t="n"/>
      <c r="D9" s="26" t="n"/>
      <c r="E9" s="26" t="n"/>
      <c r="F9" s="28" t="n"/>
      <c r="G9" s="27" t="n"/>
      <c r="H9" s="27" t="n"/>
      <c r="I9" s="35" t="n"/>
      <c r="J9" s="36" t="n"/>
      <c r="K9" s="36" t="n"/>
      <c r="L9" s="27" t="n"/>
      <c r="M9" s="27" t="n"/>
    </row>
    <row r="10">
      <c r="A10" s="27" t="n"/>
      <c r="B10" s="27" t="n"/>
      <c r="C10" s="27" t="n"/>
      <c r="D10" s="26" t="n"/>
      <c r="E10" s="26" t="n"/>
      <c r="F10" s="28" t="n"/>
      <c r="G10" s="27" t="n"/>
      <c r="H10" s="27" t="n"/>
      <c r="I10" s="35" t="n"/>
      <c r="J10" s="36" t="n"/>
      <c r="K10" s="36" t="n"/>
      <c r="L10" s="27" t="n"/>
      <c r="M10" s="27" t="n"/>
    </row>
    <row r="11">
      <c r="A11" s="27" t="n"/>
      <c r="B11" s="27" t="n"/>
      <c r="C11" s="27" t="n"/>
      <c r="D11" s="26" t="n"/>
      <c r="E11" s="26" t="n"/>
      <c r="F11" s="28" t="n"/>
      <c r="G11" s="27" t="n"/>
      <c r="H11" s="27" t="n"/>
      <c r="I11" s="35" t="n"/>
      <c r="J11" s="36" t="n"/>
      <c r="K11" s="36" t="n"/>
      <c r="L11" s="27" t="n"/>
      <c r="M11" s="27" t="n"/>
    </row>
    <row r="12">
      <c r="A12" s="27" t="n"/>
      <c r="B12" s="27" t="n"/>
      <c r="C12" s="27" t="n"/>
      <c r="D12" s="26" t="n"/>
      <c r="E12" s="26" t="n"/>
      <c r="F12" s="28" t="n"/>
      <c r="G12" s="27" t="n"/>
      <c r="H12" s="27" t="n"/>
      <c r="I12" s="35" t="n"/>
      <c r="J12" s="36" t="n"/>
      <c r="K12" s="36" t="n"/>
      <c r="L12" s="27" t="n"/>
      <c r="M12" s="27" t="n"/>
    </row>
    <row r="13">
      <c r="A13" s="27" t="n"/>
      <c r="B13" s="27" t="n"/>
      <c r="C13" s="27" t="n"/>
      <c r="D13" s="26" t="n"/>
      <c r="E13" s="26" t="n"/>
      <c r="F13" s="28" t="n"/>
      <c r="G13" s="27" t="n"/>
      <c r="H13" s="27" t="n"/>
      <c r="I13" s="35" t="n"/>
      <c r="J13" s="36" t="n"/>
      <c r="K13" s="36" t="n"/>
      <c r="L13" s="27" t="n"/>
      <c r="M13" s="27" t="n"/>
    </row>
    <row r="14">
      <c r="A14" s="27" t="n"/>
      <c r="B14" s="27" t="n"/>
      <c r="C14" s="27" t="n"/>
      <c r="D14" s="26" t="n"/>
      <c r="E14" s="26" t="n"/>
      <c r="F14" s="28" t="n"/>
      <c r="G14" s="27" t="n"/>
      <c r="H14" s="27" t="n"/>
      <c r="I14" s="35" t="n"/>
      <c r="J14" s="36" t="n"/>
      <c r="K14" s="36" t="n"/>
      <c r="L14" s="27" t="n"/>
      <c r="M14" s="27" t="n"/>
    </row>
    <row r="15">
      <c r="A15" s="27" t="n"/>
      <c r="B15" s="27" t="n"/>
      <c r="C15" s="27" t="n"/>
      <c r="D15" s="26" t="n"/>
      <c r="E15" s="26" t="n"/>
      <c r="F15" s="28" t="n"/>
      <c r="G15" s="27" t="n"/>
      <c r="H15" s="27" t="n"/>
      <c r="I15" s="35" t="n"/>
      <c r="J15" s="36" t="n"/>
      <c r="K15" s="36" t="n"/>
      <c r="L15" s="27" t="n"/>
      <c r="M15" s="27" t="n"/>
    </row>
    <row r="16">
      <c r="A16" s="27" t="n"/>
      <c r="B16" s="27" t="n"/>
      <c r="C16" s="27" t="n"/>
      <c r="D16" s="26" t="n"/>
      <c r="E16" s="26" t="n"/>
      <c r="F16" s="28" t="n"/>
      <c r="G16" s="27" t="n"/>
      <c r="H16" s="27" t="n"/>
      <c r="I16" s="35" t="n"/>
      <c r="J16" s="36" t="n"/>
      <c r="K16" s="36" t="n"/>
      <c r="L16" s="27" t="n"/>
      <c r="M16" s="27" t="n"/>
    </row>
    <row r="17">
      <c r="A17" s="27" t="n"/>
      <c r="B17" s="27" t="n"/>
      <c r="C17" s="27" t="n"/>
      <c r="D17" s="26" t="n"/>
      <c r="E17" s="26" t="n"/>
      <c r="F17" s="28" t="n"/>
      <c r="G17" s="27" t="n"/>
      <c r="H17" s="27" t="n"/>
      <c r="I17" s="35" t="n"/>
      <c r="J17" s="36" t="n"/>
      <c r="K17" s="36" t="n"/>
      <c r="L17" s="27" t="n"/>
      <c r="M17" s="27" t="n"/>
    </row>
    <row r="18">
      <c r="A18" s="27" t="n"/>
      <c r="B18" s="27" t="n"/>
      <c r="C18" s="27" t="n"/>
      <c r="D18" s="26" t="n"/>
      <c r="E18" s="26" t="n"/>
      <c r="F18" s="28" t="n"/>
      <c r="G18" s="27" t="n"/>
      <c r="H18" s="27" t="n"/>
      <c r="I18" s="35" t="n"/>
      <c r="J18" s="36" t="n"/>
      <c r="K18" s="36" t="n"/>
      <c r="L18" s="27" t="n"/>
      <c r="M18" s="27" t="n"/>
    </row>
    <row r="19">
      <c r="A19" s="27" t="n"/>
      <c r="B19" s="27" t="n"/>
      <c r="C19" s="27" t="n"/>
      <c r="D19" s="26" t="n"/>
      <c r="E19" s="26" t="n"/>
      <c r="F19" s="28" t="n"/>
      <c r="G19" s="27" t="n"/>
      <c r="H19" s="27" t="n"/>
      <c r="I19" s="35" t="n"/>
      <c r="J19" s="36" t="n"/>
      <c r="K19" s="36" t="n"/>
      <c r="L19" s="27" t="n"/>
      <c r="M19" s="27" t="n"/>
    </row>
    <row r="20">
      <c r="A20" s="27" t="n"/>
      <c r="B20" s="27" t="n"/>
      <c r="C20" s="27" t="n"/>
      <c r="D20" s="26" t="n"/>
      <c r="E20" s="26" t="n"/>
      <c r="F20" s="28" t="n"/>
      <c r="G20" s="27" t="n"/>
      <c r="H20" s="27" t="n"/>
      <c r="I20" s="35" t="n"/>
      <c r="J20" s="36" t="n"/>
      <c r="K20" s="36" t="n"/>
      <c r="L20" s="27" t="n"/>
      <c r="M20" s="27" t="n"/>
    </row>
    <row r="21">
      <c r="A21" s="27" t="n"/>
      <c r="B21" s="27" t="n"/>
      <c r="C21" s="27" t="n"/>
      <c r="D21" s="26" t="n"/>
      <c r="E21" s="26" t="n"/>
      <c r="F21" s="28" t="n"/>
      <c r="G21" s="27" t="n"/>
      <c r="H21" s="27" t="n"/>
      <c r="I21" s="35" t="n"/>
      <c r="J21" s="36" t="n"/>
      <c r="K21" s="36" t="n"/>
      <c r="L21" s="27" t="n"/>
      <c r="M21" s="27" t="n"/>
    </row>
    <row r="22">
      <c r="A22" s="27" t="n"/>
      <c r="B22" s="27" t="n"/>
      <c r="C22" s="27" t="n"/>
      <c r="D22" s="26" t="n"/>
      <c r="E22" s="26" t="n"/>
      <c r="F22" s="28" t="n"/>
      <c r="G22" s="27" t="n"/>
      <c r="H22" s="27" t="n"/>
      <c r="I22" s="35" t="n"/>
      <c r="J22" s="36" t="n"/>
      <c r="K22" s="36" t="n"/>
      <c r="L22" s="27" t="n"/>
      <c r="M22" s="27" t="n"/>
    </row>
    <row r="23">
      <c r="A23" s="27" t="n"/>
      <c r="B23" s="27" t="n"/>
      <c r="C23" s="27" t="n"/>
      <c r="D23" s="26" t="n"/>
      <c r="E23" s="26" t="n"/>
      <c r="F23" s="28" t="n"/>
      <c r="G23" s="27" t="n"/>
      <c r="H23" s="27" t="n"/>
      <c r="I23" s="35" t="n"/>
      <c r="J23" s="36" t="n"/>
      <c r="K23" s="36" t="n"/>
      <c r="L23" s="27" t="n"/>
      <c r="M23" s="27" t="n"/>
    </row>
    <row r="24">
      <c r="A24" s="27" t="n"/>
      <c r="B24" s="27" t="n"/>
      <c r="C24" s="27" t="n"/>
      <c r="D24" s="26" t="n"/>
      <c r="E24" s="26" t="n"/>
      <c r="F24" s="28" t="n"/>
      <c r="G24" s="27" t="n"/>
      <c r="H24" s="27" t="n"/>
      <c r="I24" s="35" t="n"/>
      <c r="J24" s="36" t="n"/>
      <c r="K24" s="36" t="n"/>
      <c r="L24" s="27" t="n"/>
      <c r="M24" s="27" t="n"/>
    </row>
    <row r="25">
      <c r="A25" s="27" t="n"/>
      <c r="B25" s="27" t="n"/>
      <c r="C25" s="27" t="n"/>
      <c r="D25" s="26" t="n"/>
      <c r="E25" s="26" t="n"/>
      <c r="F25" s="28" t="n"/>
      <c r="G25" s="27" t="n"/>
      <c r="H25" s="27" t="n"/>
      <c r="I25" s="35" t="n"/>
      <c r="J25" s="36" t="n"/>
      <c r="K25" s="36" t="n"/>
      <c r="L25" s="27" t="n"/>
      <c r="M25" s="27" t="n"/>
    </row>
    <row r="26">
      <c r="A26" s="27" t="n"/>
      <c r="B26" s="27" t="n"/>
      <c r="C26" s="27" t="n"/>
      <c r="D26" s="26" t="n"/>
      <c r="E26" s="26" t="n"/>
      <c r="F26" s="28" t="n"/>
      <c r="G26" s="27" t="n"/>
      <c r="H26" s="27" t="n"/>
      <c r="I26" s="35" t="n"/>
      <c r="J26" s="36" t="n"/>
      <c r="K26" s="36" t="n"/>
      <c r="L26" s="27" t="n"/>
      <c r="M26" s="27" t="n"/>
    </row>
    <row r="27">
      <c r="A27" s="27" t="n"/>
      <c r="B27" s="27" t="n"/>
      <c r="C27" s="27" t="n"/>
      <c r="D27" s="26" t="n"/>
      <c r="E27" s="26" t="n"/>
      <c r="F27" s="28" t="n"/>
      <c r="G27" s="27" t="n"/>
      <c r="H27" s="27" t="n"/>
      <c r="I27" s="35" t="n"/>
      <c r="J27" s="36" t="n"/>
      <c r="K27" s="36" t="n"/>
      <c r="L27" s="27" t="n"/>
      <c r="M27" s="27" t="n"/>
    </row>
    <row r="28">
      <c r="A28" s="27" t="n"/>
      <c r="B28" s="27" t="n"/>
      <c r="C28" s="27" t="n"/>
      <c r="D28" s="26" t="n"/>
      <c r="E28" s="26" t="n"/>
      <c r="F28" s="28" t="n"/>
      <c r="G28" s="27" t="n"/>
      <c r="H28" s="27" t="n"/>
      <c r="I28" s="35" t="n"/>
      <c r="J28" s="36" t="n"/>
      <c r="K28" s="36" t="n"/>
      <c r="L28" s="27" t="n"/>
      <c r="M28" s="27" t="n"/>
    </row>
    <row r="29">
      <c r="A29" s="27" t="n"/>
      <c r="B29" s="27" t="n"/>
      <c r="C29" s="27" t="n"/>
      <c r="D29" s="26" t="n"/>
      <c r="E29" s="26" t="n"/>
      <c r="F29" s="28" t="n"/>
      <c r="G29" s="27" t="n"/>
      <c r="H29" s="27" t="n"/>
      <c r="I29" s="35" t="n"/>
      <c r="J29" s="36" t="n"/>
      <c r="K29" s="36" t="n"/>
      <c r="L29" s="27" t="n"/>
      <c r="M29" s="27" t="n"/>
    </row>
    <row r="30">
      <c r="A30" s="27" t="n"/>
      <c r="B30" s="27" t="n"/>
      <c r="C30" s="27" t="n"/>
      <c r="D30" s="26" t="n"/>
      <c r="E30" s="26" t="n"/>
      <c r="F30" s="28" t="n"/>
      <c r="G30" s="27" t="n"/>
      <c r="H30" s="27" t="n"/>
      <c r="I30" s="35" t="n"/>
      <c r="J30" s="36" t="n"/>
      <c r="K30" s="36" t="n"/>
      <c r="L30" s="27" t="n"/>
      <c r="M30" s="27" t="n"/>
    </row>
    <row r="31">
      <c r="A31" s="27" t="n"/>
      <c r="B31" s="27" t="n"/>
      <c r="C31" s="27" t="n"/>
      <c r="D31" s="26" t="n"/>
      <c r="E31" s="26" t="n"/>
      <c r="F31" s="28" t="n"/>
      <c r="G31" s="27" t="n"/>
      <c r="H31" s="27" t="n"/>
      <c r="I31" s="35" t="n"/>
      <c r="J31" s="36" t="n"/>
      <c r="K31" s="36" t="n"/>
      <c r="L31" s="27" t="n"/>
      <c r="M31" s="27" t="n"/>
    </row>
    <row r="32">
      <c r="A32" s="27" t="n"/>
      <c r="B32" s="27" t="n"/>
      <c r="C32" s="27" t="n"/>
      <c r="D32" s="26" t="n"/>
      <c r="E32" s="26" t="n"/>
      <c r="F32" s="28" t="n"/>
      <c r="G32" s="27" t="n"/>
      <c r="H32" s="27" t="n"/>
      <c r="I32" s="35" t="n"/>
      <c r="J32" s="36" t="n"/>
      <c r="K32" s="36" t="n"/>
      <c r="L32" s="27" t="n"/>
      <c r="M32" s="27" t="n"/>
    </row>
    <row r="33">
      <c r="A33" s="27" t="n"/>
      <c r="B33" s="27" t="n"/>
      <c r="C33" s="27" t="n"/>
      <c r="D33" s="26" t="n"/>
      <c r="E33" s="26" t="n"/>
      <c r="F33" s="28" t="n"/>
      <c r="G33" s="27" t="n"/>
      <c r="H33" s="27" t="n"/>
      <c r="I33" s="35" t="n"/>
      <c r="J33" s="36" t="n"/>
      <c r="K33" s="36" t="n"/>
      <c r="L33" s="27" t="n"/>
      <c r="M33" s="27" t="n"/>
    </row>
    <row r="34">
      <c r="A34" s="27" t="n"/>
      <c r="B34" s="27" t="n"/>
      <c r="C34" s="27" t="n"/>
      <c r="D34" s="26" t="n"/>
      <c r="E34" s="26" t="n"/>
      <c r="F34" s="28" t="n"/>
      <c r="G34" s="27" t="n"/>
      <c r="H34" s="27" t="n"/>
      <c r="I34" s="35" t="n"/>
      <c r="J34" s="36" t="n"/>
      <c r="K34" s="36" t="n"/>
      <c r="L34" s="27" t="n"/>
      <c r="M34" s="27" t="n"/>
    </row>
    <row r="35">
      <c r="A35" s="27" t="n"/>
      <c r="B35" s="27" t="n"/>
      <c r="C35" s="27" t="n"/>
      <c r="D35" s="26" t="n"/>
      <c r="E35" s="26" t="n"/>
      <c r="F35" s="28" t="n"/>
      <c r="G35" s="27" t="n"/>
      <c r="H35" s="27" t="n"/>
      <c r="I35" s="35" t="n"/>
      <c r="J35" s="36" t="n"/>
      <c r="K35" s="36" t="n"/>
      <c r="L35" s="27" t="n"/>
      <c r="M35" s="27" t="n"/>
    </row>
    <row r="36">
      <c r="A36" s="27" t="n"/>
      <c r="B36" s="27" t="n"/>
      <c r="C36" s="27" t="n"/>
      <c r="D36" s="26" t="n"/>
      <c r="E36" s="26" t="n"/>
      <c r="F36" s="28" t="n"/>
      <c r="G36" s="27" t="n"/>
      <c r="H36" s="27" t="n"/>
      <c r="I36" s="35" t="n"/>
      <c r="J36" s="36" t="n"/>
      <c r="K36" s="36" t="n"/>
      <c r="L36" s="27" t="n"/>
      <c r="M36" s="27" t="n"/>
    </row>
    <row r="37">
      <c r="A37" s="27" t="n"/>
      <c r="B37" s="27" t="n"/>
      <c r="C37" s="27" t="n"/>
      <c r="D37" s="26" t="n"/>
      <c r="E37" s="26" t="n"/>
      <c r="F37" s="28" t="n"/>
      <c r="G37" s="27" t="n"/>
      <c r="H37" s="27" t="n"/>
      <c r="I37" s="35" t="n"/>
      <c r="J37" s="36" t="n"/>
      <c r="K37" s="36" t="n"/>
      <c r="L37" s="27" t="n"/>
      <c r="M37" s="27" t="n"/>
    </row>
    <row r="38">
      <c r="A38" s="27" t="n"/>
      <c r="B38" s="27" t="n"/>
      <c r="C38" s="27" t="n"/>
      <c r="D38" s="26" t="n"/>
      <c r="E38" s="26" t="n"/>
      <c r="F38" s="28" t="n"/>
      <c r="G38" s="27" t="n"/>
      <c r="H38" s="27" t="n"/>
      <c r="I38" s="35" t="n"/>
      <c r="J38" s="36" t="n"/>
      <c r="K38" s="36" t="n"/>
      <c r="L38" s="27" t="n"/>
      <c r="M38" s="27" t="n"/>
    </row>
    <row r="39">
      <c r="A39" s="27" t="n"/>
      <c r="B39" s="27" t="n"/>
      <c r="C39" s="27" t="n"/>
      <c r="D39" s="26" t="n"/>
      <c r="E39" s="26" t="n"/>
      <c r="F39" s="28" t="n"/>
      <c r="G39" s="27" t="n"/>
      <c r="H39" s="27" t="n"/>
      <c r="I39" s="35" t="n"/>
      <c r="J39" s="36" t="n"/>
      <c r="K39" s="36" t="n"/>
      <c r="L39" s="27" t="n"/>
      <c r="M39" s="27" t="n"/>
    </row>
    <row r="40">
      <c r="A40" s="27" t="n"/>
      <c r="B40" s="27" t="n"/>
      <c r="C40" s="27" t="n"/>
      <c r="D40" s="26" t="n"/>
      <c r="E40" s="26" t="n"/>
      <c r="F40" s="28" t="n"/>
      <c r="G40" s="27" t="n"/>
      <c r="H40" s="27" t="n"/>
      <c r="I40" s="35" t="n"/>
      <c r="J40" s="36" t="n"/>
      <c r="K40" s="36" t="n"/>
      <c r="L40" s="27" t="n"/>
      <c r="M40" s="27" t="n"/>
    </row>
    <row r="41">
      <c r="A41" s="27" t="n"/>
      <c r="B41" s="27" t="n"/>
      <c r="C41" s="27" t="n"/>
      <c r="D41" s="26" t="n"/>
      <c r="E41" s="26" t="n"/>
      <c r="F41" s="28" t="n"/>
      <c r="G41" s="27" t="n"/>
      <c r="H41" s="27" t="n"/>
      <c r="I41" s="35" t="n"/>
      <c r="J41" s="36" t="n"/>
      <c r="K41" s="36" t="n"/>
      <c r="L41" s="27" t="n"/>
      <c r="M41" s="27" t="n"/>
    </row>
    <row r="42">
      <c r="A42" s="27" t="n"/>
      <c r="B42" s="27" t="n"/>
      <c r="C42" s="27" t="n"/>
      <c r="D42" s="26" t="n"/>
      <c r="E42" s="26" t="n"/>
      <c r="F42" s="28" t="n"/>
      <c r="G42" s="27" t="n"/>
      <c r="H42" s="27" t="n"/>
      <c r="I42" s="35" t="n"/>
      <c r="J42" s="36" t="n"/>
      <c r="K42" s="36" t="n"/>
      <c r="L42" s="27" t="n"/>
      <c r="M42" s="27" t="n"/>
    </row>
    <row r="43">
      <c r="A43" s="27" t="n"/>
      <c r="B43" s="27" t="n"/>
      <c r="C43" s="27" t="n"/>
      <c r="D43" s="26" t="n"/>
      <c r="E43" s="26" t="n"/>
      <c r="F43" s="28" t="n"/>
      <c r="G43" s="27" t="n"/>
      <c r="H43" s="27" t="n"/>
      <c r="I43" s="35" t="n"/>
      <c r="J43" s="36" t="n"/>
      <c r="K43" s="36" t="n"/>
      <c r="L43" s="27" t="n"/>
      <c r="M43" s="27" t="n"/>
    </row>
    <row r="44">
      <c r="A44" s="27" t="n"/>
      <c r="B44" s="27" t="n"/>
      <c r="C44" s="27" t="n"/>
      <c r="D44" s="26" t="n"/>
      <c r="E44" s="26" t="n"/>
      <c r="F44" s="28" t="n"/>
      <c r="G44" s="27" t="n"/>
      <c r="H44" s="27" t="n"/>
      <c r="I44" s="35" t="n"/>
      <c r="J44" s="36" t="n"/>
      <c r="K44" s="36" t="n"/>
      <c r="L44" s="27" t="n"/>
      <c r="M44" s="27" t="n"/>
    </row>
    <row r="45">
      <c r="A45" s="27" t="n"/>
      <c r="B45" s="27" t="n"/>
      <c r="C45" s="27" t="n"/>
      <c r="D45" s="26" t="n"/>
      <c r="E45" s="26" t="n"/>
      <c r="F45" s="28" t="n"/>
      <c r="G45" s="27" t="n"/>
      <c r="H45" s="27" t="n"/>
      <c r="I45" s="35" t="n"/>
      <c r="J45" s="36" t="n"/>
      <c r="K45" s="36" t="n"/>
      <c r="L45" s="27" t="n"/>
      <c r="M45" s="27" t="n"/>
    </row>
    <row r="46">
      <c r="A46" s="27" t="n"/>
      <c r="B46" s="27" t="n"/>
      <c r="C46" s="27" t="n"/>
      <c r="D46" s="26" t="n"/>
      <c r="E46" s="26" t="n"/>
      <c r="F46" s="28" t="n"/>
      <c r="G46" s="27" t="n"/>
      <c r="H46" s="27" t="n"/>
      <c r="I46" s="35" t="n"/>
      <c r="J46" s="36" t="n"/>
      <c r="K46" s="36" t="n"/>
      <c r="L46" s="27" t="n"/>
      <c r="M46" s="27" t="n"/>
    </row>
    <row r="47">
      <c r="A47" s="27" t="n"/>
      <c r="B47" s="27" t="n"/>
      <c r="C47" s="27" t="n"/>
      <c r="D47" s="26" t="n"/>
      <c r="E47" s="26" t="n"/>
      <c r="F47" s="28" t="n"/>
      <c r="G47" s="27" t="n"/>
      <c r="H47" s="27" t="n"/>
      <c r="I47" s="35" t="n"/>
      <c r="J47" s="36" t="n"/>
      <c r="K47" s="36" t="n"/>
      <c r="L47" s="27" t="n"/>
      <c r="M47" s="27" t="n"/>
    </row>
    <row r="48">
      <c r="A48" s="27" t="n"/>
      <c r="B48" s="27" t="n"/>
      <c r="C48" s="27" t="n"/>
      <c r="D48" s="26" t="n"/>
      <c r="E48" s="26" t="n"/>
      <c r="F48" s="28" t="n"/>
      <c r="G48" s="27" t="n"/>
      <c r="H48" s="27" t="n"/>
      <c r="I48" s="35" t="n"/>
      <c r="J48" s="36" t="n"/>
      <c r="K48" s="36" t="n"/>
      <c r="L48" s="27" t="n"/>
      <c r="M48" s="27" t="n"/>
    </row>
    <row r="49">
      <c r="A49" s="27" t="n"/>
      <c r="B49" s="27" t="n"/>
      <c r="C49" s="27" t="n"/>
      <c r="D49" s="26" t="n"/>
      <c r="E49" s="26" t="n"/>
      <c r="F49" s="28" t="n"/>
      <c r="G49" s="27" t="n"/>
      <c r="H49" s="27" t="n"/>
      <c r="I49" s="35" t="n"/>
      <c r="J49" s="36" t="n"/>
      <c r="K49" s="36" t="n"/>
      <c r="L49" s="27" t="n"/>
      <c r="M49" s="27" t="n"/>
    </row>
    <row r="50">
      <c r="A50" s="27" t="n"/>
      <c r="B50" s="27" t="n"/>
      <c r="C50" s="27" t="n"/>
      <c r="D50" s="26" t="n"/>
      <c r="E50" s="26" t="n"/>
      <c r="F50" s="28" t="n"/>
      <c r="G50" s="27" t="n"/>
      <c r="H50" s="27" t="n"/>
      <c r="I50" s="35" t="n"/>
      <c r="J50" s="36" t="n"/>
      <c r="K50" s="36" t="n"/>
      <c r="L50" s="27" t="n"/>
      <c r="M50" s="27" t="n"/>
    </row>
    <row r="51">
      <c r="A51" s="27" t="n"/>
      <c r="B51" s="27" t="n"/>
      <c r="C51" s="27" t="n"/>
      <c r="D51" s="26" t="n"/>
      <c r="E51" s="26" t="n"/>
      <c r="F51" s="28" t="n"/>
      <c r="G51" s="27" t="n"/>
      <c r="H51" s="27" t="n"/>
      <c r="I51" s="35" t="n"/>
      <c r="J51" s="36" t="n"/>
      <c r="K51" s="36" t="n"/>
      <c r="L51" s="27" t="n"/>
      <c r="M51" s="27" t="n"/>
    </row>
    <row r="52">
      <c r="A52" s="27" t="n"/>
      <c r="B52" s="27" t="n"/>
      <c r="C52" s="27" t="n"/>
      <c r="D52" s="26" t="n"/>
      <c r="E52" s="26" t="n"/>
      <c r="F52" s="28" t="n"/>
      <c r="G52" s="27" t="n"/>
      <c r="H52" s="27" t="n"/>
      <c r="I52" s="35" t="n"/>
      <c r="J52" s="36" t="n"/>
      <c r="K52" s="36" t="n"/>
      <c r="L52" s="27" t="n"/>
      <c r="M52" s="27" t="n"/>
    </row>
    <row r="53">
      <c r="A53" s="27" t="n"/>
      <c r="B53" s="27" t="n"/>
      <c r="C53" s="27" t="n"/>
      <c r="D53" s="26" t="n"/>
      <c r="E53" s="26" t="n"/>
      <c r="F53" s="28" t="n"/>
      <c r="G53" s="27" t="n"/>
      <c r="H53" s="27" t="n"/>
      <c r="I53" s="35" t="n"/>
      <c r="J53" s="36" t="n"/>
      <c r="K53" s="36" t="n"/>
      <c r="L53" s="27" t="n"/>
      <c r="M53" s="27" t="n"/>
    </row>
    <row r="54">
      <c r="A54" s="27" t="n"/>
      <c r="B54" s="27" t="n"/>
      <c r="C54" s="27" t="n"/>
      <c r="D54" s="26" t="n"/>
      <c r="E54" s="26" t="n"/>
      <c r="F54" s="28" t="n"/>
      <c r="G54" s="27" t="n"/>
      <c r="H54" s="27" t="n"/>
      <c r="I54" s="35" t="n"/>
      <c r="J54" s="36" t="n"/>
      <c r="K54" s="36" t="n"/>
      <c r="L54" s="27" t="n"/>
      <c r="M54" s="27" t="n"/>
    </row>
    <row r="55">
      <c r="A55" s="27" t="n"/>
      <c r="B55" s="27" t="n"/>
      <c r="C55" s="27" t="n"/>
      <c r="D55" s="26" t="n"/>
      <c r="E55" s="26" t="n"/>
      <c r="F55" s="28" t="n"/>
      <c r="G55" s="27" t="n"/>
      <c r="H55" s="27" t="n"/>
      <c r="I55" s="35" t="n"/>
      <c r="J55" s="36" t="n"/>
      <c r="K55" s="36" t="n"/>
      <c r="L55" s="27" t="n"/>
      <c r="M55" s="27" t="n"/>
    </row>
    <row r="56">
      <c r="A56" s="27" t="n"/>
      <c r="B56" s="27" t="n"/>
      <c r="C56" s="27" t="n"/>
      <c r="D56" s="26" t="n"/>
      <c r="E56" s="26" t="n"/>
      <c r="F56" s="28" t="n"/>
      <c r="G56" s="27" t="n"/>
      <c r="H56" s="27" t="n"/>
      <c r="I56" s="35" t="n"/>
      <c r="J56" s="36" t="n"/>
      <c r="K56" s="36" t="n"/>
      <c r="L56" s="27" t="n"/>
      <c r="M56" s="27" t="n"/>
    </row>
    <row r="57">
      <c r="A57" s="27" t="n"/>
      <c r="B57" s="27" t="n"/>
      <c r="C57" s="27" t="n"/>
      <c r="D57" s="26" t="n"/>
      <c r="E57" s="26" t="n"/>
      <c r="F57" s="28" t="n"/>
      <c r="G57" s="27" t="n"/>
      <c r="H57" s="27" t="n"/>
      <c r="I57" s="35" t="n"/>
      <c r="J57" s="36" t="n"/>
      <c r="K57" s="36" t="n"/>
      <c r="L57" s="27" t="n"/>
      <c r="M57" s="27" t="n"/>
    </row>
    <row r="58">
      <c r="A58" s="27" t="n"/>
      <c r="B58" s="27" t="n"/>
      <c r="C58" s="27" t="n"/>
      <c r="D58" s="26" t="n"/>
      <c r="E58" s="26" t="n"/>
      <c r="F58" s="28" t="n"/>
      <c r="G58" s="27" t="n"/>
      <c r="H58" s="27" t="n"/>
      <c r="I58" s="35" t="n"/>
      <c r="J58" s="36" t="n"/>
      <c r="K58" s="36" t="n"/>
      <c r="L58" s="27" t="n"/>
      <c r="M58" s="27" t="n"/>
    </row>
    <row r="59">
      <c r="A59" s="27" t="n"/>
      <c r="B59" s="27" t="n"/>
      <c r="C59" s="27" t="n"/>
      <c r="D59" s="26" t="n"/>
      <c r="E59" s="26" t="n"/>
      <c r="F59" s="28" t="n"/>
      <c r="G59" s="27" t="n"/>
      <c r="H59" s="27" t="n"/>
      <c r="I59" s="35" t="n"/>
      <c r="J59" s="36" t="n"/>
      <c r="K59" s="36" t="n"/>
      <c r="L59" s="27" t="n"/>
      <c r="M59" s="27" t="n"/>
    </row>
    <row r="60">
      <c r="A60" s="27" t="n"/>
      <c r="B60" s="27" t="n"/>
      <c r="C60" s="27" t="n"/>
      <c r="D60" s="26" t="n"/>
      <c r="E60" s="26" t="n"/>
      <c r="F60" s="28" t="n"/>
      <c r="G60" s="27" t="n"/>
      <c r="H60" s="27" t="n"/>
      <c r="I60" s="35" t="n"/>
      <c r="J60" s="36" t="n"/>
      <c r="K60" s="36" t="n"/>
      <c r="L60" s="27" t="n"/>
      <c r="M60" s="27" t="n"/>
    </row>
    <row r="61">
      <c r="A61" s="27" t="n"/>
      <c r="B61" s="27" t="n"/>
      <c r="C61" s="27" t="n"/>
      <c r="D61" s="26" t="n"/>
      <c r="E61" s="26" t="n"/>
      <c r="F61" s="28" t="n"/>
      <c r="G61" s="27" t="n"/>
      <c r="H61" s="27" t="n"/>
      <c r="I61" s="35" t="n"/>
      <c r="J61" s="36" t="n"/>
      <c r="K61" s="36" t="n"/>
      <c r="L61" s="27" t="n"/>
      <c r="M61" s="27" t="n"/>
    </row>
    <row r="62">
      <c r="A62" s="27" t="n"/>
      <c r="B62" s="27" t="n"/>
      <c r="C62" s="27" t="n"/>
      <c r="D62" s="26" t="n"/>
      <c r="E62" s="26" t="n"/>
      <c r="F62" s="28" t="n"/>
      <c r="G62" s="27" t="n"/>
      <c r="H62" s="27" t="n"/>
      <c r="I62" s="35" t="n"/>
      <c r="J62" s="36" t="n"/>
      <c r="K62" s="36" t="n"/>
      <c r="L62" s="27" t="n"/>
      <c r="M62" s="27" t="n"/>
    </row>
    <row r="63">
      <c r="A63" s="27" t="n"/>
      <c r="B63" s="27" t="n"/>
      <c r="C63" s="27" t="n"/>
      <c r="D63" s="26" t="n"/>
      <c r="E63" s="26" t="n"/>
      <c r="F63" s="28" t="n"/>
      <c r="G63" s="27" t="n"/>
      <c r="H63" s="27" t="n"/>
      <c r="I63" s="35" t="n"/>
      <c r="J63" s="36" t="n"/>
      <c r="K63" s="36" t="n"/>
      <c r="L63" s="27" t="n"/>
      <c r="M63" s="27" t="n"/>
    </row>
    <row r="64">
      <c r="A64" s="27" t="n"/>
      <c r="B64" s="27" t="n"/>
      <c r="C64" s="27" t="n"/>
      <c r="D64" s="26" t="n"/>
      <c r="E64" s="26" t="n"/>
      <c r="F64" s="28" t="n"/>
      <c r="G64" s="27" t="n"/>
      <c r="H64" s="27" t="n"/>
      <c r="I64" s="35" t="n"/>
      <c r="J64" s="36" t="n"/>
      <c r="K64" s="36" t="n"/>
      <c r="L64" s="27" t="n"/>
      <c r="M64" s="27" t="n"/>
    </row>
  </sheetData>
  <mergeCells count="3">
    <mergeCell ref="A3:M3"/>
    <mergeCell ref="A2:M2"/>
    <mergeCell ref="A1:M1"/>
  </mergeCells>
  <dataValidations count="1">
    <dataValidation sqref="L5:L64" showDropDown="0" showInputMessage="0" showErrorMessage="0" allowBlank="1" type="list">
      <formula1>"GNSS 시각 동기,NTP 동기,수동 대조(오차 기록),미동기 — INVALID"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11" customWidth="1" min="8" max="8"/>
    <col width="13" customWidth="1" min="9" max="9"/>
    <col width="12" customWidth="1" min="10" max="10"/>
    <col width="11" customWidth="1" min="11" max="11"/>
    <col width="19" customWidth="1" min="12" max="12"/>
    <col width="1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6" customWidth="1" min="18" max="18"/>
  </cols>
  <sheetData>
    <row r="1" ht="26" customHeight="1">
      <c r="A1" s="1" t="inlineStr">
        <is>
          <t>자기환경 시험 — 측점 «관측행»</t>
        </is>
      </c>
    </row>
    <row r="2" ht="33" customHeight="1">
      <c r="A2" s="2" t="inlineStr">
        <is>
          <t>측선 설계는 **파일럿 먼저**다. 소수 지점에서 조밀하게 재어 필요한 간격·범위를 정한 뒤 전 지점에 최소 공통 설계를 적용하고, 이상 징후가 있는 곳만 격자를 추가한다 — 처음부터 전 지점 516 판독을 강제하면 일정에 눌려 좌표·시각 기록이 먼저 생략된다.</t>
        </is>
      </c>
    </row>
    <row r="3" ht="33" customHeight="1">
      <c r="A3" s="3" t="inlineStr">
        <is>
          <t>⚠ 순회 순서는 «중심점 재관측(A–B–A)»과 «역순 재측선»을 포함해야 한다. 같은 순서로 두 번 도는 것은 시간변화를 분리하지 못한다. 판독은 «3회를 각각» 남기고 중앙값은 계산 칸이다 — 중앙값만 남기면 오기·순간이상·제외값을 재검증할 수 없다.</t>
        </is>
      </c>
    </row>
    <row r="4" ht="34" customHeight="1">
      <c r="A4" s="7" t="inlineStr">
        <is>
          <t>Site ID</t>
        </is>
      </c>
      <c r="B4" s="7" t="inlineStr">
        <is>
          <t>Visit ID</t>
        </is>
      </c>
      <c r="C4" s="7" t="inlineStr">
        <is>
          <t>Point ID</t>
        </is>
      </c>
      <c r="D4" s="8" t="inlineStr">
        <is>
          <t>측선</t>
        </is>
      </c>
      <c r="E4" s="8" t="inlineStr">
        <is>
          <t>순회 회차</t>
        </is>
      </c>
      <c r="F4" s="8" t="inlineStr">
        <is>
          <t>순회 순서(정/역)</t>
        </is>
      </c>
      <c r="G4" s="8" t="inlineStr">
        <is>
          <t>E 오프셋(m)</t>
        </is>
      </c>
      <c r="H4" s="8" t="inlineStr">
        <is>
          <t>N 오프셋(m)</t>
        </is>
      </c>
      <c r="I4" s="8" t="inlineStr">
        <is>
          <t>실제 센서 높이(m)</t>
        </is>
      </c>
      <c r="J4" s="8" t="inlineStr">
        <is>
          <t>높이 기준</t>
        </is>
      </c>
      <c r="K4" s="8" t="inlineStr">
        <is>
          <t>기기번호</t>
        </is>
      </c>
      <c r="L4" s="8" t="inlineStr">
        <is>
          <t>관측 시각(KST)</t>
        </is>
      </c>
      <c r="M4" s="8" t="inlineStr">
        <is>
          <t>UTC 환산</t>
        </is>
      </c>
      <c r="N4" s="8" t="inlineStr">
        <is>
          <t>F 판독1(nT)</t>
        </is>
      </c>
      <c r="O4" s="8" t="inlineStr">
        <is>
          <t>F 판독2(nT)</t>
        </is>
      </c>
      <c r="P4" s="8" t="inlineStr">
        <is>
          <t>F 판독3(nT)</t>
        </is>
      </c>
      <c r="Q4" s="8" t="inlineStr">
        <is>
          <t>중앙값(nT)</t>
        </is>
      </c>
      <c r="R4" s="8" t="inlineStr">
        <is>
          <t>상태·비고</t>
        </is>
      </c>
    </row>
    <row r="5">
      <c r="A5" s="27" t="n"/>
      <c r="B5" s="27" t="n"/>
      <c r="C5" s="27" t="n"/>
      <c r="D5" s="27" t="n"/>
      <c r="E5" s="27" t="n"/>
      <c r="F5" s="27" t="n"/>
      <c r="G5" s="28" t="n"/>
      <c r="H5" s="28" t="n"/>
      <c r="I5" s="28" t="n"/>
      <c r="J5" s="27" t="n"/>
      <c r="K5" s="27" t="n"/>
      <c r="L5" s="36" t="n"/>
      <c r="M5" s="37">
        <f>IF(L5="","",L5-TIME(9,0,0))</f>
        <v/>
      </c>
      <c r="N5" s="38" t="n"/>
      <c r="O5" s="38" t="n"/>
      <c r="P5" s="38" t="n"/>
      <c r="Q5" s="34">
        <f>IF(COUNT(N5:P5)=0,"",MEDIAN(N5:P5))</f>
        <v/>
      </c>
      <c r="R5" s="27" t="n"/>
    </row>
    <row r="6">
      <c r="A6" s="27" t="n"/>
      <c r="B6" s="27" t="n"/>
      <c r="C6" s="27" t="n"/>
      <c r="D6" s="27" t="n"/>
      <c r="E6" s="27" t="n"/>
      <c r="F6" s="27" t="n"/>
      <c r="G6" s="28" t="n"/>
      <c r="H6" s="28" t="n"/>
      <c r="I6" s="28" t="n"/>
      <c r="J6" s="27" t="n"/>
      <c r="K6" s="27" t="n"/>
      <c r="L6" s="36" t="n"/>
      <c r="M6" s="37">
        <f>IF(L6="","",L6-TIME(9,0,0))</f>
        <v/>
      </c>
      <c r="N6" s="38" t="n"/>
      <c r="O6" s="38" t="n"/>
      <c r="P6" s="38" t="n"/>
      <c r="Q6" s="34">
        <f>IF(COUNT(N6:P6)=0,"",MEDIAN(N6:P6))</f>
        <v/>
      </c>
      <c r="R6" s="27" t="n"/>
    </row>
    <row r="7">
      <c r="A7" s="27" t="n"/>
      <c r="B7" s="27" t="n"/>
      <c r="C7" s="27" t="n"/>
      <c r="D7" s="27" t="n"/>
      <c r="E7" s="27" t="n"/>
      <c r="F7" s="27" t="n"/>
      <c r="G7" s="28" t="n"/>
      <c r="H7" s="28" t="n"/>
      <c r="I7" s="28" t="n"/>
      <c r="J7" s="27" t="n"/>
      <c r="K7" s="27" t="n"/>
      <c r="L7" s="36" t="n"/>
      <c r="M7" s="37">
        <f>IF(L7="","",L7-TIME(9,0,0))</f>
        <v/>
      </c>
      <c r="N7" s="38" t="n"/>
      <c r="O7" s="38" t="n"/>
      <c r="P7" s="38" t="n"/>
      <c r="Q7" s="34">
        <f>IF(COUNT(N7:P7)=0,"",MEDIAN(N7:P7))</f>
        <v/>
      </c>
      <c r="R7" s="27" t="n"/>
    </row>
    <row r="8">
      <c r="A8" s="27" t="n"/>
      <c r="B8" s="27" t="n"/>
      <c r="C8" s="27" t="n"/>
      <c r="D8" s="27" t="n"/>
      <c r="E8" s="27" t="n"/>
      <c r="F8" s="27" t="n"/>
      <c r="G8" s="28" t="n"/>
      <c r="H8" s="28" t="n"/>
      <c r="I8" s="28" t="n"/>
      <c r="J8" s="27" t="n"/>
      <c r="K8" s="27" t="n"/>
      <c r="L8" s="36" t="n"/>
      <c r="M8" s="37">
        <f>IF(L8="","",L8-TIME(9,0,0))</f>
        <v/>
      </c>
      <c r="N8" s="38" t="n"/>
      <c r="O8" s="38" t="n"/>
      <c r="P8" s="38" t="n"/>
      <c r="Q8" s="34">
        <f>IF(COUNT(N8:P8)=0,"",MEDIAN(N8:P8))</f>
        <v/>
      </c>
      <c r="R8" s="27" t="n"/>
    </row>
    <row r="9">
      <c r="A9" s="27" t="n"/>
      <c r="B9" s="27" t="n"/>
      <c r="C9" s="27" t="n"/>
      <c r="D9" s="27" t="n"/>
      <c r="E9" s="27" t="n"/>
      <c r="F9" s="27" t="n"/>
      <c r="G9" s="28" t="n"/>
      <c r="H9" s="28" t="n"/>
      <c r="I9" s="28" t="n"/>
      <c r="J9" s="27" t="n"/>
      <c r="K9" s="27" t="n"/>
      <c r="L9" s="36" t="n"/>
      <c r="M9" s="37">
        <f>IF(L9="","",L9-TIME(9,0,0))</f>
        <v/>
      </c>
      <c r="N9" s="38" t="n"/>
      <c r="O9" s="38" t="n"/>
      <c r="P9" s="38" t="n"/>
      <c r="Q9" s="34">
        <f>IF(COUNT(N9:P9)=0,"",MEDIAN(N9:P9))</f>
        <v/>
      </c>
      <c r="R9" s="27" t="n"/>
    </row>
    <row r="10">
      <c r="A10" s="27" t="n"/>
      <c r="B10" s="27" t="n"/>
      <c r="C10" s="27" t="n"/>
      <c r="D10" s="27" t="n"/>
      <c r="E10" s="27" t="n"/>
      <c r="F10" s="27" t="n"/>
      <c r="G10" s="28" t="n"/>
      <c r="H10" s="28" t="n"/>
      <c r="I10" s="28" t="n"/>
      <c r="J10" s="27" t="n"/>
      <c r="K10" s="27" t="n"/>
      <c r="L10" s="36" t="n"/>
      <c r="M10" s="37">
        <f>IF(L10="","",L10-TIME(9,0,0))</f>
        <v/>
      </c>
      <c r="N10" s="38" t="n"/>
      <c r="O10" s="38" t="n"/>
      <c r="P10" s="38" t="n"/>
      <c r="Q10" s="34">
        <f>IF(COUNT(N10:P10)=0,"",MEDIAN(N10:P10))</f>
        <v/>
      </c>
      <c r="R10" s="27" t="n"/>
    </row>
    <row r="11">
      <c r="A11" s="27" t="n"/>
      <c r="B11" s="27" t="n"/>
      <c r="C11" s="27" t="n"/>
      <c r="D11" s="27" t="n"/>
      <c r="E11" s="27" t="n"/>
      <c r="F11" s="27" t="n"/>
      <c r="G11" s="28" t="n"/>
      <c r="H11" s="28" t="n"/>
      <c r="I11" s="28" t="n"/>
      <c r="J11" s="27" t="n"/>
      <c r="K11" s="27" t="n"/>
      <c r="L11" s="36" t="n"/>
      <c r="M11" s="37">
        <f>IF(L11="","",L11-TIME(9,0,0))</f>
        <v/>
      </c>
      <c r="N11" s="38" t="n"/>
      <c r="O11" s="38" t="n"/>
      <c r="P11" s="38" t="n"/>
      <c r="Q11" s="34">
        <f>IF(COUNT(N11:P11)=0,"",MEDIAN(N11:P11))</f>
        <v/>
      </c>
      <c r="R11" s="27" t="n"/>
    </row>
    <row r="12">
      <c r="A12" s="27" t="n"/>
      <c r="B12" s="27" t="n"/>
      <c r="C12" s="27" t="n"/>
      <c r="D12" s="27" t="n"/>
      <c r="E12" s="27" t="n"/>
      <c r="F12" s="27" t="n"/>
      <c r="G12" s="28" t="n"/>
      <c r="H12" s="28" t="n"/>
      <c r="I12" s="28" t="n"/>
      <c r="J12" s="27" t="n"/>
      <c r="K12" s="27" t="n"/>
      <c r="L12" s="36" t="n"/>
      <c r="M12" s="37">
        <f>IF(L12="","",L12-TIME(9,0,0))</f>
        <v/>
      </c>
      <c r="N12" s="38" t="n"/>
      <c r="O12" s="38" t="n"/>
      <c r="P12" s="38" t="n"/>
      <c r="Q12" s="34">
        <f>IF(COUNT(N12:P12)=0,"",MEDIAN(N12:P12))</f>
        <v/>
      </c>
      <c r="R12" s="27" t="n"/>
    </row>
    <row r="13">
      <c r="A13" s="27" t="n"/>
      <c r="B13" s="27" t="n"/>
      <c r="C13" s="27" t="n"/>
      <c r="D13" s="27" t="n"/>
      <c r="E13" s="27" t="n"/>
      <c r="F13" s="27" t="n"/>
      <c r="G13" s="28" t="n"/>
      <c r="H13" s="28" t="n"/>
      <c r="I13" s="28" t="n"/>
      <c r="J13" s="27" t="n"/>
      <c r="K13" s="27" t="n"/>
      <c r="L13" s="36" t="n"/>
      <c r="M13" s="37">
        <f>IF(L13="","",L13-TIME(9,0,0))</f>
        <v/>
      </c>
      <c r="N13" s="38" t="n"/>
      <c r="O13" s="38" t="n"/>
      <c r="P13" s="38" t="n"/>
      <c r="Q13" s="34">
        <f>IF(COUNT(N13:P13)=0,"",MEDIAN(N13:P13))</f>
        <v/>
      </c>
      <c r="R13" s="27" t="n"/>
    </row>
    <row r="14">
      <c r="A14" s="27" t="n"/>
      <c r="B14" s="27" t="n"/>
      <c r="C14" s="27" t="n"/>
      <c r="D14" s="27" t="n"/>
      <c r="E14" s="27" t="n"/>
      <c r="F14" s="27" t="n"/>
      <c r="G14" s="28" t="n"/>
      <c r="H14" s="28" t="n"/>
      <c r="I14" s="28" t="n"/>
      <c r="J14" s="27" t="n"/>
      <c r="K14" s="27" t="n"/>
      <c r="L14" s="36" t="n"/>
      <c r="M14" s="37">
        <f>IF(L14="","",L14-TIME(9,0,0))</f>
        <v/>
      </c>
      <c r="N14" s="38" t="n"/>
      <c r="O14" s="38" t="n"/>
      <c r="P14" s="38" t="n"/>
      <c r="Q14" s="34">
        <f>IF(COUNT(N14:P14)=0,"",MEDIAN(N14:P14))</f>
        <v/>
      </c>
      <c r="R14" s="27" t="n"/>
    </row>
    <row r="15">
      <c r="A15" s="27" t="n"/>
      <c r="B15" s="27" t="n"/>
      <c r="C15" s="27" t="n"/>
      <c r="D15" s="27" t="n"/>
      <c r="E15" s="27" t="n"/>
      <c r="F15" s="27" t="n"/>
      <c r="G15" s="28" t="n"/>
      <c r="H15" s="28" t="n"/>
      <c r="I15" s="28" t="n"/>
      <c r="J15" s="27" t="n"/>
      <c r="K15" s="27" t="n"/>
      <c r="L15" s="36" t="n"/>
      <c r="M15" s="37">
        <f>IF(L15="","",L15-TIME(9,0,0))</f>
        <v/>
      </c>
      <c r="N15" s="38" t="n"/>
      <c r="O15" s="38" t="n"/>
      <c r="P15" s="38" t="n"/>
      <c r="Q15" s="34">
        <f>IF(COUNT(N15:P15)=0,"",MEDIAN(N15:P15))</f>
        <v/>
      </c>
      <c r="R15" s="27" t="n"/>
    </row>
    <row r="16">
      <c r="A16" s="27" t="n"/>
      <c r="B16" s="27" t="n"/>
      <c r="C16" s="27" t="n"/>
      <c r="D16" s="27" t="n"/>
      <c r="E16" s="27" t="n"/>
      <c r="F16" s="27" t="n"/>
      <c r="G16" s="28" t="n"/>
      <c r="H16" s="28" t="n"/>
      <c r="I16" s="28" t="n"/>
      <c r="J16" s="27" t="n"/>
      <c r="K16" s="27" t="n"/>
      <c r="L16" s="36" t="n"/>
      <c r="M16" s="37">
        <f>IF(L16="","",L16-TIME(9,0,0))</f>
        <v/>
      </c>
      <c r="N16" s="38" t="n"/>
      <c r="O16" s="38" t="n"/>
      <c r="P16" s="38" t="n"/>
      <c r="Q16" s="34">
        <f>IF(COUNT(N16:P16)=0,"",MEDIAN(N16:P16))</f>
        <v/>
      </c>
      <c r="R16" s="27" t="n"/>
    </row>
    <row r="17">
      <c r="A17" s="27" t="n"/>
      <c r="B17" s="27" t="n"/>
      <c r="C17" s="27" t="n"/>
      <c r="D17" s="27" t="n"/>
      <c r="E17" s="27" t="n"/>
      <c r="F17" s="27" t="n"/>
      <c r="G17" s="28" t="n"/>
      <c r="H17" s="28" t="n"/>
      <c r="I17" s="28" t="n"/>
      <c r="J17" s="27" t="n"/>
      <c r="K17" s="27" t="n"/>
      <c r="L17" s="36" t="n"/>
      <c r="M17" s="37">
        <f>IF(L17="","",L17-TIME(9,0,0))</f>
        <v/>
      </c>
      <c r="N17" s="38" t="n"/>
      <c r="O17" s="38" t="n"/>
      <c r="P17" s="38" t="n"/>
      <c r="Q17" s="34">
        <f>IF(COUNT(N17:P17)=0,"",MEDIAN(N17:P17))</f>
        <v/>
      </c>
      <c r="R17" s="27" t="n"/>
    </row>
    <row r="18">
      <c r="A18" s="27" t="n"/>
      <c r="B18" s="27" t="n"/>
      <c r="C18" s="27" t="n"/>
      <c r="D18" s="27" t="n"/>
      <c r="E18" s="27" t="n"/>
      <c r="F18" s="27" t="n"/>
      <c r="G18" s="28" t="n"/>
      <c r="H18" s="28" t="n"/>
      <c r="I18" s="28" t="n"/>
      <c r="J18" s="27" t="n"/>
      <c r="K18" s="27" t="n"/>
      <c r="L18" s="36" t="n"/>
      <c r="M18" s="37">
        <f>IF(L18="","",L18-TIME(9,0,0))</f>
        <v/>
      </c>
      <c r="N18" s="38" t="n"/>
      <c r="O18" s="38" t="n"/>
      <c r="P18" s="38" t="n"/>
      <c r="Q18" s="34">
        <f>IF(COUNT(N18:P18)=0,"",MEDIAN(N18:P18))</f>
        <v/>
      </c>
      <c r="R18" s="27" t="n"/>
    </row>
    <row r="19">
      <c r="A19" s="27" t="n"/>
      <c r="B19" s="27" t="n"/>
      <c r="C19" s="27" t="n"/>
      <c r="D19" s="27" t="n"/>
      <c r="E19" s="27" t="n"/>
      <c r="F19" s="27" t="n"/>
      <c r="G19" s="28" t="n"/>
      <c r="H19" s="28" t="n"/>
      <c r="I19" s="28" t="n"/>
      <c r="J19" s="27" t="n"/>
      <c r="K19" s="27" t="n"/>
      <c r="L19" s="36" t="n"/>
      <c r="M19" s="37">
        <f>IF(L19="","",L19-TIME(9,0,0))</f>
        <v/>
      </c>
      <c r="N19" s="38" t="n"/>
      <c r="O19" s="38" t="n"/>
      <c r="P19" s="38" t="n"/>
      <c r="Q19" s="34">
        <f>IF(COUNT(N19:P19)=0,"",MEDIAN(N19:P19))</f>
        <v/>
      </c>
      <c r="R19" s="27" t="n"/>
    </row>
    <row r="20">
      <c r="A20" s="27" t="n"/>
      <c r="B20" s="27" t="n"/>
      <c r="C20" s="27" t="n"/>
      <c r="D20" s="27" t="n"/>
      <c r="E20" s="27" t="n"/>
      <c r="F20" s="27" t="n"/>
      <c r="G20" s="28" t="n"/>
      <c r="H20" s="28" t="n"/>
      <c r="I20" s="28" t="n"/>
      <c r="J20" s="27" t="n"/>
      <c r="K20" s="27" t="n"/>
      <c r="L20" s="36" t="n"/>
      <c r="M20" s="37">
        <f>IF(L20="","",L20-TIME(9,0,0))</f>
        <v/>
      </c>
      <c r="N20" s="38" t="n"/>
      <c r="O20" s="38" t="n"/>
      <c r="P20" s="38" t="n"/>
      <c r="Q20" s="34">
        <f>IF(COUNT(N20:P20)=0,"",MEDIAN(N20:P20))</f>
        <v/>
      </c>
      <c r="R20" s="27" t="n"/>
    </row>
    <row r="21">
      <c r="A21" s="27" t="n"/>
      <c r="B21" s="27" t="n"/>
      <c r="C21" s="27" t="n"/>
      <c r="D21" s="27" t="n"/>
      <c r="E21" s="27" t="n"/>
      <c r="F21" s="27" t="n"/>
      <c r="G21" s="28" t="n"/>
      <c r="H21" s="28" t="n"/>
      <c r="I21" s="28" t="n"/>
      <c r="J21" s="27" t="n"/>
      <c r="K21" s="27" t="n"/>
      <c r="L21" s="36" t="n"/>
      <c r="M21" s="37">
        <f>IF(L21="","",L21-TIME(9,0,0))</f>
        <v/>
      </c>
      <c r="N21" s="38" t="n"/>
      <c r="O21" s="38" t="n"/>
      <c r="P21" s="38" t="n"/>
      <c r="Q21" s="34">
        <f>IF(COUNT(N21:P21)=0,"",MEDIAN(N21:P21))</f>
        <v/>
      </c>
      <c r="R21" s="27" t="n"/>
    </row>
    <row r="22">
      <c r="A22" s="27" t="n"/>
      <c r="B22" s="27" t="n"/>
      <c r="C22" s="27" t="n"/>
      <c r="D22" s="27" t="n"/>
      <c r="E22" s="27" t="n"/>
      <c r="F22" s="27" t="n"/>
      <c r="G22" s="28" t="n"/>
      <c r="H22" s="28" t="n"/>
      <c r="I22" s="28" t="n"/>
      <c r="J22" s="27" t="n"/>
      <c r="K22" s="27" t="n"/>
      <c r="L22" s="36" t="n"/>
      <c r="M22" s="37">
        <f>IF(L22="","",L22-TIME(9,0,0))</f>
        <v/>
      </c>
      <c r="N22" s="38" t="n"/>
      <c r="O22" s="38" t="n"/>
      <c r="P22" s="38" t="n"/>
      <c r="Q22" s="34">
        <f>IF(COUNT(N22:P22)=0,"",MEDIAN(N22:P22))</f>
        <v/>
      </c>
      <c r="R22" s="27" t="n"/>
    </row>
    <row r="23">
      <c r="A23" s="27" t="n"/>
      <c r="B23" s="27" t="n"/>
      <c r="C23" s="27" t="n"/>
      <c r="D23" s="27" t="n"/>
      <c r="E23" s="27" t="n"/>
      <c r="F23" s="27" t="n"/>
      <c r="G23" s="28" t="n"/>
      <c r="H23" s="28" t="n"/>
      <c r="I23" s="28" t="n"/>
      <c r="J23" s="27" t="n"/>
      <c r="K23" s="27" t="n"/>
      <c r="L23" s="36" t="n"/>
      <c r="M23" s="37">
        <f>IF(L23="","",L23-TIME(9,0,0))</f>
        <v/>
      </c>
      <c r="N23" s="38" t="n"/>
      <c r="O23" s="38" t="n"/>
      <c r="P23" s="38" t="n"/>
      <c r="Q23" s="34">
        <f>IF(COUNT(N23:P23)=0,"",MEDIAN(N23:P23))</f>
        <v/>
      </c>
      <c r="R23" s="27" t="n"/>
    </row>
    <row r="24">
      <c r="A24" s="27" t="n"/>
      <c r="B24" s="27" t="n"/>
      <c r="C24" s="27" t="n"/>
      <c r="D24" s="27" t="n"/>
      <c r="E24" s="27" t="n"/>
      <c r="F24" s="27" t="n"/>
      <c r="G24" s="28" t="n"/>
      <c r="H24" s="28" t="n"/>
      <c r="I24" s="28" t="n"/>
      <c r="J24" s="27" t="n"/>
      <c r="K24" s="27" t="n"/>
      <c r="L24" s="36" t="n"/>
      <c r="M24" s="37">
        <f>IF(L24="","",L24-TIME(9,0,0))</f>
        <v/>
      </c>
      <c r="N24" s="38" t="n"/>
      <c r="O24" s="38" t="n"/>
      <c r="P24" s="38" t="n"/>
      <c r="Q24" s="34">
        <f>IF(COUNT(N24:P24)=0,"",MEDIAN(N24:P24))</f>
        <v/>
      </c>
      <c r="R24" s="27" t="n"/>
    </row>
    <row r="25">
      <c r="A25" s="27" t="n"/>
      <c r="B25" s="27" t="n"/>
      <c r="C25" s="27" t="n"/>
      <c r="D25" s="27" t="n"/>
      <c r="E25" s="27" t="n"/>
      <c r="F25" s="27" t="n"/>
      <c r="G25" s="28" t="n"/>
      <c r="H25" s="28" t="n"/>
      <c r="I25" s="28" t="n"/>
      <c r="J25" s="27" t="n"/>
      <c r="K25" s="27" t="n"/>
      <c r="L25" s="36" t="n"/>
      <c r="M25" s="37">
        <f>IF(L25="","",L25-TIME(9,0,0))</f>
        <v/>
      </c>
      <c r="N25" s="38" t="n"/>
      <c r="O25" s="38" t="n"/>
      <c r="P25" s="38" t="n"/>
      <c r="Q25" s="34">
        <f>IF(COUNT(N25:P25)=0,"",MEDIAN(N25:P25))</f>
        <v/>
      </c>
      <c r="R25" s="27" t="n"/>
    </row>
    <row r="26">
      <c r="A26" s="27" t="n"/>
      <c r="B26" s="27" t="n"/>
      <c r="C26" s="27" t="n"/>
      <c r="D26" s="27" t="n"/>
      <c r="E26" s="27" t="n"/>
      <c r="F26" s="27" t="n"/>
      <c r="G26" s="28" t="n"/>
      <c r="H26" s="28" t="n"/>
      <c r="I26" s="28" t="n"/>
      <c r="J26" s="27" t="n"/>
      <c r="K26" s="27" t="n"/>
      <c r="L26" s="36" t="n"/>
      <c r="M26" s="37">
        <f>IF(L26="","",L26-TIME(9,0,0))</f>
        <v/>
      </c>
      <c r="N26" s="38" t="n"/>
      <c r="O26" s="38" t="n"/>
      <c r="P26" s="38" t="n"/>
      <c r="Q26" s="34">
        <f>IF(COUNT(N26:P26)=0,"",MEDIAN(N26:P26))</f>
        <v/>
      </c>
      <c r="R26" s="27" t="n"/>
    </row>
    <row r="27">
      <c r="A27" s="27" t="n"/>
      <c r="B27" s="27" t="n"/>
      <c r="C27" s="27" t="n"/>
      <c r="D27" s="27" t="n"/>
      <c r="E27" s="27" t="n"/>
      <c r="F27" s="27" t="n"/>
      <c r="G27" s="28" t="n"/>
      <c r="H27" s="28" t="n"/>
      <c r="I27" s="28" t="n"/>
      <c r="J27" s="27" t="n"/>
      <c r="K27" s="27" t="n"/>
      <c r="L27" s="36" t="n"/>
      <c r="M27" s="37">
        <f>IF(L27="","",L27-TIME(9,0,0))</f>
        <v/>
      </c>
      <c r="N27" s="38" t="n"/>
      <c r="O27" s="38" t="n"/>
      <c r="P27" s="38" t="n"/>
      <c r="Q27" s="34">
        <f>IF(COUNT(N27:P27)=0,"",MEDIAN(N27:P27))</f>
        <v/>
      </c>
      <c r="R27" s="27" t="n"/>
    </row>
    <row r="28">
      <c r="A28" s="27" t="n"/>
      <c r="B28" s="27" t="n"/>
      <c r="C28" s="27" t="n"/>
      <c r="D28" s="27" t="n"/>
      <c r="E28" s="27" t="n"/>
      <c r="F28" s="27" t="n"/>
      <c r="G28" s="28" t="n"/>
      <c r="H28" s="28" t="n"/>
      <c r="I28" s="28" t="n"/>
      <c r="J28" s="27" t="n"/>
      <c r="K28" s="27" t="n"/>
      <c r="L28" s="36" t="n"/>
      <c r="M28" s="37">
        <f>IF(L28="","",L28-TIME(9,0,0))</f>
        <v/>
      </c>
      <c r="N28" s="38" t="n"/>
      <c r="O28" s="38" t="n"/>
      <c r="P28" s="38" t="n"/>
      <c r="Q28" s="34">
        <f>IF(COUNT(N28:P28)=0,"",MEDIAN(N28:P28))</f>
        <v/>
      </c>
      <c r="R28" s="27" t="n"/>
    </row>
    <row r="29">
      <c r="A29" s="27" t="n"/>
      <c r="B29" s="27" t="n"/>
      <c r="C29" s="27" t="n"/>
      <c r="D29" s="27" t="n"/>
      <c r="E29" s="27" t="n"/>
      <c r="F29" s="27" t="n"/>
      <c r="G29" s="28" t="n"/>
      <c r="H29" s="28" t="n"/>
      <c r="I29" s="28" t="n"/>
      <c r="J29" s="27" t="n"/>
      <c r="K29" s="27" t="n"/>
      <c r="L29" s="36" t="n"/>
      <c r="M29" s="37">
        <f>IF(L29="","",L29-TIME(9,0,0))</f>
        <v/>
      </c>
      <c r="N29" s="38" t="n"/>
      <c r="O29" s="38" t="n"/>
      <c r="P29" s="38" t="n"/>
      <c r="Q29" s="34">
        <f>IF(COUNT(N29:P29)=0,"",MEDIAN(N29:P29))</f>
        <v/>
      </c>
      <c r="R29" s="27" t="n"/>
    </row>
    <row r="30">
      <c r="A30" s="27" t="n"/>
      <c r="B30" s="27" t="n"/>
      <c r="C30" s="27" t="n"/>
      <c r="D30" s="27" t="n"/>
      <c r="E30" s="27" t="n"/>
      <c r="F30" s="27" t="n"/>
      <c r="G30" s="28" t="n"/>
      <c r="H30" s="28" t="n"/>
      <c r="I30" s="28" t="n"/>
      <c r="J30" s="27" t="n"/>
      <c r="K30" s="27" t="n"/>
      <c r="L30" s="36" t="n"/>
      <c r="M30" s="37">
        <f>IF(L30="","",L30-TIME(9,0,0))</f>
        <v/>
      </c>
      <c r="N30" s="38" t="n"/>
      <c r="O30" s="38" t="n"/>
      <c r="P30" s="38" t="n"/>
      <c r="Q30" s="34">
        <f>IF(COUNT(N30:P30)=0,"",MEDIAN(N30:P30))</f>
        <v/>
      </c>
      <c r="R30" s="27" t="n"/>
    </row>
    <row r="31">
      <c r="A31" s="27" t="n"/>
      <c r="B31" s="27" t="n"/>
      <c r="C31" s="27" t="n"/>
      <c r="D31" s="27" t="n"/>
      <c r="E31" s="27" t="n"/>
      <c r="F31" s="27" t="n"/>
      <c r="G31" s="28" t="n"/>
      <c r="H31" s="28" t="n"/>
      <c r="I31" s="28" t="n"/>
      <c r="J31" s="27" t="n"/>
      <c r="K31" s="27" t="n"/>
      <c r="L31" s="36" t="n"/>
      <c r="M31" s="37">
        <f>IF(L31="","",L31-TIME(9,0,0))</f>
        <v/>
      </c>
      <c r="N31" s="38" t="n"/>
      <c r="O31" s="38" t="n"/>
      <c r="P31" s="38" t="n"/>
      <c r="Q31" s="34">
        <f>IF(COUNT(N31:P31)=0,"",MEDIAN(N31:P31))</f>
        <v/>
      </c>
      <c r="R31" s="27" t="n"/>
    </row>
    <row r="32">
      <c r="A32" s="27" t="n"/>
      <c r="B32" s="27" t="n"/>
      <c r="C32" s="27" t="n"/>
      <c r="D32" s="27" t="n"/>
      <c r="E32" s="27" t="n"/>
      <c r="F32" s="27" t="n"/>
      <c r="G32" s="28" t="n"/>
      <c r="H32" s="28" t="n"/>
      <c r="I32" s="28" t="n"/>
      <c r="J32" s="27" t="n"/>
      <c r="K32" s="27" t="n"/>
      <c r="L32" s="36" t="n"/>
      <c r="M32" s="37">
        <f>IF(L32="","",L32-TIME(9,0,0))</f>
        <v/>
      </c>
      <c r="N32" s="38" t="n"/>
      <c r="O32" s="38" t="n"/>
      <c r="P32" s="38" t="n"/>
      <c r="Q32" s="34">
        <f>IF(COUNT(N32:P32)=0,"",MEDIAN(N32:P32))</f>
        <v/>
      </c>
      <c r="R32" s="27" t="n"/>
    </row>
    <row r="33">
      <c r="A33" s="27" t="n"/>
      <c r="B33" s="27" t="n"/>
      <c r="C33" s="27" t="n"/>
      <c r="D33" s="27" t="n"/>
      <c r="E33" s="27" t="n"/>
      <c r="F33" s="27" t="n"/>
      <c r="G33" s="28" t="n"/>
      <c r="H33" s="28" t="n"/>
      <c r="I33" s="28" t="n"/>
      <c r="J33" s="27" t="n"/>
      <c r="K33" s="27" t="n"/>
      <c r="L33" s="36" t="n"/>
      <c r="M33" s="37">
        <f>IF(L33="","",L33-TIME(9,0,0))</f>
        <v/>
      </c>
      <c r="N33" s="38" t="n"/>
      <c r="O33" s="38" t="n"/>
      <c r="P33" s="38" t="n"/>
      <c r="Q33" s="34">
        <f>IF(COUNT(N33:P33)=0,"",MEDIAN(N33:P33))</f>
        <v/>
      </c>
      <c r="R33" s="27" t="n"/>
    </row>
    <row r="34">
      <c r="A34" s="27" t="n"/>
      <c r="B34" s="27" t="n"/>
      <c r="C34" s="27" t="n"/>
      <c r="D34" s="27" t="n"/>
      <c r="E34" s="27" t="n"/>
      <c r="F34" s="27" t="n"/>
      <c r="G34" s="28" t="n"/>
      <c r="H34" s="28" t="n"/>
      <c r="I34" s="28" t="n"/>
      <c r="J34" s="27" t="n"/>
      <c r="K34" s="27" t="n"/>
      <c r="L34" s="36" t="n"/>
      <c r="M34" s="37">
        <f>IF(L34="","",L34-TIME(9,0,0))</f>
        <v/>
      </c>
      <c r="N34" s="38" t="n"/>
      <c r="O34" s="38" t="n"/>
      <c r="P34" s="38" t="n"/>
      <c r="Q34" s="34">
        <f>IF(COUNT(N34:P34)=0,"",MEDIAN(N34:P34))</f>
        <v/>
      </c>
      <c r="R34" s="27" t="n"/>
    </row>
    <row r="35">
      <c r="A35" s="27" t="n"/>
      <c r="B35" s="27" t="n"/>
      <c r="C35" s="27" t="n"/>
      <c r="D35" s="27" t="n"/>
      <c r="E35" s="27" t="n"/>
      <c r="F35" s="27" t="n"/>
      <c r="G35" s="28" t="n"/>
      <c r="H35" s="28" t="n"/>
      <c r="I35" s="28" t="n"/>
      <c r="J35" s="27" t="n"/>
      <c r="K35" s="27" t="n"/>
      <c r="L35" s="36" t="n"/>
      <c r="M35" s="37">
        <f>IF(L35="","",L35-TIME(9,0,0))</f>
        <v/>
      </c>
      <c r="N35" s="38" t="n"/>
      <c r="O35" s="38" t="n"/>
      <c r="P35" s="38" t="n"/>
      <c r="Q35" s="34">
        <f>IF(COUNT(N35:P35)=0,"",MEDIAN(N35:P35))</f>
        <v/>
      </c>
      <c r="R35" s="27" t="n"/>
    </row>
    <row r="36">
      <c r="A36" s="27" t="n"/>
      <c r="B36" s="27" t="n"/>
      <c r="C36" s="27" t="n"/>
      <c r="D36" s="27" t="n"/>
      <c r="E36" s="27" t="n"/>
      <c r="F36" s="27" t="n"/>
      <c r="G36" s="28" t="n"/>
      <c r="H36" s="28" t="n"/>
      <c r="I36" s="28" t="n"/>
      <c r="J36" s="27" t="n"/>
      <c r="K36" s="27" t="n"/>
      <c r="L36" s="36" t="n"/>
      <c r="M36" s="37">
        <f>IF(L36="","",L36-TIME(9,0,0))</f>
        <v/>
      </c>
      <c r="N36" s="38" t="n"/>
      <c r="O36" s="38" t="n"/>
      <c r="P36" s="38" t="n"/>
      <c r="Q36" s="34">
        <f>IF(COUNT(N36:P36)=0,"",MEDIAN(N36:P36))</f>
        <v/>
      </c>
      <c r="R36" s="27" t="n"/>
    </row>
    <row r="37">
      <c r="A37" s="27" t="n"/>
      <c r="B37" s="27" t="n"/>
      <c r="C37" s="27" t="n"/>
      <c r="D37" s="27" t="n"/>
      <c r="E37" s="27" t="n"/>
      <c r="F37" s="27" t="n"/>
      <c r="G37" s="28" t="n"/>
      <c r="H37" s="28" t="n"/>
      <c r="I37" s="28" t="n"/>
      <c r="J37" s="27" t="n"/>
      <c r="K37" s="27" t="n"/>
      <c r="L37" s="36" t="n"/>
      <c r="M37" s="37">
        <f>IF(L37="","",L37-TIME(9,0,0))</f>
        <v/>
      </c>
      <c r="N37" s="38" t="n"/>
      <c r="O37" s="38" t="n"/>
      <c r="P37" s="38" t="n"/>
      <c r="Q37" s="34">
        <f>IF(COUNT(N37:P37)=0,"",MEDIAN(N37:P37))</f>
        <v/>
      </c>
      <c r="R37" s="27" t="n"/>
    </row>
    <row r="38">
      <c r="A38" s="27" t="n"/>
      <c r="B38" s="27" t="n"/>
      <c r="C38" s="27" t="n"/>
      <c r="D38" s="27" t="n"/>
      <c r="E38" s="27" t="n"/>
      <c r="F38" s="27" t="n"/>
      <c r="G38" s="28" t="n"/>
      <c r="H38" s="28" t="n"/>
      <c r="I38" s="28" t="n"/>
      <c r="J38" s="27" t="n"/>
      <c r="K38" s="27" t="n"/>
      <c r="L38" s="36" t="n"/>
      <c r="M38" s="37">
        <f>IF(L38="","",L38-TIME(9,0,0))</f>
        <v/>
      </c>
      <c r="N38" s="38" t="n"/>
      <c r="O38" s="38" t="n"/>
      <c r="P38" s="38" t="n"/>
      <c r="Q38" s="34">
        <f>IF(COUNT(N38:P38)=0,"",MEDIAN(N38:P38))</f>
        <v/>
      </c>
      <c r="R38" s="27" t="n"/>
    </row>
    <row r="39">
      <c r="A39" s="27" t="n"/>
      <c r="B39" s="27" t="n"/>
      <c r="C39" s="27" t="n"/>
      <c r="D39" s="27" t="n"/>
      <c r="E39" s="27" t="n"/>
      <c r="F39" s="27" t="n"/>
      <c r="G39" s="28" t="n"/>
      <c r="H39" s="28" t="n"/>
      <c r="I39" s="28" t="n"/>
      <c r="J39" s="27" t="n"/>
      <c r="K39" s="27" t="n"/>
      <c r="L39" s="36" t="n"/>
      <c r="M39" s="37">
        <f>IF(L39="","",L39-TIME(9,0,0))</f>
        <v/>
      </c>
      <c r="N39" s="38" t="n"/>
      <c r="O39" s="38" t="n"/>
      <c r="P39" s="38" t="n"/>
      <c r="Q39" s="34">
        <f>IF(COUNT(N39:P39)=0,"",MEDIAN(N39:P39))</f>
        <v/>
      </c>
      <c r="R39" s="27" t="n"/>
    </row>
    <row r="40">
      <c r="A40" s="27" t="n"/>
      <c r="B40" s="27" t="n"/>
      <c r="C40" s="27" t="n"/>
      <c r="D40" s="27" t="n"/>
      <c r="E40" s="27" t="n"/>
      <c r="F40" s="27" t="n"/>
      <c r="G40" s="28" t="n"/>
      <c r="H40" s="28" t="n"/>
      <c r="I40" s="28" t="n"/>
      <c r="J40" s="27" t="n"/>
      <c r="K40" s="27" t="n"/>
      <c r="L40" s="36" t="n"/>
      <c r="M40" s="37">
        <f>IF(L40="","",L40-TIME(9,0,0))</f>
        <v/>
      </c>
      <c r="N40" s="38" t="n"/>
      <c r="O40" s="38" t="n"/>
      <c r="P40" s="38" t="n"/>
      <c r="Q40" s="34">
        <f>IF(COUNT(N40:P40)=0,"",MEDIAN(N40:P40))</f>
        <v/>
      </c>
      <c r="R40" s="27" t="n"/>
    </row>
    <row r="41">
      <c r="A41" s="27" t="n"/>
      <c r="B41" s="27" t="n"/>
      <c r="C41" s="27" t="n"/>
      <c r="D41" s="27" t="n"/>
      <c r="E41" s="27" t="n"/>
      <c r="F41" s="27" t="n"/>
      <c r="G41" s="28" t="n"/>
      <c r="H41" s="28" t="n"/>
      <c r="I41" s="28" t="n"/>
      <c r="J41" s="27" t="n"/>
      <c r="K41" s="27" t="n"/>
      <c r="L41" s="36" t="n"/>
      <c r="M41" s="37">
        <f>IF(L41="","",L41-TIME(9,0,0))</f>
        <v/>
      </c>
      <c r="N41" s="38" t="n"/>
      <c r="O41" s="38" t="n"/>
      <c r="P41" s="38" t="n"/>
      <c r="Q41" s="34">
        <f>IF(COUNT(N41:P41)=0,"",MEDIAN(N41:P41))</f>
        <v/>
      </c>
      <c r="R41" s="27" t="n"/>
    </row>
    <row r="42">
      <c r="A42" s="27" t="n"/>
      <c r="B42" s="27" t="n"/>
      <c r="C42" s="27" t="n"/>
      <c r="D42" s="27" t="n"/>
      <c r="E42" s="27" t="n"/>
      <c r="F42" s="27" t="n"/>
      <c r="G42" s="28" t="n"/>
      <c r="H42" s="28" t="n"/>
      <c r="I42" s="28" t="n"/>
      <c r="J42" s="27" t="n"/>
      <c r="K42" s="27" t="n"/>
      <c r="L42" s="36" t="n"/>
      <c r="M42" s="37">
        <f>IF(L42="","",L42-TIME(9,0,0))</f>
        <v/>
      </c>
      <c r="N42" s="38" t="n"/>
      <c r="O42" s="38" t="n"/>
      <c r="P42" s="38" t="n"/>
      <c r="Q42" s="34">
        <f>IF(COUNT(N42:P42)=0,"",MEDIAN(N42:P42))</f>
        <v/>
      </c>
      <c r="R42" s="27" t="n"/>
    </row>
    <row r="43">
      <c r="A43" s="27" t="n"/>
      <c r="B43" s="27" t="n"/>
      <c r="C43" s="27" t="n"/>
      <c r="D43" s="27" t="n"/>
      <c r="E43" s="27" t="n"/>
      <c r="F43" s="27" t="n"/>
      <c r="G43" s="28" t="n"/>
      <c r="H43" s="28" t="n"/>
      <c r="I43" s="28" t="n"/>
      <c r="J43" s="27" t="n"/>
      <c r="K43" s="27" t="n"/>
      <c r="L43" s="36" t="n"/>
      <c r="M43" s="37">
        <f>IF(L43="","",L43-TIME(9,0,0))</f>
        <v/>
      </c>
      <c r="N43" s="38" t="n"/>
      <c r="O43" s="38" t="n"/>
      <c r="P43" s="38" t="n"/>
      <c r="Q43" s="34">
        <f>IF(COUNT(N43:P43)=0,"",MEDIAN(N43:P43))</f>
        <v/>
      </c>
      <c r="R43" s="27" t="n"/>
    </row>
    <row r="44">
      <c r="A44" s="27" t="n"/>
      <c r="B44" s="27" t="n"/>
      <c r="C44" s="27" t="n"/>
      <c r="D44" s="27" t="n"/>
      <c r="E44" s="27" t="n"/>
      <c r="F44" s="27" t="n"/>
      <c r="G44" s="28" t="n"/>
      <c r="H44" s="28" t="n"/>
      <c r="I44" s="28" t="n"/>
      <c r="J44" s="27" t="n"/>
      <c r="K44" s="27" t="n"/>
      <c r="L44" s="36" t="n"/>
      <c r="M44" s="37">
        <f>IF(L44="","",L44-TIME(9,0,0))</f>
        <v/>
      </c>
      <c r="N44" s="38" t="n"/>
      <c r="O44" s="38" t="n"/>
      <c r="P44" s="38" t="n"/>
      <c r="Q44" s="34">
        <f>IF(COUNT(N44:P44)=0,"",MEDIAN(N44:P44))</f>
        <v/>
      </c>
      <c r="R44" s="27" t="n"/>
    </row>
    <row r="45">
      <c r="A45" s="27" t="n"/>
      <c r="B45" s="27" t="n"/>
      <c r="C45" s="27" t="n"/>
      <c r="D45" s="27" t="n"/>
      <c r="E45" s="27" t="n"/>
      <c r="F45" s="27" t="n"/>
      <c r="G45" s="28" t="n"/>
      <c r="H45" s="28" t="n"/>
      <c r="I45" s="28" t="n"/>
      <c r="J45" s="27" t="n"/>
      <c r="K45" s="27" t="n"/>
      <c r="L45" s="36" t="n"/>
      <c r="M45" s="37">
        <f>IF(L45="","",L45-TIME(9,0,0))</f>
        <v/>
      </c>
      <c r="N45" s="38" t="n"/>
      <c r="O45" s="38" t="n"/>
      <c r="P45" s="38" t="n"/>
      <c r="Q45" s="34">
        <f>IF(COUNT(N45:P45)=0,"",MEDIAN(N45:P45))</f>
        <v/>
      </c>
      <c r="R45" s="27" t="n"/>
    </row>
    <row r="46">
      <c r="A46" s="27" t="n"/>
      <c r="B46" s="27" t="n"/>
      <c r="C46" s="27" t="n"/>
      <c r="D46" s="27" t="n"/>
      <c r="E46" s="27" t="n"/>
      <c r="F46" s="27" t="n"/>
      <c r="G46" s="28" t="n"/>
      <c r="H46" s="28" t="n"/>
      <c r="I46" s="28" t="n"/>
      <c r="J46" s="27" t="n"/>
      <c r="K46" s="27" t="n"/>
      <c r="L46" s="36" t="n"/>
      <c r="M46" s="37">
        <f>IF(L46="","",L46-TIME(9,0,0))</f>
        <v/>
      </c>
      <c r="N46" s="38" t="n"/>
      <c r="O46" s="38" t="n"/>
      <c r="P46" s="38" t="n"/>
      <c r="Q46" s="34">
        <f>IF(COUNT(N46:P46)=0,"",MEDIAN(N46:P46))</f>
        <v/>
      </c>
      <c r="R46" s="27" t="n"/>
    </row>
    <row r="47">
      <c r="A47" s="27" t="n"/>
      <c r="B47" s="27" t="n"/>
      <c r="C47" s="27" t="n"/>
      <c r="D47" s="27" t="n"/>
      <c r="E47" s="27" t="n"/>
      <c r="F47" s="27" t="n"/>
      <c r="G47" s="28" t="n"/>
      <c r="H47" s="28" t="n"/>
      <c r="I47" s="28" t="n"/>
      <c r="J47" s="27" t="n"/>
      <c r="K47" s="27" t="n"/>
      <c r="L47" s="36" t="n"/>
      <c r="M47" s="37">
        <f>IF(L47="","",L47-TIME(9,0,0))</f>
        <v/>
      </c>
      <c r="N47" s="38" t="n"/>
      <c r="O47" s="38" t="n"/>
      <c r="P47" s="38" t="n"/>
      <c r="Q47" s="34">
        <f>IF(COUNT(N47:P47)=0,"",MEDIAN(N47:P47))</f>
        <v/>
      </c>
      <c r="R47" s="27" t="n"/>
    </row>
    <row r="48">
      <c r="A48" s="27" t="n"/>
      <c r="B48" s="27" t="n"/>
      <c r="C48" s="27" t="n"/>
      <c r="D48" s="27" t="n"/>
      <c r="E48" s="27" t="n"/>
      <c r="F48" s="27" t="n"/>
      <c r="G48" s="28" t="n"/>
      <c r="H48" s="28" t="n"/>
      <c r="I48" s="28" t="n"/>
      <c r="J48" s="27" t="n"/>
      <c r="K48" s="27" t="n"/>
      <c r="L48" s="36" t="n"/>
      <c r="M48" s="37">
        <f>IF(L48="","",L48-TIME(9,0,0))</f>
        <v/>
      </c>
      <c r="N48" s="38" t="n"/>
      <c r="O48" s="38" t="n"/>
      <c r="P48" s="38" t="n"/>
      <c r="Q48" s="34">
        <f>IF(COUNT(N48:P48)=0,"",MEDIAN(N48:P48))</f>
        <v/>
      </c>
      <c r="R48" s="27" t="n"/>
    </row>
    <row r="49">
      <c r="A49" s="27" t="n"/>
      <c r="B49" s="27" t="n"/>
      <c r="C49" s="27" t="n"/>
      <c r="D49" s="27" t="n"/>
      <c r="E49" s="27" t="n"/>
      <c r="F49" s="27" t="n"/>
      <c r="G49" s="28" t="n"/>
      <c r="H49" s="28" t="n"/>
      <c r="I49" s="28" t="n"/>
      <c r="J49" s="27" t="n"/>
      <c r="K49" s="27" t="n"/>
      <c r="L49" s="36" t="n"/>
      <c r="M49" s="37">
        <f>IF(L49="","",L49-TIME(9,0,0))</f>
        <v/>
      </c>
      <c r="N49" s="38" t="n"/>
      <c r="O49" s="38" t="n"/>
      <c r="P49" s="38" t="n"/>
      <c r="Q49" s="34">
        <f>IF(COUNT(N49:P49)=0,"",MEDIAN(N49:P49))</f>
        <v/>
      </c>
      <c r="R49" s="27" t="n"/>
    </row>
    <row r="50">
      <c r="A50" s="27" t="n"/>
      <c r="B50" s="27" t="n"/>
      <c r="C50" s="27" t="n"/>
      <c r="D50" s="27" t="n"/>
      <c r="E50" s="27" t="n"/>
      <c r="F50" s="27" t="n"/>
      <c r="G50" s="28" t="n"/>
      <c r="H50" s="28" t="n"/>
      <c r="I50" s="28" t="n"/>
      <c r="J50" s="27" t="n"/>
      <c r="K50" s="27" t="n"/>
      <c r="L50" s="36" t="n"/>
      <c r="M50" s="37">
        <f>IF(L50="","",L50-TIME(9,0,0))</f>
        <v/>
      </c>
      <c r="N50" s="38" t="n"/>
      <c r="O50" s="38" t="n"/>
      <c r="P50" s="38" t="n"/>
      <c r="Q50" s="34">
        <f>IF(COUNT(N50:P50)=0,"",MEDIAN(N50:P50))</f>
        <v/>
      </c>
      <c r="R50" s="27" t="n"/>
    </row>
    <row r="51">
      <c r="A51" s="27" t="n"/>
      <c r="B51" s="27" t="n"/>
      <c r="C51" s="27" t="n"/>
      <c r="D51" s="27" t="n"/>
      <c r="E51" s="27" t="n"/>
      <c r="F51" s="27" t="n"/>
      <c r="G51" s="28" t="n"/>
      <c r="H51" s="28" t="n"/>
      <c r="I51" s="28" t="n"/>
      <c r="J51" s="27" t="n"/>
      <c r="K51" s="27" t="n"/>
      <c r="L51" s="36" t="n"/>
      <c r="M51" s="37">
        <f>IF(L51="","",L51-TIME(9,0,0))</f>
        <v/>
      </c>
      <c r="N51" s="38" t="n"/>
      <c r="O51" s="38" t="n"/>
      <c r="P51" s="38" t="n"/>
      <c r="Q51" s="34">
        <f>IF(COUNT(N51:P51)=0,"",MEDIAN(N51:P51))</f>
        <v/>
      </c>
      <c r="R51" s="27" t="n"/>
    </row>
    <row r="52">
      <c r="A52" s="27" t="n"/>
      <c r="B52" s="27" t="n"/>
      <c r="C52" s="27" t="n"/>
      <c r="D52" s="27" t="n"/>
      <c r="E52" s="27" t="n"/>
      <c r="F52" s="27" t="n"/>
      <c r="G52" s="28" t="n"/>
      <c r="H52" s="28" t="n"/>
      <c r="I52" s="28" t="n"/>
      <c r="J52" s="27" t="n"/>
      <c r="K52" s="27" t="n"/>
      <c r="L52" s="36" t="n"/>
      <c r="M52" s="37">
        <f>IF(L52="","",L52-TIME(9,0,0))</f>
        <v/>
      </c>
      <c r="N52" s="38" t="n"/>
      <c r="O52" s="38" t="n"/>
      <c r="P52" s="38" t="n"/>
      <c r="Q52" s="34">
        <f>IF(COUNT(N52:P52)=0,"",MEDIAN(N52:P52))</f>
        <v/>
      </c>
      <c r="R52" s="27" t="n"/>
    </row>
    <row r="53">
      <c r="A53" s="27" t="n"/>
      <c r="B53" s="27" t="n"/>
      <c r="C53" s="27" t="n"/>
      <c r="D53" s="27" t="n"/>
      <c r="E53" s="27" t="n"/>
      <c r="F53" s="27" t="n"/>
      <c r="G53" s="28" t="n"/>
      <c r="H53" s="28" t="n"/>
      <c r="I53" s="28" t="n"/>
      <c r="J53" s="27" t="n"/>
      <c r="K53" s="27" t="n"/>
      <c r="L53" s="36" t="n"/>
      <c r="M53" s="37">
        <f>IF(L53="","",L53-TIME(9,0,0))</f>
        <v/>
      </c>
      <c r="N53" s="38" t="n"/>
      <c r="O53" s="38" t="n"/>
      <c r="P53" s="38" t="n"/>
      <c r="Q53" s="34">
        <f>IF(COUNT(N53:P53)=0,"",MEDIAN(N53:P53))</f>
        <v/>
      </c>
      <c r="R53" s="27" t="n"/>
    </row>
    <row r="54">
      <c r="A54" s="27" t="n"/>
      <c r="B54" s="27" t="n"/>
      <c r="C54" s="27" t="n"/>
      <c r="D54" s="27" t="n"/>
      <c r="E54" s="27" t="n"/>
      <c r="F54" s="27" t="n"/>
      <c r="G54" s="28" t="n"/>
      <c r="H54" s="28" t="n"/>
      <c r="I54" s="28" t="n"/>
      <c r="J54" s="27" t="n"/>
      <c r="K54" s="27" t="n"/>
      <c r="L54" s="36" t="n"/>
      <c r="M54" s="37">
        <f>IF(L54="","",L54-TIME(9,0,0))</f>
        <v/>
      </c>
      <c r="N54" s="38" t="n"/>
      <c r="O54" s="38" t="n"/>
      <c r="P54" s="38" t="n"/>
      <c r="Q54" s="34">
        <f>IF(COUNT(N54:P54)=0,"",MEDIAN(N54:P54))</f>
        <v/>
      </c>
      <c r="R54" s="27" t="n"/>
    </row>
    <row r="55">
      <c r="A55" s="27" t="n"/>
      <c r="B55" s="27" t="n"/>
      <c r="C55" s="27" t="n"/>
      <c r="D55" s="27" t="n"/>
      <c r="E55" s="27" t="n"/>
      <c r="F55" s="27" t="n"/>
      <c r="G55" s="28" t="n"/>
      <c r="H55" s="28" t="n"/>
      <c r="I55" s="28" t="n"/>
      <c r="J55" s="27" t="n"/>
      <c r="K55" s="27" t="n"/>
      <c r="L55" s="36" t="n"/>
      <c r="M55" s="37">
        <f>IF(L55="","",L55-TIME(9,0,0))</f>
        <v/>
      </c>
      <c r="N55" s="38" t="n"/>
      <c r="O55" s="38" t="n"/>
      <c r="P55" s="38" t="n"/>
      <c r="Q55" s="34">
        <f>IF(COUNT(N55:P55)=0,"",MEDIAN(N55:P55))</f>
        <v/>
      </c>
      <c r="R55" s="27" t="n"/>
    </row>
    <row r="56">
      <c r="A56" s="27" t="n"/>
      <c r="B56" s="27" t="n"/>
      <c r="C56" s="27" t="n"/>
      <c r="D56" s="27" t="n"/>
      <c r="E56" s="27" t="n"/>
      <c r="F56" s="27" t="n"/>
      <c r="G56" s="28" t="n"/>
      <c r="H56" s="28" t="n"/>
      <c r="I56" s="28" t="n"/>
      <c r="J56" s="27" t="n"/>
      <c r="K56" s="27" t="n"/>
      <c r="L56" s="36" t="n"/>
      <c r="M56" s="37">
        <f>IF(L56="","",L56-TIME(9,0,0))</f>
        <v/>
      </c>
      <c r="N56" s="38" t="n"/>
      <c r="O56" s="38" t="n"/>
      <c r="P56" s="38" t="n"/>
      <c r="Q56" s="34">
        <f>IF(COUNT(N56:P56)=0,"",MEDIAN(N56:P56))</f>
        <v/>
      </c>
      <c r="R56" s="27" t="n"/>
    </row>
    <row r="57">
      <c r="A57" s="27" t="n"/>
      <c r="B57" s="27" t="n"/>
      <c r="C57" s="27" t="n"/>
      <c r="D57" s="27" t="n"/>
      <c r="E57" s="27" t="n"/>
      <c r="F57" s="27" t="n"/>
      <c r="G57" s="28" t="n"/>
      <c r="H57" s="28" t="n"/>
      <c r="I57" s="28" t="n"/>
      <c r="J57" s="27" t="n"/>
      <c r="K57" s="27" t="n"/>
      <c r="L57" s="36" t="n"/>
      <c r="M57" s="37">
        <f>IF(L57="","",L57-TIME(9,0,0))</f>
        <v/>
      </c>
      <c r="N57" s="38" t="n"/>
      <c r="O57" s="38" t="n"/>
      <c r="P57" s="38" t="n"/>
      <c r="Q57" s="34">
        <f>IF(COUNT(N57:P57)=0,"",MEDIAN(N57:P57))</f>
        <v/>
      </c>
      <c r="R57" s="27" t="n"/>
    </row>
    <row r="58">
      <c r="A58" s="27" t="n"/>
      <c r="B58" s="27" t="n"/>
      <c r="C58" s="27" t="n"/>
      <c r="D58" s="27" t="n"/>
      <c r="E58" s="27" t="n"/>
      <c r="F58" s="27" t="n"/>
      <c r="G58" s="28" t="n"/>
      <c r="H58" s="28" t="n"/>
      <c r="I58" s="28" t="n"/>
      <c r="J58" s="27" t="n"/>
      <c r="K58" s="27" t="n"/>
      <c r="L58" s="36" t="n"/>
      <c r="M58" s="37">
        <f>IF(L58="","",L58-TIME(9,0,0))</f>
        <v/>
      </c>
      <c r="N58" s="38" t="n"/>
      <c r="O58" s="38" t="n"/>
      <c r="P58" s="38" t="n"/>
      <c r="Q58" s="34">
        <f>IF(COUNT(N58:P58)=0,"",MEDIAN(N58:P58))</f>
        <v/>
      </c>
      <c r="R58" s="27" t="n"/>
    </row>
    <row r="59">
      <c r="A59" s="27" t="n"/>
      <c r="B59" s="27" t="n"/>
      <c r="C59" s="27" t="n"/>
      <c r="D59" s="27" t="n"/>
      <c r="E59" s="27" t="n"/>
      <c r="F59" s="27" t="n"/>
      <c r="G59" s="28" t="n"/>
      <c r="H59" s="28" t="n"/>
      <c r="I59" s="28" t="n"/>
      <c r="J59" s="27" t="n"/>
      <c r="K59" s="27" t="n"/>
      <c r="L59" s="36" t="n"/>
      <c r="M59" s="37">
        <f>IF(L59="","",L59-TIME(9,0,0))</f>
        <v/>
      </c>
      <c r="N59" s="38" t="n"/>
      <c r="O59" s="38" t="n"/>
      <c r="P59" s="38" t="n"/>
      <c r="Q59" s="34">
        <f>IF(COUNT(N59:P59)=0,"",MEDIAN(N59:P59))</f>
        <v/>
      </c>
      <c r="R59" s="27" t="n"/>
    </row>
    <row r="60">
      <c r="A60" s="27" t="n"/>
      <c r="B60" s="27" t="n"/>
      <c r="C60" s="27" t="n"/>
      <c r="D60" s="27" t="n"/>
      <c r="E60" s="27" t="n"/>
      <c r="F60" s="27" t="n"/>
      <c r="G60" s="28" t="n"/>
      <c r="H60" s="28" t="n"/>
      <c r="I60" s="28" t="n"/>
      <c r="J60" s="27" t="n"/>
      <c r="K60" s="27" t="n"/>
      <c r="L60" s="36" t="n"/>
      <c r="M60" s="37">
        <f>IF(L60="","",L60-TIME(9,0,0))</f>
        <v/>
      </c>
      <c r="N60" s="38" t="n"/>
      <c r="O60" s="38" t="n"/>
      <c r="P60" s="38" t="n"/>
      <c r="Q60" s="34">
        <f>IF(COUNT(N60:P60)=0,"",MEDIAN(N60:P60))</f>
        <v/>
      </c>
      <c r="R60" s="27" t="n"/>
    </row>
    <row r="61">
      <c r="A61" s="27" t="n"/>
      <c r="B61" s="27" t="n"/>
      <c r="C61" s="27" t="n"/>
      <c r="D61" s="27" t="n"/>
      <c r="E61" s="27" t="n"/>
      <c r="F61" s="27" t="n"/>
      <c r="G61" s="28" t="n"/>
      <c r="H61" s="28" t="n"/>
      <c r="I61" s="28" t="n"/>
      <c r="J61" s="27" t="n"/>
      <c r="K61" s="27" t="n"/>
      <c r="L61" s="36" t="n"/>
      <c r="M61" s="37">
        <f>IF(L61="","",L61-TIME(9,0,0))</f>
        <v/>
      </c>
      <c r="N61" s="38" t="n"/>
      <c r="O61" s="38" t="n"/>
      <c r="P61" s="38" t="n"/>
      <c r="Q61" s="34">
        <f>IF(COUNT(N61:P61)=0,"",MEDIAN(N61:P61))</f>
        <v/>
      </c>
      <c r="R61" s="27" t="n"/>
    </row>
    <row r="62">
      <c r="A62" s="27" t="n"/>
      <c r="B62" s="27" t="n"/>
      <c r="C62" s="27" t="n"/>
      <c r="D62" s="27" t="n"/>
      <c r="E62" s="27" t="n"/>
      <c r="F62" s="27" t="n"/>
      <c r="G62" s="28" t="n"/>
      <c r="H62" s="28" t="n"/>
      <c r="I62" s="28" t="n"/>
      <c r="J62" s="27" t="n"/>
      <c r="K62" s="27" t="n"/>
      <c r="L62" s="36" t="n"/>
      <c r="M62" s="37">
        <f>IF(L62="","",L62-TIME(9,0,0))</f>
        <v/>
      </c>
      <c r="N62" s="38" t="n"/>
      <c r="O62" s="38" t="n"/>
      <c r="P62" s="38" t="n"/>
      <c r="Q62" s="34">
        <f>IF(COUNT(N62:P62)=0,"",MEDIAN(N62:P62))</f>
        <v/>
      </c>
      <c r="R62" s="27" t="n"/>
    </row>
    <row r="63">
      <c r="A63" s="27" t="n"/>
      <c r="B63" s="27" t="n"/>
      <c r="C63" s="27" t="n"/>
      <c r="D63" s="27" t="n"/>
      <c r="E63" s="27" t="n"/>
      <c r="F63" s="27" t="n"/>
      <c r="G63" s="28" t="n"/>
      <c r="H63" s="28" t="n"/>
      <c r="I63" s="28" t="n"/>
      <c r="J63" s="27" t="n"/>
      <c r="K63" s="27" t="n"/>
      <c r="L63" s="36" t="n"/>
      <c r="M63" s="37">
        <f>IF(L63="","",L63-TIME(9,0,0))</f>
        <v/>
      </c>
      <c r="N63" s="38" t="n"/>
      <c r="O63" s="38" t="n"/>
      <c r="P63" s="38" t="n"/>
      <c r="Q63" s="34">
        <f>IF(COUNT(N63:P63)=0,"",MEDIAN(N63:P63))</f>
        <v/>
      </c>
      <c r="R63" s="27" t="n"/>
    </row>
    <row r="64">
      <c r="A64" s="27" t="n"/>
      <c r="B64" s="27" t="n"/>
      <c r="C64" s="27" t="n"/>
      <c r="D64" s="27" t="n"/>
      <c r="E64" s="27" t="n"/>
      <c r="F64" s="27" t="n"/>
      <c r="G64" s="28" t="n"/>
      <c r="H64" s="28" t="n"/>
      <c r="I64" s="28" t="n"/>
      <c r="J64" s="27" t="n"/>
      <c r="K64" s="27" t="n"/>
      <c r="L64" s="36" t="n"/>
      <c r="M64" s="37">
        <f>IF(L64="","",L64-TIME(9,0,0))</f>
        <v/>
      </c>
      <c r="N64" s="38" t="n"/>
      <c r="O64" s="38" t="n"/>
      <c r="P64" s="38" t="n"/>
      <c r="Q64" s="34">
        <f>IF(COUNT(N64:P64)=0,"",MEDIAN(N64:P64))</f>
        <v/>
      </c>
      <c r="R64" s="27" t="n"/>
    </row>
    <row r="65">
      <c r="A65" s="27" t="n"/>
      <c r="B65" s="27" t="n"/>
      <c r="C65" s="27" t="n"/>
      <c r="D65" s="27" t="n"/>
      <c r="E65" s="27" t="n"/>
      <c r="F65" s="27" t="n"/>
      <c r="G65" s="28" t="n"/>
      <c r="H65" s="28" t="n"/>
      <c r="I65" s="28" t="n"/>
      <c r="J65" s="27" t="n"/>
      <c r="K65" s="27" t="n"/>
      <c r="L65" s="36" t="n"/>
      <c r="M65" s="37">
        <f>IF(L65="","",L65-TIME(9,0,0))</f>
        <v/>
      </c>
      <c r="N65" s="38" t="n"/>
      <c r="O65" s="38" t="n"/>
      <c r="P65" s="38" t="n"/>
      <c r="Q65" s="34">
        <f>IF(COUNT(N65:P65)=0,"",MEDIAN(N65:P65))</f>
        <v/>
      </c>
      <c r="R65" s="27" t="n"/>
    </row>
    <row r="66">
      <c r="A66" s="27" t="n"/>
      <c r="B66" s="27" t="n"/>
      <c r="C66" s="27" t="n"/>
      <c r="D66" s="27" t="n"/>
      <c r="E66" s="27" t="n"/>
      <c r="F66" s="27" t="n"/>
      <c r="G66" s="28" t="n"/>
      <c r="H66" s="28" t="n"/>
      <c r="I66" s="28" t="n"/>
      <c r="J66" s="27" t="n"/>
      <c r="K66" s="27" t="n"/>
      <c r="L66" s="36" t="n"/>
      <c r="M66" s="37">
        <f>IF(L66="","",L66-TIME(9,0,0))</f>
        <v/>
      </c>
      <c r="N66" s="38" t="n"/>
      <c r="O66" s="38" t="n"/>
      <c r="P66" s="38" t="n"/>
      <c r="Q66" s="34">
        <f>IF(COUNT(N66:P66)=0,"",MEDIAN(N66:P66))</f>
        <v/>
      </c>
      <c r="R66" s="27" t="n"/>
    </row>
    <row r="67">
      <c r="A67" s="27" t="n"/>
      <c r="B67" s="27" t="n"/>
      <c r="C67" s="27" t="n"/>
      <c r="D67" s="27" t="n"/>
      <c r="E67" s="27" t="n"/>
      <c r="F67" s="27" t="n"/>
      <c r="G67" s="28" t="n"/>
      <c r="H67" s="28" t="n"/>
      <c r="I67" s="28" t="n"/>
      <c r="J67" s="27" t="n"/>
      <c r="K67" s="27" t="n"/>
      <c r="L67" s="36" t="n"/>
      <c r="M67" s="37">
        <f>IF(L67="","",L67-TIME(9,0,0))</f>
        <v/>
      </c>
      <c r="N67" s="38" t="n"/>
      <c r="O67" s="38" t="n"/>
      <c r="P67" s="38" t="n"/>
      <c r="Q67" s="34">
        <f>IF(COUNT(N67:P67)=0,"",MEDIAN(N67:P67))</f>
        <v/>
      </c>
      <c r="R67" s="27" t="n"/>
    </row>
    <row r="68">
      <c r="A68" s="27" t="n"/>
      <c r="B68" s="27" t="n"/>
      <c r="C68" s="27" t="n"/>
      <c r="D68" s="27" t="n"/>
      <c r="E68" s="27" t="n"/>
      <c r="F68" s="27" t="n"/>
      <c r="G68" s="28" t="n"/>
      <c r="H68" s="28" t="n"/>
      <c r="I68" s="28" t="n"/>
      <c r="J68" s="27" t="n"/>
      <c r="K68" s="27" t="n"/>
      <c r="L68" s="36" t="n"/>
      <c r="M68" s="37">
        <f>IF(L68="","",L68-TIME(9,0,0))</f>
        <v/>
      </c>
      <c r="N68" s="38" t="n"/>
      <c r="O68" s="38" t="n"/>
      <c r="P68" s="38" t="n"/>
      <c r="Q68" s="34">
        <f>IF(COUNT(N68:P68)=0,"",MEDIAN(N68:P68))</f>
        <v/>
      </c>
      <c r="R68" s="27" t="n"/>
    </row>
    <row r="69">
      <c r="A69" s="27" t="n"/>
      <c r="B69" s="27" t="n"/>
      <c r="C69" s="27" t="n"/>
      <c r="D69" s="27" t="n"/>
      <c r="E69" s="27" t="n"/>
      <c r="F69" s="27" t="n"/>
      <c r="G69" s="28" t="n"/>
      <c r="H69" s="28" t="n"/>
      <c r="I69" s="28" t="n"/>
      <c r="J69" s="27" t="n"/>
      <c r="K69" s="27" t="n"/>
      <c r="L69" s="36" t="n"/>
      <c r="M69" s="37">
        <f>IF(L69="","",L69-TIME(9,0,0))</f>
        <v/>
      </c>
      <c r="N69" s="38" t="n"/>
      <c r="O69" s="38" t="n"/>
      <c r="P69" s="38" t="n"/>
      <c r="Q69" s="34">
        <f>IF(COUNT(N69:P69)=0,"",MEDIAN(N69:P69))</f>
        <v/>
      </c>
      <c r="R69" s="27" t="n"/>
    </row>
    <row r="70">
      <c r="A70" s="27" t="n"/>
      <c r="B70" s="27" t="n"/>
      <c r="C70" s="27" t="n"/>
      <c r="D70" s="27" t="n"/>
      <c r="E70" s="27" t="n"/>
      <c r="F70" s="27" t="n"/>
      <c r="G70" s="28" t="n"/>
      <c r="H70" s="28" t="n"/>
      <c r="I70" s="28" t="n"/>
      <c r="J70" s="27" t="n"/>
      <c r="K70" s="27" t="n"/>
      <c r="L70" s="36" t="n"/>
      <c r="M70" s="37">
        <f>IF(L70="","",L70-TIME(9,0,0))</f>
        <v/>
      </c>
      <c r="N70" s="38" t="n"/>
      <c r="O70" s="38" t="n"/>
      <c r="P70" s="38" t="n"/>
      <c r="Q70" s="34">
        <f>IF(COUNT(N70:P70)=0,"",MEDIAN(N70:P70))</f>
        <v/>
      </c>
      <c r="R70" s="27" t="n"/>
    </row>
    <row r="71">
      <c r="A71" s="27" t="n"/>
      <c r="B71" s="27" t="n"/>
      <c r="C71" s="27" t="n"/>
      <c r="D71" s="27" t="n"/>
      <c r="E71" s="27" t="n"/>
      <c r="F71" s="27" t="n"/>
      <c r="G71" s="28" t="n"/>
      <c r="H71" s="28" t="n"/>
      <c r="I71" s="28" t="n"/>
      <c r="J71" s="27" t="n"/>
      <c r="K71" s="27" t="n"/>
      <c r="L71" s="36" t="n"/>
      <c r="M71" s="37">
        <f>IF(L71="","",L71-TIME(9,0,0))</f>
        <v/>
      </c>
      <c r="N71" s="38" t="n"/>
      <c r="O71" s="38" t="n"/>
      <c r="P71" s="38" t="n"/>
      <c r="Q71" s="34">
        <f>IF(COUNT(N71:P71)=0,"",MEDIAN(N71:P71))</f>
        <v/>
      </c>
      <c r="R71" s="27" t="n"/>
    </row>
    <row r="72">
      <c r="A72" s="27" t="n"/>
      <c r="B72" s="27" t="n"/>
      <c r="C72" s="27" t="n"/>
      <c r="D72" s="27" t="n"/>
      <c r="E72" s="27" t="n"/>
      <c r="F72" s="27" t="n"/>
      <c r="G72" s="28" t="n"/>
      <c r="H72" s="28" t="n"/>
      <c r="I72" s="28" t="n"/>
      <c r="J72" s="27" t="n"/>
      <c r="K72" s="27" t="n"/>
      <c r="L72" s="36" t="n"/>
      <c r="M72" s="37">
        <f>IF(L72="","",L72-TIME(9,0,0))</f>
        <v/>
      </c>
      <c r="N72" s="38" t="n"/>
      <c r="O72" s="38" t="n"/>
      <c r="P72" s="38" t="n"/>
      <c r="Q72" s="34">
        <f>IF(COUNT(N72:P72)=0,"",MEDIAN(N72:P72))</f>
        <v/>
      </c>
      <c r="R72" s="27" t="n"/>
    </row>
    <row r="73">
      <c r="A73" s="27" t="n"/>
      <c r="B73" s="27" t="n"/>
      <c r="C73" s="27" t="n"/>
      <c r="D73" s="27" t="n"/>
      <c r="E73" s="27" t="n"/>
      <c r="F73" s="27" t="n"/>
      <c r="G73" s="28" t="n"/>
      <c r="H73" s="28" t="n"/>
      <c r="I73" s="28" t="n"/>
      <c r="J73" s="27" t="n"/>
      <c r="K73" s="27" t="n"/>
      <c r="L73" s="36" t="n"/>
      <c r="M73" s="37">
        <f>IF(L73="","",L73-TIME(9,0,0))</f>
        <v/>
      </c>
      <c r="N73" s="38" t="n"/>
      <c r="O73" s="38" t="n"/>
      <c r="P73" s="38" t="n"/>
      <c r="Q73" s="34">
        <f>IF(COUNT(N73:P73)=0,"",MEDIAN(N73:P73))</f>
        <v/>
      </c>
      <c r="R73" s="27" t="n"/>
    </row>
    <row r="74">
      <c r="A74" s="27" t="n"/>
      <c r="B74" s="27" t="n"/>
      <c r="C74" s="27" t="n"/>
      <c r="D74" s="27" t="n"/>
      <c r="E74" s="27" t="n"/>
      <c r="F74" s="27" t="n"/>
      <c r="G74" s="28" t="n"/>
      <c r="H74" s="28" t="n"/>
      <c r="I74" s="28" t="n"/>
      <c r="J74" s="27" t="n"/>
      <c r="K74" s="27" t="n"/>
      <c r="L74" s="36" t="n"/>
      <c r="M74" s="37">
        <f>IF(L74="","",L74-TIME(9,0,0))</f>
        <v/>
      </c>
      <c r="N74" s="38" t="n"/>
      <c r="O74" s="38" t="n"/>
      <c r="P74" s="38" t="n"/>
      <c r="Q74" s="34">
        <f>IF(COUNT(N74:P74)=0,"",MEDIAN(N74:P74))</f>
        <v/>
      </c>
      <c r="R74" s="27" t="n"/>
    </row>
    <row r="75">
      <c r="A75" s="27" t="n"/>
      <c r="B75" s="27" t="n"/>
      <c r="C75" s="27" t="n"/>
      <c r="D75" s="27" t="n"/>
      <c r="E75" s="27" t="n"/>
      <c r="F75" s="27" t="n"/>
      <c r="G75" s="28" t="n"/>
      <c r="H75" s="28" t="n"/>
      <c r="I75" s="28" t="n"/>
      <c r="J75" s="27" t="n"/>
      <c r="K75" s="27" t="n"/>
      <c r="L75" s="36" t="n"/>
      <c r="M75" s="37">
        <f>IF(L75="","",L75-TIME(9,0,0))</f>
        <v/>
      </c>
      <c r="N75" s="38" t="n"/>
      <c r="O75" s="38" t="n"/>
      <c r="P75" s="38" t="n"/>
      <c r="Q75" s="34">
        <f>IF(COUNT(N75:P75)=0,"",MEDIAN(N75:P75))</f>
        <v/>
      </c>
      <c r="R75" s="27" t="n"/>
    </row>
    <row r="76">
      <c r="A76" s="27" t="n"/>
      <c r="B76" s="27" t="n"/>
      <c r="C76" s="27" t="n"/>
      <c r="D76" s="27" t="n"/>
      <c r="E76" s="27" t="n"/>
      <c r="F76" s="27" t="n"/>
      <c r="G76" s="28" t="n"/>
      <c r="H76" s="28" t="n"/>
      <c r="I76" s="28" t="n"/>
      <c r="J76" s="27" t="n"/>
      <c r="K76" s="27" t="n"/>
      <c r="L76" s="36" t="n"/>
      <c r="M76" s="37">
        <f>IF(L76="","",L76-TIME(9,0,0))</f>
        <v/>
      </c>
      <c r="N76" s="38" t="n"/>
      <c r="O76" s="38" t="n"/>
      <c r="P76" s="38" t="n"/>
      <c r="Q76" s="34">
        <f>IF(COUNT(N76:P76)=0,"",MEDIAN(N76:P76))</f>
        <v/>
      </c>
      <c r="R76" s="27" t="n"/>
    </row>
    <row r="77">
      <c r="A77" s="27" t="n"/>
      <c r="B77" s="27" t="n"/>
      <c r="C77" s="27" t="n"/>
      <c r="D77" s="27" t="n"/>
      <c r="E77" s="27" t="n"/>
      <c r="F77" s="27" t="n"/>
      <c r="G77" s="28" t="n"/>
      <c r="H77" s="28" t="n"/>
      <c r="I77" s="28" t="n"/>
      <c r="J77" s="27" t="n"/>
      <c r="K77" s="27" t="n"/>
      <c r="L77" s="36" t="n"/>
      <c r="M77" s="37">
        <f>IF(L77="","",L77-TIME(9,0,0))</f>
        <v/>
      </c>
      <c r="N77" s="38" t="n"/>
      <c r="O77" s="38" t="n"/>
      <c r="P77" s="38" t="n"/>
      <c r="Q77" s="34">
        <f>IF(COUNT(N77:P77)=0,"",MEDIAN(N77:P77))</f>
        <v/>
      </c>
      <c r="R77" s="27" t="n"/>
    </row>
    <row r="78">
      <c r="A78" s="27" t="n"/>
      <c r="B78" s="27" t="n"/>
      <c r="C78" s="27" t="n"/>
      <c r="D78" s="27" t="n"/>
      <c r="E78" s="27" t="n"/>
      <c r="F78" s="27" t="n"/>
      <c r="G78" s="28" t="n"/>
      <c r="H78" s="28" t="n"/>
      <c r="I78" s="28" t="n"/>
      <c r="J78" s="27" t="n"/>
      <c r="K78" s="27" t="n"/>
      <c r="L78" s="36" t="n"/>
      <c r="M78" s="37">
        <f>IF(L78="","",L78-TIME(9,0,0))</f>
        <v/>
      </c>
      <c r="N78" s="38" t="n"/>
      <c r="O78" s="38" t="n"/>
      <c r="P78" s="38" t="n"/>
      <c r="Q78" s="34">
        <f>IF(COUNT(N78:P78)=0,"",MEDIAN(N78:P78))</f>
        <v/>
      </c>
      <c r="R78" s="27" t="n"/>
    </row>
    <row r="79">
      <c r="A79" s="27" t="n"/>
      <c r="B79" s="27" t="n"/>
      <c r="C79" s="27" t="n"/>
      <c r="D79" s="27" t="n"/>
      <c r="E79" s="27" t="n"/>
      <c r="F79" s="27" t="n"/>
      <c r="G79" s="28" t="n"/>
      <c r="H79" s="28" t="n"/>
      <c r="I79" s="28" t="n"/>
      <c r="J79" s="27" t="n"/>
      <c r="K79" s="27" t="n"/>
      <c r="L79" s="36" t="n"/>
      <c r="M79" s="37">
        <f>IF(L79="","",L79-TIME(9,0,0))</f>
        <v/>
      </c>
      <c r="N79" s="38" t="n"/>
      <c r="O79" s="38" t="n"/>
      <c r="P79" s="38" t="n"/>
      <c r="Q79" s="34">
        <f>IF(COUNT(N79:P79)=0,"",MEDIAN(N79:P79))</f>
        <v/>
      </c>
      <c r="R79" s="27" t="n"/>
    </row>
    <row r="80">
      <c r="A80" s="27" t="n"/>
      <c r="B80" s="27" t="n"/>
      <c r="C80" s="27" t="n"/>
      <c r="D80" s="27" t="n"/>
      <c r="E80" s="27" t="n"/>
      <c r="F80" s="27" t="n"/>
      <c r="G80" s="28" t="n"/>
      <c r="H80" s="28" t="n"/>
      <c r="I80" s="28" t="n"/>
      <c r="J80" s="27" t="n"/>
      <c r="K80" s="27" t="n"/>
      <c r="L80" s="36" t="n"/>
      <c r="M80" s="37">
        <f>IF(L80="","",L80-TIME(9,0,0))</f>
        <v/>
      </c>
      <c r="N80" s="38" t="n"/>
      <c r="O80" s="38" t="n"/>
      <c r="P80" s="38" t="n"/>
      <c r="Q80" s="34">
        <f>IF(COUNT(N80:P80)=0,"",MEDIAN(N80:P80))</f>
        <v/>
      </c>
      <c r="R80" s="27" t="n"/>
    </row>
    <row r="81">
      <c r="A81" s="27" t="n"/>
      <c r="B81" s="27" t="n"/>
      <c r="C81" s="27" t="n"/>
      <c r="D81" s="27" t="n"/>
      <c r="E81" s="27" t="n"/>
      <c r="F81" s="27" t="n"/>
      <c r="G81" s="28" t="n"/>
      <c r="H81" s="28" t="n"/>
      <c r="I81" s="28" t="n"/>
      <c r="J81" s="27" t="n"/>
      <c r="K81" s="27" t="n"/>
      <c r="L81" s="36" t="n"/>
      <c r="M81" s="37">
        <f>IF(L81="","",L81-TIME(9,0,0))</f>
        <v/>
      </c>
      <c r="N81" s="38" t="n"/>
      <c r="O81" s="38" t="n"/>
      <c r="P81" s="38" t="n"/>
      <c r="Q81" s="34">
        <f>IF(COUNT(N81:P81)=0,"",MEDIAN(N81:P81))</f>
        <v/>
      </c>
      <c r="R81" s="27" t="n"/>
    </row>
    <row r="82">
      <c r="A82" s="27" t="n"/>
      <c r="B82" s="27" t="n"/>
      <c r="C82" s="27" t="n"/>
      <c r="D82" s="27" t="n"/>
      <c r="E82" s="27" t="n"/>
      <c r="F82" s="27" t="n"/>
      <c r="G82" s="28" t="n"/>
      <c r="H82" s="28" t="n"/>
      <c r="I82" s="28" t="n"/>
      <c r="J82" s="27" t="n"/>
      <c r="K82" s="27" t="n"/>
      <c r="L82" s="36" t="n"/>
      <c r="M82" s="37">
        <f>IF(L82="","",L82-TIME(9,0,0))</f>
        <v/>
      </c>
      <c r="N82" s="38" t="n"/>
      <c r="O82" s="38" t="n"/>
      <c r="P82" s="38" t="n"/>
      <c r="Q82" s="34">
        <f>IF(COUNT(N82:P82)=0,"",MEDIAN(N82:P82))</f>
        <v/>
      </c>
      <c r="R82" s="27" t="n"/>
    </row>
    <row r="83">
      <c r="A83" s="27" t="n"/>
      <c r="B83" s="27" t="n"/>
      <c r="C83" s="27" t="n"/>
      <c r="D83" s="27" t="n"/>
      <c r="E83" s="27" t="n"/>
      <c r="F83" s="27" t="n"/>
      <c r="G83" s="28" t="n"/>
      <c r="H83" s="28" t="n"/>
      <c r="I83" s="28" t="n"/>
      <c r="J83" s="27" t="n"/>
      <c r="K83" s="27" t="n"/>
      <c r="L83" s="36" t="n"/>
      <c r="M83" s="37">
        <f>IF(L83="","",L83-TIME(9,0,0))</f>
        <v/>
      </c>
      <c r="N83" s="38" t="n"/>
      <c r="O83" s="38" t="n"/>
      <c r="P83" s="38" t="n"/>
      <c r="Q83" s="34">
        <f>IF(COUNT(N83:P83)=0,"",MEDIAN(N83:P83))</f>
        <v/>
      </c>
      <c r="R83" s="27" t="n"/>
    </row>
    <row r="84">
      <c r="A84" s="27" t="n"/>
      <c r="B84" s="27" t="n"/>
      <c r="C84" s="27" t="n"/>
      <c r="D84" s="27" t="n"/>
      <c r="E84" s="27" t="n"/>
      <c r="F84" s="27" t="n"/>
      <c r="G84" s="28" t="n"/>
      <c r="H84" s="28" t="n"/>
      <c r="I84" s="28" t="n"/>
      <c r="J84" s="27" t="n"/>
      <c r="K84" s="27" t="n"/>
      <c r="L84" s="36" t="n"/>
      <c r="M84" s="37">
        <f>IF(L84="","",L84-TIME(9,0,0))</f>
        <v/>
      </c>
      <c r="N84" s="38" t="n"/>
      <c r="O84" s="38" t="n"/>
      <c r="P84" s="38" t="n"/>
      <c r="Q84" s="34">
        <f>IF(COUNT(N84:P84)=0,"",MEDIAN(N84:P84))</f>
        <v/>
      </c>
      <c r="R84" s="27" t="n"/>
    </row>
    <row r="85">
      <c r="A85" s="27" t="n"/>
      <c r="B85" s="27" t="n"/>
      <c r="C85" s="27" t="n"/>
      <c r="D85" s="27" t="n"/>
      <c r="E85" s="27" t="n"/>
      <c r="F85" s="27" t="n"/>
      <c r="G85" s="28" t="n"/>
      <c r="H85" s="28" t="n"/>
      <c r="I85" s="28" t="n"/>
      <c r="J85" s="27" t="n"/>
      <c r="K85" s="27" t="n"/>
      <c r="L85" s="36" t="n"/>
      <c r="M85" s="37">
        <f>IF(L85="","",L85-TIME(9,0,0))</f>
        <v/>
      </c>
      <c r="N85" s="38" t="n"/>
      <c r="O85" s="38" t="n"/>
      <c r="P85" s="38" t="n"/>
      <c r="Q85" s="34">
        <f>IF(COUNT(N85:P85)=0,"",MEDIAN(N85:P85))</f>
        <v/>
      </c>
      <c r="R85" s="27" t="n"/>
    </row>
    <row r="86">
      <c r="A86" s="27" t="n"/>
      <c r="B86" s="27" t="n"/>
      <c r="C86" s="27" t="n"/>
      <c r="D86" s="27" t="n"/>
      <c r="E86" s="27" t="n"/>
      <c r="F86" s="27" t="n"/>
      <c r="G86" s="28" t="n"/>
      <c r="H86" s="28" t="n"/>
      <c r="I86" s="28" t="n"/>
      <c r="J86" s="27" t="n"/>
      <c r="K86" s="27" t="n"/>
      <c r="L86" s="36" t="n"/>
      <c r="M86" s="37">
        <f>IF(L86="","",L86-TIME(9,0,0))</f>
        <v/>
      </c>
      <c r="N86" s="38" t="n"/>
      <c r="O86" s="38" t="n"/>
      <c r="P86" s="38" t="n"/>
      <c r="Q86" s="34">
        <f>IF(COUNT(N86:P86)=0,"",MEDIAN(N86:P86))</f>
        <v/>
      </c>
      <c r="R86" s="27" t="n"/>
    </row>
    <row r="87">
      <c r="A87" s="27" t="n"/>
      <c r="B87" s="27" t="n"/>
      <c r="C87" s="27" t="n"/>
      <c r="D87" s="27" t="n"/>
      <c r="E87" s="27" t="n"/>
      <c r="F87" s="27" t="n"/>
      <c r="G87" s="28" t="n"/>
      <c r="H87" s="28" t="n"/>
      <c r="I87" s="28" t="n"/>
      <c r="J87" s="27" t="n"/>
      <c r="K87" s="27" t="n"/>
      <c r="L87" s="36" t="n"/>
      <c r="M87" s="37">
        <f>IF(L87="","",L87-TIME(9,0,0))</f>
        <v/>
      </c>
      <c r="N87" s="38" t="n"/>
      <c r="O87" s="38" t="n"/>
      <c r="P87" s="38" t="n"/>
      <c r="Q87" s="34">
        <f>IF(COUNT(N87:P87)=0,"",MEDIAN(N87:P87))</f>
        <v/>
      </c>
      <c r="R87" s="27" t="n"/>
    </row>
    <row r="88">
      <c r="A88" s="27" t="n"/>
      <c r="B88" s="27" t="n"/>
      <c r="C88" s="27" t="n"/>
      <c r="D88" s="27" t="n"/>
      <c r="E88" s="27" t="n"/>
      <c r="F88" s="27" t="n"/>
      <c r="G88" s="28" t="n"/>
      <c r="H88" s="28" t="n"/>
      <c r="I88" s="28" t="n"/>
      <c r="J88" s="27" t="n"/>
      <c r="K88" s="27" t="n"/>
      <c r="L88" s="36" t="n"/>
      <c r="M88" s="37">
        <f>IF(L88="","",L88-TIME(9,0,0))</f>
        <v/>
      </c>
      <c r="N88" s="38" t="n"/>
      <c r="O88" s="38" t="n"/>
      <c r="P88" s="38" t="n"/>
      <c r="Q88" s="34">
        <f>IF(COUNT(N88:P88)=0,"",MEDIAN(N88:P88))</f>
        <v/>
      </c>
      <c r="R88" s="27" t="n"/>
    </row>
    <row r="89">
      <c r="A89" s="27" t="n"/>
      <c r="B89" s="27" t="n"/>
      <c r="C89" s="27" t="n"/>
      <c r="D89" s="27" t="n"/>
      <c r="E89" s="27" t="n"/>
      <c r="F89" s="27" t="n"/>
      <c r="G89" s="28" t="n"/>
      <c r="H89" s="28" t="n"/>
      <c r="I89" s="28" t="n"/>
      <c r="J89" s="27" t="n"/>
      <c r="K89" s="27" t="n"/>
      <c r="L89" s="36" t="n"/>
      <c r="M89" s="37">
        <f>IF(L89="","",L89-TIME(9,0,0))</f>
        <v/>
      </c>
      <c r="N89" s="38" t="n"/>
      <c r="O89" s="38" t="n"/>
      <c r="P89" s="38" t="n"/>
      <c r="Q89" s="34">
        <f>IF(COUNT(N89:P89)=0,"",MEDIAN(N89:P89))</f>
        <v/>
      </c>
      <c r="R89" s="27" t="n"/>
    </row>
    <row r="90">
      <c r="A90" s="27" t="n"/>
      <c r="B90" s="27" t="n"/>
      <c r="C90" s="27" t="n"/>
      <c r="D90" s="27" t="n"/>
      <c r="E90" s="27" t="n"/>
      <c r="F90" s="27" t="n"/>
      <c r="G90" s="28" t="n"/>
      <c r="H90" s="28" t="n"/>
      <c r="I90" s="28" t="n"/>
      <c r="J90" s="27" t="n"/>
      <c r="K90" s="27" t="n"/>
      <c r="L90" s="36" t="n"/>
      <c r="M90" s="37">
        <f>IF(L90="","",L90-TIME(9,0,0))</f>
        <v/>
      </c>
      <c r="N90" s="38" t="n"/>
      <c r="O90" s="38" t="n"/>
      <c r="P90" s="38" t="n"/>
      <c r="Q90" s="34">
        <f>IF(COUNT(N90:P90)=0,"",MEDIAN(N90:P90))</f>
        <v/>
      </c>
      <c r="R90" s="27" t="n"/>
    </row>
    <row r="91">
      <c r="A91" s="27" t="n"/>
      <c r="B91" s="27" t="n"/>
      <c r="C91" s="27" t="n"/>
      <c r="D91" s="27" t="n"/>
      <c r="E91" s="27" t="n"/>
      <c r="F91" s="27" t="n"/>
      <c r="G91" s="28" t="n"/>
      <c r="H91" s="28" t="n"/>
      <c r="I91" s="28" t="n"/>
      <c r="J91" s="27" t="n"/>
      <c r="K91" s="27" t="n"/>
      <c r="L91" s="36" t="n"/>
      <c r="M91" s="37">
        <f>IF(L91="","",L91-TIME(9,0,0))</f>
        <v/>
      </c>
      <c r="N91" s="38" t="n"/>
      <c r="O91" s="38" t="n"/>
      <c r="P91" s="38" t="n"/>
      <c r="Q91" s="34">
        <f>IF(COUNT(N91:P91)=0,"",MEDIAN(N91:P91))</f>
        <v/>
      </c>
      <c r="R91" s="27" t="n"/>
    </row>
    <row r="92">
      <c r="A92" s="27" t="n"/>
      <c r="B92" s="27" t="n"/>
      <c r="C92" s="27" t="n"/>
      <c r="D92" s="27" t="n"/>
      <c r="E92" s="27" t="n"/>
      <c r="F92" s="27" t="n"/>
      <c r="G92" s="28" t="n"/>
      <c r="H92" s="28" t="n"/>
      <c r="I92" s="28" t="n"/>
      <c r="J92" s="27" t="n"/>
      <c r="K92" s="27" t="n"/>
      <c r="L92" s="36" t="n"/>
      <c r="M92" s="37">
        <f>IF(L92="","",L92-TIME(9,0,0))</f>
        <v/>
      </c>
      <c r="N92" s="38" t="n"/>
      <c r="O92" s="38" t="n"/>
      <c r="P92" s="38" t="n"/>
      <c r="Q92" s="34">
        <f>IF(COUNT(N92:P92)=0,"",MEDIAN(N92:P92))</f>
        <v/>
      </c>
      <c r="R92" s="27" t="n"/>
    </row>
    <row r="93">
      <c r="A93" s="27" t="n"/>
      <c r="B93" s="27" t="n"/>
      <c r="C93" s="27" t="n"/>
      <c r="D93" s="27" t="n"/>
      <c r="E93" s="27" t="n"/>
      <c r="F93" s="27" t="n"/>
      <c r="G93" s="28" t="n"/>
      <c r="H93" s="28" t="n"/>
      <c r="I93" s="28" t="n"/>
      <c r="J93" s="27" t="n"/>
      <c r="K93" s="27" t="n"/>
      <c r="L93" s="36" t="n"/>
      <c r="M93" s="37">
        <f>IF(L93="","",L93-TIME(9,0,0))</f>
        <v/>
      </c>
      <c r="N93" s="38" t="n"/>
      <c r="O93" s="38" t="n"/>
      <c r="P93" s="38" t="n"/>
      <c r="Q93" s="34">
        <f>IF(COUNT(N93:P93)=0,"",MEDIAN(N93:P93))</f>
        <v/>
      </c>
      <c r="R93" s="27" t="n"/>
    </row>
    <row r="94">
      <c r="A94" s="27" t="n"/>
      <c r="B94" s="27" t="n"/>
      <c r="C94" s="27" t="n"/>
      <c r="D94" s="27" t="n"/>
      <c r="E94" s="27" t="n"/>
      <c r="F94" s="27" t="n"/>
      <c r="G94" s="28" t="n"/>
      <c r="H94" s="28" t="n"/>
      <c r="I94" s="28" t="n"/>
      <c r="J94" s="27" t="n"/>
      <c r="K94" s="27" t="n"/>
      <c r="L94" s="36" t="n"/>
      <c r="M94" s="37">
        <f>IF(L94="","",L94-TIME(9,0,0))</f>
        <v/>
      </c>
      <c r="N94" s="38" t="n"/>
      <c r="O94" s="38" t="n"/>
      <c r="P94" s="38" t="n"/>
      <c r="Q94" s="34">
        <f>IF(COUNT(N94:P94)=0,"",MEDIAN(N94:P94))</f>
        <v/>
      </c>
      <c r="R94" s="27" t="n"/>
    </row>
    <row r="95">
      <c r="A95" s="27" t="n"/>
      <c r="B95" s="27" t="n"/>
      <c r="C95" s="27" t="n"/>
      <c r="D95" s="27" t="n"/>
      <c r="E95" s="27" t="n"/>
      <c r="F95" s="27" t="n"/>
      <c r="G95" s="28" t="n"/>
      <c r="H95" s="28" t="n"/>
      <c r="I95" s="28" t="n"/>
      <c r="J95" s="27" t="n"/>
      <c r="K95" s="27" t="n"/>
      <c r="L95" s="36" t="n"/>
      <c r="M95" s="37">
        <f>IF(L95="","",L95-TIME(9,0,0))</f>
        <v/>
      </c>
      <c r="N95" s="38" t="n"/>
      <c r="O95" s="38" t="n"/>
      <c r="P95" s="38" t="n"/>
      <c r="Q95" s="34">
        <f>IF(COUNT(N95:P95)=0,"",MEDIAN(N95:P95))</f>
        <v/>
      </c>
      <c r="R95" s="27" t="n"/>
    </row>
    <row r="96">
      <c r="A96" s="27" t="n"/>
      <c r="B96" s="27" t="n"/>
      <c r="C96" s="27" t="n"/>
      <c r="D96" s="27" t="n"/>
      <c r="E96" s="27" t="n"/>
      <c r="F96" s="27" t="n"/>
      <c r="G96" s="28" t="n"/>
      <c r="H96" s="28" t="n"/>
      <c r="I96" s="28" t="n"/>
      <c r="J96" s="27" t="n"/>
      <c r="K96" s="27" t="n"/>
      <c r="L96" s="36" t="n"/>
      <c r="M96" s="37">
        <f>IF(L96="","",L96-TIME(9,0,0))</f>
        <v/>
      </c>
      <c r="N96" s="38" t="n"/>
      <c r="O96" s="38" t="n"/>
      <c r="P96" s="38" t="n"/>
      <c r="Q96" s="34">
        <f>IF(COUNT(N96:P96)=0,"",MEDIAN(N96:P96))</f>
        <v/>
      </c>
      <c r="R96" s="27" t="n"/>
    </row>
    <row r="97">
      <c r="A97" s="27" t="n"/>
      <c r="B97" s="27" t="n"/>
      <c r="C97" s="27" t="n"/>
      <c r="D97" s="27" t="n"/>
      <c r="E97" s="27" t="n"/>
      <c r="F97" s="27" t="n"/>
      <c r="G97" s="28" t="n"/>
      <c r="H97" s="28" t="n"/>
      <c r="I97" s="28" t="n"/>
      <c r="J97" s="27" t="n"/>
      <c r="K97" s="27" t="n"/>
      <c r="L97" s="36" t="n"/>
      <c r="M97" s="37">
        <f>IF(L97="","",L97-TIME(9,0,0))</f>
        <v/>
      </c>
      <c r="N97" s="38" t="n"/>
      <c r="O97" s="38" t="n"/>
      <c r="P97" s="38" t="n"/>
      <c r="Q97" s="34">
        <f>IF(COUNT(N97:P97)=0,"",MEDIAN(N97:P97))</f>
        <v/>
      </c>
      <c r="R97" s="27" t="n"/>
    </row>
    <row r="98">
      <c r="A98" s="27" t="n"/>
      <c r="B98" s="27" t="n"/>
      <c r="C98" s="27" t="n"/>
      <c r="D98" s="27" t="n"/>
      <c r="E98" s="27" t="n"/>
      <c r="F98" s="27" t="n"/>
      <c r="G98" s="28" t="n"/>
      <c r="H98" s="28" t="n"/>
      <c r="I98" s="28" t="n"/>
      <c r="J98" s="27" t="n"/>
      <c r="K98" s="27" t="n"/>
      <c r="L98" s="36" t="n"/>
      <c r="M98" s="37">
        <f>IF(L98="","",L98-TIME(9,0,0))</f>
        <v/>
      </c>
      <c r="N98" s="38" t="n"/>
      <c r="O98" s="38" t="n"/>
      <c r="P98" s="38" t="n"/>
      <c r="Q98" s="34">
        <f>IF(COUNT(N98:P98)=0,"",MEDIAN(N98:P98))</f>
        <v/>
      </c>
      <c r="R98" s="27" t="n"/>
    </row>
    <row r="99">
      <c r="A99" s="27" t="n"/>
      <c r="B99" s="27" t="n"/>
      <c r="C99" s="27" t="n"/>
      <c r="D99" s="27" t="n"/>
      <c r="E99" s="27" t="n"/>
      <c r="F99" s="27" t="n"/>
      <c r="G99" s="28" t="n"/>
      <c r="H99" s="28" t="n"/>
      <c r="I99" s="28" t="n"/>
      <c r="J99" s="27" t="n"/>
      <c r="K99" s="27" t="n"/>
      <c r="L99" s="36" t="n"/>
      <c r="M99" s="37">
        <f>IF(L99="","",L99-TIME(9,0,0))</f>
        <v/>
      </c>
      <c r="N99" s="38" t="n"/>
      <c r="O99" s="38" t="n"/>
      <c r="P99" s="38" t="n"/>
      <c r="Q99" s="34">
        <f>IF(COUNT(N99:P99)=0,"",MEDIAN(N99:P99))</f>
        <v/>
      </c>
      <c r="R99" s="27" t="n"/>
    </row>
    <row r="100">
      <c r="A100" s="27" t="n"/>
      <c r="B100" s="27" t="n"/>
      <c r="C100" s="27" t="n"/>
      <c r="D100" s="27" t="n"/>
      <c r="E100" s="27" t="n"/>
      <c r="F100" s="27" t="n"/>
      <c r="G100" s="28" t="n"/>
      <c r="H100" s="28" t="n"/>
      <c r="I100" s="28" t="n"/>
      <c r="J100" s="27" t="n"/>
      <c r="K100" s="27" t="n"/>
      <c r="L100" s="36" t="n"/>
      <c r="M100" s="37">
        <f>IF(L100="","",L100-TIME(9,0,0))</f>
        <v/>
      </c>
      <c r="N100" s="38" t="n"/>
      <c r="O100" s="38" t="n"/>
      <c r="P100" s="38" t="n"/>
      <c r="Q100" s="34">
        <f>IF(COUNT(N100:P100)=0,"",MEDIAN(N100:P100))</f>
        <v/>
      </c>
      <c r="R100" s="27" t="n"/>
    </row>
    <row r="101">
      <c r="A101" s="27" t="n"/>
      <c r="B101" s="27" t="n"/>
      <c r="C101" s="27" t="n"/>
      <c r="D101" s="27" t="n"/>
      <c r="E101" s="27" t="n"/>
      <c r="F101" s="27" t="n"/>
      <c r="G101" s="28" t="n"/>
      <c r="H101" s="28" t="n"/>
      <c r="I101" s="28" t="n"/>
      <c r="J101" s="27" t="n"/>
      <c r="K101" s="27" t="n"/>
      <c r="L101" s="36" t="n"/>
      <c r="M101" s="37">
        <f>IF(L101="","",L101-TIME(9,0,0))</f>
        <v/>
      </c>
      <c r="N101" s="38" t="n"/>
      <c r="O101" s="38" t="n"/>
      <c r="P101" s="38" t="n"/>
      <c r="Q101" s="34">
        <f>IF(COUNT(N101:P101)=0,"",MEDIAN(N101:P101))</f>
        <v/>
      </c>
      <c r="R101" s="27" t="n"/>
    </row>
    <row r="102">
      <c r="A102" s="27" t="n"/>
      <c r="B102" s="27" t="n"/>
      <c r="C102" s="27" t="n"/>
      <c r="D102" s="27" t="n"/>
      <c r="E102" s="27" t="n"/>
      <c r="F102" s="27" t="n"/>
      <c r="G102" s="28" t="n"/>
      <c r="H102" s="28" t="n"/>
      <c r="I102" s="28" t="n"/>
      <c r="J102" s="27" t="n"/>
      <c r="K102" s="27" t="n"/>
      <c r="L102" s="36" t="n"/>
      <c r="M102" s="37">
        <f>IF(L102="","",L102-TIME(9,0,0))</f>
        <v/>
      </c>
      <c r="N102" s="38" t="n"/>
      <c r="O102" s="38" t="n"/>
      <c r="P102" s="38" t="n"/>
      <c r="Q102" s="34">
        <f>IF(COUNT(N102:P102)=0,"",MEDIAN(N102:P102))</f>
        <v/>
      </c>
      <c r="R102" s="27" t="n"/>
    </row>
    <row r="103">
      <c r="A103" s="27" t="n"/>
      <c r="B103" s="27" t="n"/>
      <c r="C103" s="27" t="n"/>
      <c r="D103" s="27" t="n"/>
      <c r="E103" s="27" t="n"/>
      <c r="F103" s="27" t="n"/>
      <c r="G103" s="28" t="n"/>
      <c r="H103" s="28" t="n"/>
      <c r="I103" s="28" t="n"/>
      <c r="J103" s="27" t="n"/>
      <c r="K103" s="27" t="n"/>
      <c r="L103" s="36" t="n"/>
      <c r="M103" s="37">
        <f>IF(L103="","",L103-TIME(9,0,0))</f>
        <v/>
      </c>
      <c r="N103" s="38" t="n"/>
      <c r="O103" s="38" t="n"/>
      <c r="P103" s="38" t="n"/>
      <c r="Q103" s="34">
        <f>IF(COUNT(N103:P103)=0,"",MEDIAN(N103:P103))</f>
        <v/>
      </c>
      <c r="R103" s="27" t="n"/>
    </row>
    <row r="104">
      <c r="A104" s="27" t="n"/>
      <c r="B104" s="27" t="n"/>
      <c r="C104" s="27" t="n"/>
      <c r="D104" s="27" t="n"/>
      <c r="E104" s="27" t="n"/>
      <c r="F104" s="27" t="n"/>
      <c r="G104" s="28" t="n"/>
      <c r="H104" s="28" t="n"/>
      <c r="I104" s="28" t="n"/>
      <c r="J104" s="27" t="n"/>
      <c r="K104" s="27" t="n"/>
      <c r="L104" s="36" t="n"/>
      <c r="M104" s="37">
        <f>IF(L104="","",L104-TIME(9,0,0))</f>
        <v/>
      </c>
      <c r="N104" s="38" t="n"/>
      <c r="O104" s="38" t="n"/>
      <c r="P104" s="38" t="n"/>
      <c r="Q104" s="34">
        <f>IF(COUNT(N104:P104)=0,"",MEDIAN(N104:P104))</f>
        <v/>
      </c>
      <c r="R104" s="27" t="n"/>
    </row>
    <row r="105">
      <c r="A105" s="27" t="n"/>
      <c r="B105" s="27" t="n"/>
      <c r="C105" s="27" t="n"/>
      <c r="D105" s="27" t="n"/>
      <c r="E105" s="27" t="n"/>
      <c r="F105" s="27" t="n"/>
      <c r="G105" s="28" t="n"/>
      <c r="H105" s="28" t="n"/>
      <c r="I105" s="28" t="n"/>
      <c r="J105" s="27" t="n"/>
      <c r="K105" s="27" t="n"/>
      <c r="L105" s="36" t="n"/>
      <c r="M105" s="37">
        <f>IF(L105="","",L105-TIME(9,0,0))</f>
        <v/>
      </c>
      <c r="N105" s="38" t="n"/>
      <c r="O105" s="38" t="n"/>
      <c r="P105" s="38" t="n"/>
      <c r="Q105" s="34">
        <f>IF(COUNT(N105:P105)=0,"",MEDIAN(N105:P105))</f>
        <v/>
      </c>
      <c r="R105" s="27" t="n"/>
    </row>
    <row r="106">
      <c r="A106" s="27" t="n"/>
      <c r="B106" s="27" t="n"/>
      <c r="C106" s="27" t="n"/>
      <c r="D106" s="27" t="n"/>
      <c r="E106" s="27" t="n"/>
      <c r="F106" s="27" t="n"/>
      <c r="G106" s="28" t="n"/>
      <c r="H106" s="28" t="n"/>
      <c r="I106" s="28" t="n"/>
      <c r="J106" s="27" t="n"/>
      <c r="K106" s="27" t="n"/>
      <c r="L106" s="36" t="n"/>
      <c r="M106" s="37">
        <f>IF(L106="","",L106-TIME(9,0,0))</f>
        <v/>
      </c>
      <c r="N106" s="38" t="n"/>
      <c r="O106" s="38" t="n"/>
      <c r="P106" s="38" t="n"/>
      <c r="Q106" s="34">
        <f>IF(COUNT(N106:P106)=0,"",MEDIAN(N106:P106))</f>
        <v/>
      </c>
      <c r="R106" s="27" t="n"/>
    </row>
    <row r="107">
      <c r="A107" s="27" t="n"/>
      <c r="B107" s="27" t="n"/>
      <c r="C107" s="27" t="n"/>
      <c r="D107" s="27" t="n"/>
      <c r="E107" s="27" t="n"/>
      <c r="F107" s="27" t="n"/>
      <c r="G107" s="28" t="n"/>
      <c r="H107" s="28" t="n"/>
      <c r="I107" s="28" t="n"/>
      <c r="J107" s="27" t="n"/>
      <c r="K107" s="27" t="n"/>
      <c r="L107" s="36" t="n"/>
      <c r="M107" s="37">
        <f>IF(L107="","",L107-TIME(9,0,0))</f>
        <v/>
      </c>
      <c r="N107" s="38" t="n"/>
      <c r="O107" s="38" t="n"/>
      <c r="P107" s="38" t="n"/>
      <c r="Q107" s="34">
        <f>IF(COUNT(N107:P107)=0,"",MEDIAN(N107:P107))</f>
        <v/>
      </c>
      <c r="R107" s="27" t="n"/>
    </row>
    <row r="108">
      <c r="A108" s="27" t="n"/>
      <c r="B108" s="27" t="n"/>
      <c r="C108" s="27" t="n"/>
      <c r="D108" s="27" t="n"/>
      <c r="E108" s="27" t="n"/>
      <c r="F108" s="27" t="n"/>
      <c r="G108" s="28" t="n"/>
      <c r="H108" s="28" t="n"/>
      <c r="I108" s="28" t="n"/>
      <c r="J108" s="27" t="n"/>
      <c r="K108" s="27" t="n"/>
      <c r="L108" s="36" t="n"/>
      <c r="M108" s="37">
        <f>IF(L108="","",L108-TIME(9,0,0))</f>
        <v/>
      </c>
      <c r="N108" s="38" t="n"/>
      <c r="O108" s="38" t="n"/>
      <c r="P108" s="38" t="n"/>
      <c r="Q108" s="34">
        <f>IF(COUNT(N108:P108)=0,"",MEDIAN(N108:P108))</f>
        <v/>
      </c>
      <c r="R108" s="27" t="n"/>
    </row>
    <row r="109">
      <c r="A109" s="27" t="n"/>
      <c r="B109" s="27" t="n"/>
      <c r="C109" s="27" t="n"/>
      <c r="D109" s="27" t="n"/>
      <c r="E109" s="27" t="n"/>
      <c r="F109" s="27" t="n"/>
      <c r="G109" s="28" t="n"/>
      <c r="H109" s="28" t="n"/>
      <c r="I109" s="28" t="n"/>
      <c r="J109" s="27" t="n"/>
      <c r="K109" s="27" t="n"/>
      <c r="L109" s="36" t="n"/>
      <c r="M109" s="37">
        <f>IF(L109="","",L109-TIME(9,0,0))</f>
        <v/>
      </c>
      <c r="N109" s="38" t="n"/>
      <c r="O109" s="38" t="n"/>
      <c r="P109" s="38" t="n"/>
      <c r="Q109" s="34">
        <f>IF(COUNT(N109:P109)=0,"",MEDIAN(N109:P109))</f>
        <v/>
      </c>
      <c r="R109" s="27" t="n"/>
    </row>
    <row r="110">
      <c r="A110" s="27" t="n"/>
      <c r="B110" s="27" t="n"/>
      <c r="C110" s="27" t="n"/>
      <c r="D110" s="27" t="n"/>
      <c r="E110" s="27" t="n"/>
      <c r="F110" s="27" t="n"/>
      <c r="G110" s="28" t="n"/>
      <c r="H110" s="28" t="n"/>
      <c r="I110" s="28" t="n"/>
      <c r="J110" s="27" t="n"/>
      <c r="K110" s="27" t="n"/>
      <c r="L110" s="36" t="n"/>
      <c r="M110" s="37">
        <f>IF(L110="","",L110-TIME(9,0,0))</f>
        <v/>
      </c>
      <c r="N110" s="38" t="n"/>
      <c r="O110" s="38" t="n"/>
      <c r="P110" s="38" t="n"/>
      <c r="Q110" s="34">
        <f>IF(COUNT(N110:P110)=0,"",MEDIAN(N110:P110))</f>
        <v/>
      </c>
      <c r="R110" s="27" t="n"/>
    </row>
    <row r="111">
      <c r="A111" s="27" t="n"/>
      <c r="B111" s="27" t="n"/>
      <c r="C111" s="27" t="n"/>
      <c r="D111" s="27" t="n"/>
      <c r="E111" s="27" t="n"/>
      <c r="F111" s="27" t="n"/>
      <c r="G111" s="28" t="n"/>
      <c r="H111" s="28" t="n"/>
      <c r="I111" s="28" t="n"/>
      <c r="J111" s="27" t="n"/>
      <c r="K111" s="27" t="n"/>
      <c r="L111" s="36" t="n"/>
      <c r="M111" s="37">
        <f>IF(L111="","",L111-TIME(9,0,0))</f>
        <v/>
      </c>
      <c r="N111" s="38" t="n"/>
      <c r="O111" s="38" t="n"/>
      <c r="P111" s="38" t="n"/>
      <c r="Q111" s="34">
        <f>IF(COUNT(N111:P111)=0,"",MEDIAN(N111:P111))</f>
        <v/>
      </c>
      <c r="R111" s="27" t="n"/>
    </row>
    <row r="112">
      <c r="A112" s="27" t="n"/>
      <c r="B112" s="27" t="n"/>
      <c r="C112" s="27" t="n"/>
      <c r="D112" s="27" t="n"/>
      <c r="E112" s="27" t="n"/>
      <c r="F112" s="27" t="n"/>
      <c r="G112" s="28" t="n"/>
      <c r="H112" s="28" t="n"/>
      <c r="I112" s="28" t="n"/>
      <c r="J112" s="27" t="n"/>
      <c r="K112" s="27" t="n"/>
      <c r="L112" s="36" t="n"/>
      <c r="M112" s="37">
        <f>IF(L112="","",L112-TIME(9,0,0))</f>
        <v/>
      </c>
      <c r="N112" s="38" t="n"/>
      <c r="O112" s="38" t="n"/>
      <c r="P112" s="38" t="n"/>
      <c r="Q112" s="34">
        <f>IF(COUNT(N112:P112)=0,"",MEDIAN(N112:P112))</f>
        <v/>
      </c>
      <c r="R112" s="27" t="n"/>
    </row>
    <row r="113">
      <c r="A113" s="27" t="n"/>
      <c r="B113" s="27" t="n"/>
      <c r="C113" s="27" t="n"/>
      <c r="D113" s="27" t="n"/>
      <c r="E113" s="27" t="n"/>
      <c r="F113" s="27" t="n"/>
      <c r="G113" s="28" t="n"/>
      <c r="H113" s="28" t="n"/>
      <c r="I113" s="28" t="n"/>
      <c r="J113" s="27" t="n"/>
      <c r="K113" s="27" t="n"/>
      <c r="L113" s="36" t="n"/>
      <c r="M113" s="37">
        <f>IF(L113="","",L113-TIME(9,0,0))</f>
        <v/>
      </c>
      <c r="N113" s="38" t="n"/>
      <c r="O113" s="38" t="n"/>
      <c r="P113" s="38" t="n"/>
      <c r="Q113" s="34">
        <f>IF(COUNT(N113:P113)=0,"",MEDIAN(N113:P113))</f>
        <v/>
      </c>
      <c r="R113" s="27" t="n"/>
    </row>
    <row r="114">
      <c r="A114" s="27" t="n"/>
      <c r="B114" s="27" t="n"/>
      <c r="C114" s="27" t="n"/>
      <c r="D114" s="27" t="n"/>
      <c r="E114" s="27" t="n"/>
      <c r="F114" s="27" t="n"/>
      <c r="G114" s="28" t="n"/>
      <c r="H114" s="28" t="n"/>
      <c r="I114" s="28" t="n"/>
      <c r="J114" s="27" t="n"/>
      <c r="K114" s="27" t="n"/>
      <c r="L114" s="36" t="n"/>
      <c r="M114" s="37">
        <f>IF(L114="","",L114-TIME(9,0,0))</f>
        <v/>
      </c>
      <c r="N114" s="38" t="n"/>
      <c r="O114" s="38" t="n"/>
      <c r="P114" s="38" t="n"/>
      <c r="Q114" s="34">
        <f>IF(COUNT(N114:P114)=0,"",MEDIAN(N114:P114))</f>
        <v/>
      </c>
      <c r="R114" s="27" t="n"/>
    </row>
    <row r="115">
      <c r="A115" s="27" t="n"/>
      <c r="B115" s="27" t="n"/>
      <c r="C115" s="27" t="n"/>
      <c r="D115" s="27" t="n"/>
      <c r="E115" s="27" t="n"/>
      <c r="F115" s="27" t="n"/>
      <c r="G115" s="28" t="n"/>
      <c r="H115" s="28" t="n"/>
      <c r="I115" s="28" t="n"/>
      <c r="J115" s="27" t="n"/>
      <c r="K115" s="27" t="n"/>
      <c r="L115" s="36" t="n"/>
      <c r="M115" s="37">
        <f>IF(L115="","",L115-TIME(9,0,0))</f>
        <v/>
      </c>
      <c r="N115" s="38" t="n"/>
      <c r="O115" s="38" t="n"/>
      <c r="P115" s="38" t="n"/>
      <c r="Q115" s="34">
        <f>IF(COUNT(N115:P115)=0,"",MEDIAN(N115:P115))</f>
        <v/>
      </c>
      <c r="R115" s="27" t="n"/>
    </row>
    <row r="116">
      <c r="A116" s="27" t="n"/>
      <c r="B116" s="27" t="n"/>
      <c r="C116" s="27" t="n"/>
      <c r="D116" s="27" t="n"/>
      <c r="E116" s="27" t="n"/>
      <c r="F116" s="27" t="n"/>
      <c r="G116" s="28" t="n"/>
      <c r="H116" s="28" t="n"/>
      <c r="I116" s="28" t="n"/>
      <c r="J116" s="27" t="n"/>
      <c r="K116" s="27" t="n"/>
      <c r="L116" s="36" t="n"/>
      <c r="M116" s="37">
        <f>IF(L116="","",L116-TIME(9,0,0))</f>
        <v/>
      </c>
      <c r="N116" s="38" t="n"/>
      <c r="O116" s="38" t="n"/>
      <c r="P116" s="38" t="n"/>
      <c r="Q116" s="34">
        <f>IF(COUNT(N116:P116)=0,"",MEDIAN(N116:P116))</f>
        <v/>
      </c>
      <c r="R116" s="27" t="n"/>
    </row>
    <row r="117">
      <c r="A117" s="27" t="n"/>
      <c r="B117" s="27" t="n"/>
      <c r="C117" s="27" t="n"/>
      <c r="D117" s="27" t="n"/>
      <c r="E117" s="27" t="n"/>
      <c r="F117" s="27" t="n"/>
      <c r="G117" s="28" t="n"/>
      <c r="H117" s="28" t="n"/>
      <c r="I117" s="28" t="n"/>
      <c r="J117" s="27" t="n"/>
      <c r="K117" s="27" t="n"/>
      <c r="L117" s="36" t="n"/>
      <c r="M117" s="37">
        <f>IF(L117="","",L117-TIME(9,0,0))</f>
        <v/>
      </c>
      <c r="N117" s="38" t="n"/>
      <c r="O117" s="38" t="n"/>
      <c r="P117" s="38" t="n"/>
      <c r="Q117" s="34">
        <f>IF(COUNT(N117:P117)=0,"",MEDIAN(N117:P117))</f>
        <v/>
      </c>
      <c r="R117" s="27" t="n"/>
    </row>
    <row r="118">
      <c r="A118" s="27" t="n"/>
      <c r="B118" s="27" t="n"/>
      <c r="C118" s="27" t="n"/>
      <c r="D118" s="27" t="n"/>
      <c r="E118" s="27" t="n"/>
      <c r="F118" s="27" t="n"/>
      <c r="G118" s="28" t="n"/>
      <c r="H118" s="28" t="n"/>
      <c r="I118" s="28" t="n"/>
      <c r="J118" s="27" t="n"/>
      <c r="K118" s="27" t="n"/>
      <c r="L118" s="36" t="n"/>
      <c r="M118" s="37">
        <f>IF(L118="","",L118-TIME(9,0,0))</f>
        <v/>
      </c>
      <c r="N118" s="38" t="n"/>
      <c r="O118" s="38" t="n"/>
      <c r="P118" s="38" t="n"/>
      <c r="Q118" s="34">
        <f>IF(COUNT(N118:P118)=0,"",MEDIAN(N118:P118))</f>
        <v/>
      </c>
      <c r="R118" s="27" t="n"/>
    </row>
    <row r="119">
      <c r="A119" s="27" t="n"/>
      <c r="B119" s="27" t="n"/>
      <c r="C119" s="27" t="n"/>
      <c r="D119" s="27" t="n"/>
      <c r="E119" s="27" t="n"/>
      <c r="F119" s="27" t="n"/>
      <c r="G119" s="28" t="n"/>
      <c r="H119" s="28" t="n"/>
      <c r="I119" s="28" t="n"/>
      <c r="J119" s="27" t="n"/>
      <c r="K119" s="27" t="n"/>
      <c r="L119" s="36" t="n"/>
      <c r="M119" s="37">
        <f>IF(L119="","",L119-TIME(9,0,0))</f>
        <v/>
      </c>
      <c r="N119" s="38" t="n"/>
      <c r="O119" s="38" t="n"/>
      <c r="P119" s="38" t="n"/>
      <c r="Q119" s="34">
        <f>IF(COUNT(N119:P119)=0,"",MEDIAN(N119:P119))</f>
        <v/>
      </c>
      <c r="R119" s="27" t="n"/>
    </row>
    <row r="120">
      <c r="A120" s="27" t="n"/>
      <c r="B120" s="27" t="n"/>
      <c r="C120" s="27" t="n"/>
      <c r="D120" s="27" t="n"/>
      <c r="E120" s="27" t="n"/>
      <c r="F120" s="27" t="n"/>
      <c r="G120" s="28" t="n"/>
      <c r="H120" s="28" t="n"/>
      <c r="I120" s="28" t="n"/>
      <c r="J120" s="27" t="n"/>
      <c r="K120" s="27" t="n"/>
      <c r="L120" s="36" t="n"/>
      <c r="M120" s="37">
        <f>IF(L120="","",L120-TIME(9,0,0))</f>
        <v/>
      </c>
      <c r="N120" s="38" t="n"/>
      <c r="O120" s="38" t="n"/>
      <c r="P120" s="38" t="n"/>
      <c r="Q120" s="34">
        <f>IF(COUNT(N120:P120)=0,"",MEDIAN(N120:P120))</f>
        <v/>
      </c>
      <c r="R120" s="27" t="n"/>
    </row>
    <row r="121">
      <c r="A121" s="27" t="n"/>
      <c r="B121" s="27" t="n"/>
      <c r="C121" s="27" t="n"/>
      <c r="D121" s="27" t="n"/>
      <c r="E121" s="27" t="n"/>
      <c r="F121" s="27" t="n"/>
      <c r="G121" s="28" t="n"/>
      <c r="H121" s="28" t="n"/>
      <c r="I121" s="28" t="n"/>
      <c r="J121" s="27" t="n"/>
      <c r="K121" s="27" t="n"/>
      <c r="L121" s="36" t="n"/>
      <c r="M121" s="37">
        <f>IF(L121="","",L121-TIME(9,0,0))</f>
        <v/>
      </c>
      <c r="N121" s="38" t="n"/>
      <c r="O121" s="38" t="n"/>
      <c r="P121" s="38" t="n"/>
      <c r="Q121" s="34">
        <f>IF(COUNT(N121:P121)=0,"",MEDIAN(N121:P121))</f>
        <v/>
      </c>
      <c r="R121" s="27" t="n"/>
    </row>
    <row r="122">
      <c r="A122" s="27" t="n"/>
      <c r="B122" s="27" t="n"/>
      <c r="C122" s="27" t="n"/>
      <c r="D122" s="27" t="n"/>
      <c r="E122" s="27" t="n"/>
      <c r="F122" s="27" t="n"/>
      <c r="G122" s="28" t="n"/>
      <c r="H122" s="28" t="n"/>
      <c r="I122" s="28" t="n"/>
      <c r="J122" s="27" t="n"/>
      <c r="K122" s="27" t="n"/>
      <c r="L122" s="36" t="n"/>
      <c r="M122" s="37">
        <f>IF(L122="","",L122-TIME(9,0,0))</f>
        <v/>
      </c>
      <c r="N122" s="38" t="n"/>
      <c r="O122" s="38" t="n"/>
      <c r="P122" s="38" t="n"/>
      <c r="Q122" s="34">
        <f>IF(COUNT(N122:P122)=0,"",MEDIAN(N122:P122))</f>
        <v/>
      </c>
      <c r="R122" s="27" t="n"/>
    </row>
    <row r="123">
      <c r="A123" s="27" t="n"/>
      <c r="B123" s="27" t="n"/>
      <c r="C123" s="27" t="n"/>
      <c r="D123" s="27" t="n"/>
      <c r="E123" s="27" t="n"/>
      <c r="F123" s="27" t="n"/>
      <c r="G123" s="28" t="n"/>
      <c r="H123" s="28" t="n"/>
      <c r="I123" s="28" t="n"/>
      <c r="J123" s="27" t="n"/>
      <c r="K123" s="27" t="n"/>
      <c r="L123" s="36" t="n"/>
      <c r="M123" s="37">
        <f>IF(L123="","",L123-TIME(9,0,0))</f>
        <v/>
      </c>
      <c r="N123" s="38" t="n"/>
      <c r="O123" s="38" t="n"/>
      <c r="P123" s="38" t="n"/>
      <c r="Q123" s="34">
        <f>IF(COUNT(N123:P123)=0,"",MEDIAN(N123:P123))</f>
        <v/>
      </c>
      <c r="R123" s="27" t="n"/>
    </row>
    <row r="124">
      <c r="A124" s="27" t="n"/>
      <c r="B124" s="27" t="n"/>
      <c r="C124" s="27" t="n"/>
      <c r="D124" s="27" t="n"/>
      <c r="E124" s="27" t="n"/>
      <c r="F124" s="27" t="n"/>
      <c r="G124" s="28" t="n"/>
      <c r="H124" s="28" t="n"/>
      <c r="I124" s="28" t="n"/>
      <c r="J124" s="27" t="n"/>
      <c r="K124" s="27" t="n"/>
      <c r="L124" s="36" t="n"/>
      <c r="M124" s="37">
        <f>IF(L124="","",L124-TIME(9,0,0))</f>
        <v/>
      </c>
      <c r="N124" s="38" t="n"/>
      <c r="O124" s="38" t="n"/>
      <c r="P124" s="38" t="n"/>
      <c r="Q124" s="34">
        <f>IF(COUNT(N124:P124)=0,"",MEDIAN(N124:P124))</f>
        <v/>
      </c>
      <c r="R124" s="27" t="n"/>
    </row>
    <row r="125">
      <c r="A125" s="27" t="n"/>
      <c r="B125" s="27" t="n"/>
      <c r="C125" s="27" t="n"/>
      <c r="D125" s="27" t="n"/>
      <c r="E125" s="27" t="n"/>
      <c r="F125" s="27" t="n"/>
      <c r="G125" s="28" t="n"/>
      <c r="H125" s="28" t="n"/>
      <c r="I125" s="28" t="n"/>
      <c r="J125" s="27" t="n"/>
      <c r="K125" s="27" t="n"/>
      <c r="L125" s="36" t="n"/>
      <c r="M125" s="37">
        <f>IF(L125="","",L125-TIME(9,0,0))</f>
        <v/>
      </c>
      <c r="N125" s="38" t="n"/>
      <c r="O125" s="38" t="n"/>
      <c r="P125" s="38" t="n"/>
      <c r="Q125" s="34">
        <f>IF(COUNT(N125:P125)=0,"",MEDIAN(N125:P125))</f>
        <v/>
      </c>
      <c r="R125" s="27" t="n"/>
    </row>
    <row r="126">
      <c r="A126" s="27" t="n"/>
      <c r="B126" s="27" t="n"/>
      <c r="C126" s="27" t="n"/>
      <c r="D126" s="27" t="n"/>
      <c r="E126" s="27" t="n"/>
      <c r="F126" s="27" t="n"/>
      <c r="G126" s="28" t="n"/>
      <c r="H126" s="28" t="n"/>
      <c r="I126" s="28" t="n"/>
      <c r="J126" s="27" t="n"/>
      <c r="K126" s="27" t="n"/>
      <c r="L126" s="36" t="n"/>
      <c r="M126" s="37">
        <f>IF(L126="","",L126-TIME(9,0,0))</f>
        <v/>
      </c>
      <c r="N126" s="38" t="n"/>
      <c r="O126" s="38" t="n"/>
      <c r="P126" s="38" t="n"/>
      <c r="Q126" s="34">
        <f>IF(COUNT(N126:P126)=0,"",MEDIAN(N126:P126))</f>
        <v/>
      </c>
      <c r="R126" s="27" t="n"/>
    </row>
    <row r="127">
      <c r="A127" s="27" t="n"/>
      <c r="B127" s="27" t="n"/>
      <c r="C127" s="27" t="n"/>
      <c r="D127" s="27" t="n"/>
      <c r="E127" s="27" t="n"/>
      <c r="F127" s="27" t="n"/>
      <c r="G127" s="28" t="n"/>
      <c r="H127" s="28" t="n"/>
      <c r="I127" s="28" t="n"/>
      <c r="J127" s="27" t="n"/>
      <c r="K127" s="27" t="n"/>
      <c r="L127" s="36" t="n"/>
      <c r="M127" s="37">
        <f>IF(L127="","",L127-TIME(9,0,0))</f>
        <v/>
      </c>
      <c r="N127" s="38" t="n"/>
      <c r="O127" s="38" t="n"/>
      <c r="P127" s="38" t="n"/>
      <c r="Q127" s="34">
        <f>IF(COUNT(N127:P127)=0,"",MEDIAN(N127:P127))</f>
        <v/>
      </c>
      <c r="R127" s="27" t="n"/>
    </row>
    <row r="128">
      <c r="A128" s="27" t="n"/>
      <c r="B128" s="27" t="n"/>
      <c r="C128" s="27" t="n"/>
      <c r="D128" s="27" t="n"/>
      <c r="E128" s="27" t="n"/>
      <c r="F128" s="27" t="n"/>
      <c r="G128" s="28" t="n"/>
      <c r="H128" s="28" t="n"/>
      <c r="I128" s="28" t="n"/>
      <c r="J128" s="27" t="n"/>
      <c r="K128" s="27" t="n"/>
      <c r="L128" s="36" t="n"/>
      <c r="M128" s="37">
        <f>IF(L128="","",L128-TIME(9,0,0))</f>
        <v/>
      </c>
      <c r="N128" s="38" t="n"/>
      <c r="O128" s="38" t="n"/>
      <c r="P128" s="38" t="n"/>
      <c r="Q128" s="34">
        <f>IF(COUNT(N128:P128)=0,"",MEDIAN(N128:P128))</f>
        <v/>
      </c>
      <c r="R128" s="27" t="n"/>
    </row>
    <row r="129">
      <c r="A129" s="27" t="n"/>
      <c r="B129" s="27" t="n"/>
      <c r="C129" s="27" t="n"/>
      <c r="D129" s="27" t="n"/>
      <c r="E129" s="27" t="n"/>
      <c r="F129" s="27" t="n"/>
      <c r="G129" s="28" t="n"/>
      <c r="H129" s="28" t="n"/>
      <c r="I129" s="28" t="n"/>
      <c r="J129" s="27" t="n"/>
      <c r="K129" s="27" t="n"/>
      <c r="L129" s="36" t="n"/>
      <c r="M129" s="37">
        <f>IF(L129="","",L129-TIME(9,0,0))</f>
        <v/>
      </c>
      <c r="N129" s="38" t="n"/>
      <c r="O129" s="38" t="n"/>
      <c r="P129" s="38" t="n"/>
      <c r="Q129" s="34">
        <f>IF(COUNT(N129:P129)=0,"",MEDIAN(N129:P129))</f>
        <v/>
      </c>
      <c r="R129" s="27" t="n"/>
    </row>
    <row r="130">
      <c r="A130" s="27" t="n"/>
      <c r="B130" s="27" t="n"/>
      <c r="C130" s="27" t="n"/>
      <c r="D130" s="27" t="n"/>
      <c r="E130" s="27" t="n"/>
      <c r="F130" s="27" t="n"/>
      <c r="G130" s="28" t="n"/>
      <c r="H130" s="28" t="n"/>
      <c r="I130" s="28" t="n"/>
      <c r="J130" s="27" t="n"/>
      <c r="K130" s="27" t="n"/>
      <c r="L130" s="36" t="n"/>
      <c r="M130" s="37">
        <f>IF(L130="","",L130-TIME(9,0,0))</f>
        <v/>
      </c>
      <c r="N130" s="38" t="n"/>
      <c r="O130" s="38" t="n"/>
      <c r="P130" s="38" t="n"/>
      <c r="Q130" s="34">
        <f>IF(COUNT(N130:P130)=0,"",MEDIAN(N130:P130))</f>
        <v/>
      </c>
      <c r="R130" s="27" t="n"/>
    </row>
    <row r="131">
      <c r="A131" s="27" t="n"/>
      <c r="B131" s="27" t="n"/>
      <c r="C131" s="27" t="n"/>
      <c r="D131" s="27" t="n"/>
      <c r="E131" s="27" t="n"/>
      <c r="F131" s="27" t="n"/>
      <c r="G131" s="28" t="n"/>
      <c r="H131" s="28" t="n"/>
      <c r="I131" s="28" t="n"/>
      <c r="J131" s="27" t="n"/>
      <c r="K131" s="27" t="n"/>
      <c r="L131" s="36" t="n"/>
      <c r="M131" s="37">
        <f>IF(L131="","",L131-TIME(9,0,0))</f>
        <v/>
      </c>
      <c r="N131" s="38" t="n"/>
      <c r="O131" s="38" t="n"/>
      <c r="P131" s="38" t="n"/>
      <c r="Q131" s="34">
        <f>IF(COUNT(N131:P131)=0,"",MEDIAN(N131:P131))</f>
        <v/>
      </c>
      <c r="R131" s="27" t="n"/>
    </row>
    <row r="132">
      <c r="A132" s="27" t="n"/>
      <c r="B132" s="27" t="n"/>
      <c r="C132" s="27" t="n"/>
      <c r="D132" s="27" t="n"/>
      <c r="E132" s="27" t="n"/>
      <c r="F132" s="27" t="n"/>
      <c r="G132" s="28" t="n"/>
      <c r="H132" s="28" t="n"/>
      <c r="I132" s="28" t="n"/>
      <c r="J132" s="27" t="n"/>
      <c r="K132" s="27" t="n"/>
      <c r="L132" s="36" t="n"/>
      <c r="M132" s="37">
        <f>IF(L132="","",L132-TIME(9,0,0))</f>
        <v/>
      </c>
      <c r="N132" s="38" t="n"/>
      <c r="O132" s="38" t="n"/>
      <c r="P132" s="38" t="n"/>
      <c r="Q132" s="34">
        <f>IF(COUNT(N132:P132)=0,"",MEDIAN(N132:P132))</f>
        <v/>
      </c>
      <c r="R132" s="27" t="n"/>
    </row>
    <row r="133">
      <c r="A133" s="27" t="n"/>
      <c r="B133" s="27" t="n"/>
      <c r="C133" s="27" t="n"/>
      <c r="D133" s="27" t="n"/>
      <c r="E133" s="27" t="n"/>
      <c r="F133" s="27" t="n"/>
      <c r="G133" s="28" t="n"/>
      <c r="H133" s="28" t="n"/>
      <c r="I133" s="28" t="n"/>
      <c r="J133" s="27" t="n"/>
      <c r="K133" s="27" t="n"/>
      <c r="L133" s="36" t="n"/>
      <c r="M133" s="37">
        <f>IF(L133="","",L133-TIME(9,0,0))</f>
        <v/>
      </c>
      <c r="N133" s="38" t="n"/>
      <c r="O133" s="38" t="n"/>
      <c r="P133" s="38" t="n"/>
      <c r="Q133" s="34">
        <f>IF(COUNT(N133:P133)=0,"",MEDIAN(N133:P133))</f>
        <v/>
      </c>
      <c r="R133" s="27" t="n"/>
    </row>
    <row r="134">
      <c r="A134" s="27" t="n"/>
      <c r="B134" s="27" t="n"/>
      <c r="C134" s="27" t="n"/>
      <c r="D134" s="27" t="n"/>
      <c r="E134" s="27" t="n"/>
      <c r="F134" s="27" t="n"/>
      <c r="G134" s="28" t="n"/>
      <c r="H134" s="28" t="n"/>
      <c r="I134" s="28" t="n"/>
      <c r="J134" s="27" t="n"/>
      <c r="K134" s="27" t="n"/>
      <c r="L134" s="36" t="n"/>
      <c r="M134" s="37">
        <f>IF(L134="","",L134-TIME(9,0,0))</f>
        <v/>
      </c>
      <c r="N134" s="38" t="n"/>
      <c r="O134" s="38" t="n"/>
      <c r="P134" s="38" t="n"/>
      <c r="Q134" s="34">
        <f>IF(COUNT(N134:P134)=0,"",MEDIAN(N134:P134))</f>
        <v/>
      </c>
      <c r="R134" s="27" t="n"/>
    </row>
    <row r="135">
      <c r="A135" s="27" t="n"/>
      <c r="B135" s="27" t="n"/>
      <c r="C135" s="27" t="n"/>
      <c r="D135" s="27" t="n"/>
      <c r="E135" s="27" t="n"/>
      <c r="F135" s="27" t="n"/>
      <c r="G135" s="28" t="n"/>
      <c r="H135" s="28" t="n"/>
      <c r="I135" s="28" t="n"/>
      <c r="J135" s="27" t="n"/>
      <c r="K135" s="27" t="n"/>
      <c r="L135" s="36" t="n"/>
      <c r="M135" s="37">
        <f>IF(L135="","",L135-TIME(9,0,0))</f>
        <v/>
      </c>
      <c r="N135" s="38" t="n"/>
      <c r="O135" s="38" t="n"/>
      <c r="P135" s="38" t="n"/>
      <c r="Q135" s="34">
        <f>IF(COUNT(N135:P135)=0,"",MEDIAN(N135:P135))</f>
        <v/>
      </c>
      <c r="R135" s="27" t="n"/>
    </row>
    <row r="136">
      <c r="A136" s="27" t="n"/>
      <c r="B136" s="27" t="n"/>
      <c r="C136" s="27" t="n"/>
      <c r="D136" s="27" t="n"/>
      <c r="E136" s="27" t="n"/>
      <c r="F136" s="27" t="n"/>
      <c r="G136" s="28" t="n"/>
      <c r="H136" s="28" t="n"/>
      <c r="I136" s="28" t="n"/>
      <c r="J136" s="27" t="n"/>
      <c r="K136" s="27" t="n"/>
      <c r="L136" s="36" t="n"/>
      <c r="M136" s="37">
        <f>IF(L136="","",L136-TIME(9,0,0))</f>
        <v/>
      </c>
      <c r="N136" s="38" t="n"/>
      <c r="O136" s="38" t="n"/>
      <c r="P136" s="38" t="n"/>
      <c r="Q136" s="34">
        <f>IF(COUNT(N136:P136)=0,"",MEDIAN(N136:P136))</f>
        <v/>
      </c>
      <c r="R136" s="27" t="n"/>
    </row>
    <row r="137">
      <c r="A137" s="27" t="n"/>
      <c r="B137" s="27" t="n"/>
      <c r="C137" s="27" t="n"/>
      <c r="D137" s="27" t="n"/>
      <c r="E137" s="27" t="n"/>
      <c r="F137" s="27" t="n"/>
      <c r="G137" s="28" t="n"/>
      <c r="H137" s="28" t="n"/>
      <c r="I137" s="28" t="n"/>
      <c r="J137" s="27" t="n"/>
      <c r="K137" s="27" t="n"/>
      <c r="L137" s="36" t="n"/>
      <c r="M137" s="37">
        <f>IF(L137="","",L137-TIME(9,0,0))</f>
        <v/>
      </c>
      <c r="N137" s="38" t="n"/>
      <c r="O137" s="38" t="n"/>
      <c r="P137" s="38" t="n"/>
      <c r="Q137" s="34">
        <f>IF(COUNT(N137:P137)=0,"",MEDIAN(N137:P137))</f>
        <v/>
      </c>
      <c r="R137" s="27" t="n"/>
    </row>
    <row r="138">
      <c r="A138" s="27" t="n"/>
      <c r="B138" s="27" t="n"/>
      <c r="C138" s="27" t="n"/>
      <c r="D138" s="27" t="n"/>
      <c r="E138" s="27" t="n"/>
      <c r="F138" s="27" t="n"/>
      <c r="G138" s="28" t="n"/>
      <c r="H138" s="28" t="n"/>
      <c r="I138" s="28" t="n"/>
      <c r="J138" s="27" t="n"/>
      <c r="K138" s="27" t="n"/>
      <c r="L138" s="36" t="n"/>
      <c r="M138" s="37">
        <f>IF(L138="","",L138-TIME(9,0,0))</f>
        <v/>
      </c>
      <c r="N138" s="38" t="n"/>
      <c r="O138" s="38" t="n"/>
      <c r="P138" s="38" t="n"/>
      <c r="Q138" s="34">
        <f>IF(COUNT(N138:P138)=0,"",MEDIAN(N138:P138))</f>
        <v/>
      </c>
      <c r="R138" s="27" t="n"/>
    </row>
    <row r="139">
      <c r="A139" s="27" t="n"/>
      <c r="B139" s="27" t="n"/>
      <c r="C139" s="27" t="n"/>
      <c r="D139" s="27" t="n"/>
      <c r="E139" s="27" t="n"/>
      <c r="F139" s="27" t="n"/>
      <c r="G139" s="28" t="n"/>
      <c r="H139" s="28" t="n"/>
      <c r="I139" s="28" t="n"/>
      <c r="J139" s="27" t="n"/>
      <c r="K139" s="27" t="n"/>
      <c r="L139" s="36" t="n"/>
      <c r="M139" s="37">
        <f>IF(L139="","",L139-TIME(9,0,0))</f>
        <v/>
      </c>
      <c r="N139" s="38" t="n"/>
      <c r="O139" s="38" t="n"/>
      <c r="P139" s="38" t="n"/>
      <c r="Q139" s="34">
        <f>IF(COUNT(N139:P139)=0,"",MEDIAN(N139:P139))</f>
        <v/>
      </c>
      <c r="R139" s="27" t="n"/>
    </row>
    <row r="140">
      <c r="A140" s="27" t="n"/>
      <c r="B140" s="27" t="n"/>
      <c r="C140" s="27" t="n"/>
      <c r="D140" s="27" t="n"/>
      <c r="E140" s="27" t="n"/>
      <c r="F140" s="27" t="n"/>
      <c r="G140" s="28" t="n"/>
      <c r="H140" s="28" t="n"/>
      <c r="I140" s="28" t="n"/>
      <c r="J140" s="27" t="n"/>
      <c r="K140" s="27" t="n"/>
      <c r="L140" s="36" t="n"/>
      <c r="M140" s="37">
        <f>IF(L140="","",L140-TIME(9,0,0))</f>
        <v/>
      </c>
      <c r="N140" s="38" t="n"/>
      <c r="O140" s="38" t="n"/>
      <c r="P140" s="38" t="n"/>
      <c r="Q140" s="34">
        <f>IF(COUNT(N140:P140)=0,"",MEDIAN(N140:P140))</f>
        <v/>
      </c>
      <c r="R140" s="27" t="n"/>
    </row>
    <row r="141">
      <c r="A141" s="27" t="n"/>
      <c r="B141" s="27" t="n"/>
      <c r="C141" s="27" t="n"/>
      <c r="D141" s="27" t="n"/>
      <c r="E141" s="27" t="n"/>
      <c r="F141" s="27" t="n"/>
      <c r="G141" s="28" t="n"/>
      <c r="H141" s="28" t="n"/>
      <c r="I141" s="28" t="n"/>
      <c r="J141" s="27" t="n"/>
      <c r="K141" s="27" t="n"/>
      <c r="L141" s="36" t="n"/>
      <c r="M141" s="37">
        <f>IF(L141="","",L141-TIME(9,0,0))</f>
        <v/>
      </c>
      <c r="N141" s="38" t="n"/>
      <c r="O141" s="38" t="n"/>
      <c r="P141" s="38" t="n"/>
      <c r="Q141" s="34">
        <f>IF(COUNT(N141:P141)=0,"",MEDIAN(N141:P141))</f>
        <v/>
      </c>
      <c r="R141" s="27" t="n"/>
    </row>
    <row r="142">
      <c r="A142" s="27" t="n"/>
      <c r="B142" s="27" t="n"/>
      <c r="C142" s="27" t="n"/>
      <c r="D142" s="27" t="n"/>
      <c r="E142" s="27" t="n"/>
      <c r="F142" s="27" t="n"/>
      <c r="G142" s="28" t="n"/>
      <c r="H142" s="28" t="n"/>
      <c r="I142" s="28" t="n"/>
      <c r="J142" s="27" t="n"/>
      <c r="K142" s="27" t="n"/>
      <c r="L142" s="36" t="n"/>
      <c r="M142" s="37">
        <f>IF(L142="","",L142-TIME(9,0,0))</f>
        <v/>
      </c>
      <c r="N142" s="38" t="n"/>
      <c r="O142" s="38" t="n"/>
      <c r="P142" s="38" t="n"/>
      <c r="Q142" s="34">
        <f>IF(COUNT(N142:P142)=0,"",MEDIAN(N142:P142))</f>
        <v/>
      </c>
      <c r="R142" s="27" t="n"/>
    </row>
    <row r="143">
      <c r="A143" s="27" t="n"/>
      <c r="B143" s="27" t="n"/>
      <c r="C143" s="27" t="n"/>
      <c r="D143" s="27" t="n"/>
      <c r="E143" s="27" t="n"/>
      <c r="F143" s="27" t="n"/>
      <c r="G143" s="28" t="n"/>
      <c r="H143" s="28" t="n"/>
      <c r="I143" s="28" t="n"/>
      <c r="J143" s="27" t="n"/>
      <c r="K143" s="27" t="n"/>
      <c r="L143" s="36" t="n"/>
      <c r="M143" s="37">
        <f>IF(L143="","",L143-TIME(9,0,0))</f>
        <v/>
      </c>
      <c r="N143" s="38" t="n"/>
      <c r="O143" s="38" t="n"/>
      <c r="P143" s="38" t="n"/>
      <c r="Q143" s="34">
        <f>IF(COUNT(N143:P143)=0,"",MEDIAN(N143:P143))</f>
        <v/>
      </c>
      <c r="R143" s="27" t="n"/>
    </row>
    <row r="144">
      <c r="A144" s="27" t="n"/>
      <c r="B144" s="27" t="n"/>
      <c r="C144" s="27" t="n"/>
      <c r="D144" s="27" t="n"/>
      <c r="E144" s="27" t="n"/>
      <c r="F144" s="27" t="n"/>
      <c r="G144" s="28" t="n"/>
      <c r="H144" s="28" t="n"/>
      <c r="I144" s="28" t="n"/>
      <c r="J144" s="27" t="n"/>
      <c r="K144" s="27" t="n"/>
      <c r="L144" s="36" t="n"/>
      <c r="M144" s="37">
        <f>IF(L144="","",L144-TIME(9,0,0))</f>
        <v/>
      </c>
      <c r="N144" s="38" t="n"/>
      <c r="O144" s="38" t="n"/>
      <c r="P144" s="38" t="n"/>
      <c r="Q144" s="34">
        <f>IF(COUNT(N144:P144)=0,"",MEDIAN(N144:P144))</f>
        <v/>
      </c>
      <c r="R144" s="27" t="n"/>
    </row>
    <row r="145">
      <c r="A145" s="27" t="n"/>
      <c r="B145" s="27" t="n"/>
      <c r="C145" s="27" t="n"/>
      <c r="D145" s="27" t="n"/>
      <c r="E145" s="27" t="n"/>
      <c r="F145" s="27" t="n"/>
      <c r="G145" s="28" t="n"/>
      <c r="H145" s="28" t="n"/>
      <c r="I145" s="28" t="n"/>
      <c r="J145" s="27" t="n"/>
      <c r="K145" s="27" t="n"/>
      <c r="L145" s="36" t="n"/>
      <c r="M145" s="37">
        <f>IF(L145="","",L145-TIME(9,0,0))</f>
        <v/>
      </c>
      <c r="N145" s="38" t="n"/>
      <c r="O145" s="38" t="n"/>
      <c r="P145" s="38" t="n"/>
      <c r="Q145" s="34">
        <f>IF(COUNT(N145:P145)=0,"",MEDIAN(N145:P145))</f>
        <v/>
      </c>
      <c r="R145" s="27" t="n"/>
    </row>
    <row r="146">
      <c r="A146" s="27" t="n"/>
      <c r="B146" s="27" t="n"/>
      <c r="C146" s="27" t="n"/>
      <c r="D146" s="27" t="n"/>
      <c r="E146" s="27" t="n"/>
      <c r="F146" s="27" t="n"/>
      <c r="G146" s="28" t="n"/>
      <c r="H146" s="28" t="n"/>
      <c r="I146" s="28" t="n"/>
      <c r="J146" s="27" t="n"/>
      <c r="K146" s="27" t="n"/>
      <c r="L146" s="36" t="n"/>
      <c r="M146" s="37">
        <f>IF(L146="","",L146-TIME(9,0,0))</f>
        <v/>
      </c>
      <c r="N146" s="38" t="n"/>
      <c r="O146" s="38" t="n"/>
      <c r="P146" s="38" t="n"/>
      <c r="Q146" s="34">
        <f>IF(COUNT(N146:P146)=0,"",MEDIAN(N146:P146))</f>
        <v/>
      </c>
      <c r="R146" s="27" t="n"/>
    </row>
    <row r="147">
      <c r="A147" s="27" t="n"/>
      <c r="B147" s="27" t="n"/>
      <c r="C147" s="27" t="n"/>
      <c r="D147" s="27" t="n"/>
      <c r="E147" s="27" t="n"/>
      <c r="F147" s="27" t="n"/>
      <c r="G147" s="28" t="n"/>
      <c r="H147" s="28" t="n"/>
      <c r="I147" s="28" t="n"/>
      <c r="J147" s="27" t="n"/>
      <c r="K147" s="27" t="n"/>
      <c r="L147" s="36" t="n"/>
      <c r="M147" s="37">
        <f>IF(L147="","",L147-TIME(9,0,0))</f>
        <v/>
      </c>
      <c r="N147" s="38" t="n"/>
      <c r="O147" s="38" t="n"/>
      <c r="P147" s="38" t="n"/>
      <c r="Q147" s="34">
        <f>IF(COUNT(N147:P147)=0,"",MEDIAN(N147:P147))</f>
        <v/>
      </c>
      <c r="R147" s="27" t="n"/>
    </row>
    <row r="148">
      <c r="A148" s="27" t="n"/>
      <c r="B148" s="27" t="n"/>
      <c r="C148" s="27" t="n"/>
      <c r="D148" s="27" t="n"/>
      <c r="E148" s="27" t="n"/>
      <c r="F148" s="27" t="n"/>
      <c r="G148" s="28" t="n"/>
      <c r="H148" s="28" t="n"/>
      <c r="I148" s="28" t="n"/>
      <c r="J148" s="27" t="n"/>
      <c r="K148" s="27" t="n"/>
      <c r="L148" s="36" t="n"/>
      <c r="M148" s="37">
        <f>IF(L148="","",L148-TIME(9,0,0))</f>
        <v/>
      </c>
      <c r="N148" s="38" t="n"/>
      <c r="O148" s="38" t="n"/>
      <c r="P148" s="38" t="n"/>
      <c r="Q148" s="34">
        <f>IF(COUNT(N148:P148)=0,"",MEDIAN(N148:P148))</f>
        <v/>
      </c>
      <c r="R148" s="27" t="n"/>
    </row>
    <row r="149">
      <c r="A149" s="27" t="n"/>
      <c r="B149" s="27" t="n"/>
      <c r="C149" s="27" t="n"/>
      <c r="D149" s="27" t="n"/>
      <c r="E149" s="27" t="n"/>
      <c r="F149" s="27" t="n"/>
      <c r="G149" s="28" t="n"/>
      <c r="H149" s="28" t="n"/>
      <c r="I149" s="28" t="n"/>
      <c r="J149" s="27" t="n"/>
      <c r="K149" s="27" t="n"/>
      <c r="L149" s="36" t="n"/>
      <c r="M149" s="37">
        <f>IF(L149="","",L149-TIME(9,0,0))</f>
        <v/>
      </c>
      <c r="N149" s="38" t="n"/>
      <c r="O149" s="38" t="n"/>
      <c r="P149" s="38" t="n"/>
      <c r="Q149" s="34">
        <f>IF(COUNT(N149:P149)=0,"",MEDIAN(N149:P149))</f>
        <v/>
      </c>
      <c r="R149" s="27" t="n"/>
    </row>
    <row r="150">
      <c r="A150" s="27" t="n"/>
      <c r="B150" s="27" t="n"/>
      <c r="C150" s="27" t="n"/>
      <c r="D150" s="27" t="n"/>
      <c r="E150" s="27" t="n"/>
      <c r="F150" s="27" t="n"/>
      <c r="G150" s="28" t="n"/>
      <c r="H150" s="28" t="n"/>
      <c r="I150" s="28" t="n"/>
      <c r="J150" s="27" t="n"/>
      <c r="K150" s="27" t="n"/>
      <c r="L150" s="36" t="n"/>
      <c r="M150" s="37">
        <f>IF(L150="","",L150-TIME(9,0,0))</f>
        <v/>
      </c>
      <c r="N150" s="38" t="n"/>
      <c r="O150" s="38" t="n"/>
      <c r="P150" s="38" t="n"/>
      <c r="Q150" s="34">
        <f>IF(COUNT(N150:P150)=0,"",MEDIAN(N150:P150))</f>
        <v/>
      </c>
      <c r="R150" s="27" t="n"/>
    </row>
    <row r="151">
      <c r="A151" s="27" t="n"/>
      <c r="B151" s="27" t="n"/>
      <c r="C151" s="27" t="n"/>
      <c r="D151" s="27" t="n"/>
      <c r="E151" s="27" t="n"/>
      <c r="F151" s="27" t="n"/>
      <c r="G151" s="28" t="n"/>
      <c r="H151" s="28" t="n"/>
      <c r="I151" s="28" t="n"/>
      <c r="J151" s="27" t="n"/>
      <c r="K151" s="27" t="n"/>
      <c r="L151" s="36" t="n"/>
      <c r="M151" s="37">
        <f>IF(L151="","",L151-TIME(9,0,0))</f>
        <v/>
      </c>
      <c r="N151" s="38" t="n"/>
      <c r="O151" s="38" t="n"/>
      <c r="P151" s="38" t="n"/>
      <c r="Q151" s="34">
        <f>IF(COUNT(N151:P151)=0,"",MEDIAN(N151:P151))</f>
        <v/>
      </c>
      <c r="R151" s="27" t="n"/>
    </row>
    <row r="152">
      <c r="A152" s="27" t="n"/>
      <c r="B152" s="27" t="n"/>
      <c r="C152" s="27" t="n"/>
      <c r="D152" s="27" t="n"/>
      <c r="E152" s="27" t="n"/>
      <c r="F152" s="27" t="n"/>
      <c r="G152" s="28" t="n"/>
      <c r="H152" s="28" t="n"/>
      <c r="I152" s="28" t="n"/>
      <c r="J152" s="27" t="n"/>
      <c r="K152" s="27" t="n"/>
      <c r="L152" s="36" t="n"/>
      <c r="M152" s="37">
        <f>IF(L152="","",L152-TIME(9,0,0))</f>
        <v/>
      </c>
      <c r="N152" s="38" t="n"/>
      <c r="O152" s="38" t="n"/>
      <c r="P152" s="38" t="n"/>
      <c r="Q152" s="34">
        <f>IF(COUNT(N152:P152)=0,"",MEDIAN(N152:P152))</f>
        <v/>
      </c>
      <c r="R152" s="27" t="n"/>
    </row>
    <row r="153">
      <c r="A153" s="27" t="n"/>
      <c r="B153" s="27" t="n"/>
      <c r="C153" s="27" t="n"/>
      <c r="D153" s="27" t="n"/>
      <c r="E153" s="27" t="n"/>
      <c r="F153" s="27" t="n"/>
      <c r="G153" s="28" t="n"/>
      <c r="H153" s="28" t="n"/>
      <c r="I153" s="28" t="n"/>
      <c r="J153" s="27" t="n"/>
      <c r="K153" s="27" t="n"/>
      <c r="L153" s="36" t="n"/>
      <c r="M153" s="37">
        <f>IF(L153="","",L153-TIME(9,0,0))</f>
        <v/>
      </c>
      <c r="N153" s="38" t="n"/>
      <c r="O153" s="38" t="n"/>
      <c r="P153" s="38" t="n"/>
      <c r="Q153" s="34">
        <f>IF(COUNT(N153:P153)=0,"",MEDIAN(N153:P153))</f>
        <v/>
      </c>
      <c r="R153" s="27" t="n"/>
    </row>
    <row r="154">
      <c r="A154" s="27" t="n"/>
      <c r="B154" s="27" t="n"/>
      <c r="C154" s="27" t="n"/>
      <c r="D154" s="27" t="n"/>
      <c r="E154" s="27" t="n"/>
      <c r="F154" s="27" t="n"/>
      <c r="G154" s="28" t="n"/>
      <c r="H154" s="28" t="n"/>
      <c r="I154" s="28" t="n"/>
      <c r="J154" s="27" t="n"/>
      <c r="K154" s="27" t="n"/>
      <c r="L154" s="36" t="n"/>
      <c r="M154" s="37">
        <f>IF(L154="","",L154-TIME(9,0,0))</f>
        <v/>
      </c>
      <c r="N154" s="38" t="n"/>
      <c r="O154" s="38" t="n"/>
      <c r="P154" s="38" t="n"/>
      <c r="Q154" s="34">
        <f>IF(COUNT(N154:P154)=0,"",MEDIAN(N154:P154))</f>
        <v/>
      </c>
      <c r="R154" s="27" t="n"/>
    </row>
    <row r="155">
      <c r="A155" s="27" t="n"/>
      <c r="B155" s="27" t="n"/>
      <c r="C155" s="27" t="n"/>
      <c r="D155" s="27" t="n"/>
      <c r="E155" s="27" t="n"/>
      <c r="F155" s="27" t="n"/>
      <c r="G155" s="28" t="n"/>
      <c r="H155" s="28" t="n"/>
      <c r="I155" s="28" t="n"/>
      <c r="J155" s="27" t="n"/>
      <c r="K155" s="27" t="n"/>
      <c r="L155" s="36" t="n"/>
      <c r="M155" s="37">
        <f>IF(L155="","",L155-TIME(9,0,0))</f>
        <v/>
      </c>
      <c r="N155" s="38" t="n"/>
      <c r="O155" s="38" t="n"/>
      <c r="P155" s="38" t="n"/>
      <c r="Q155" s="34">
        <f>IF(COUNT(N155:P155)=0,"",MEDIAN(N155:P155))</f>
        <v/>
      </c>
      <c r="R155" s="27" t="n"/>
    </row>
    <row r="156">
      <c r="A156" s="27" t="n"/>
      <c r="B156" s="27" t="n"/>
      <c r="C156" s="27" t="n"/>
      <c r="D156" s="27" t="n"/>
      <c r="E156" s="27" t="n"/>
      <c r="F156" s="27" t="n"/>
      <c r="G156" s="28" t="n"/>
      <c r="H156" s="28" t="n"/>
      <c r="I156" s="28" t="n"/>
      <c r="J156" s="27" t="n"/>
      <c r="K156" s="27" t="n"/>
      <c r="L156" s="36" t="n"/>
      <c r="M156" s="37">
        <f>IF(L156="","",L156-TIME(9,0,0))</f>
        <v/>
      </c>
      <c r="N156" s="38" t="n"/>
      <c r="O156" s="38" t="n"/>
      <c r="P156" s="38" t="n"/>
      <c r="Q156" s="34">
        <f>IF(COUNT(N156:P156)=0,"",MEDIAN(N156:P156))</f>
        <v/>
      </c>
      <c r="R156" s="27" t="n"/>
    </row>
    <row r="157">
      <c r="A157" s="27" t="n"/>
      <c r="B157" s="27" t="n"/>
      <c r="C157" s="27" t="n"/>
      <c r="D157" s="27" t="n"/>
      <c r="E157" s="27" t="n"/>
      <c r="F157" s="27" t="n"/>
      <c r="G157" s="28" t="n"/>
      <c r="H157" s="28" t="n"/>
      <c r="I157" s="28" t="n"/>
      <c r="J157" s="27" t="n"/>
      <c r="K157" s="27" t="n"/>
      <c r="L157" s="36" t="n"/>
      <c r="M157" s="37">
        <f>IF(L157="","",L157-TIME(9,0,0))</f>
        <v/>
      </c>
      <c r="N157" s="38" t="n"/>
      <c r="O157" s="38" t="n"/>
      <c r="P157" s="38" t="n"/>
      <c r="Q157" s="34">
        <f>IF(COUNT(N157:P157)=0,"",MEDIAN(N157:P157))</f>
        <v/>
      </c>
      <c r="R157" s="27" t="n"/>
    </row>
    <row r="158">
      <c r="A158" s="27" t="n"/>
      <c r="B158" s="27" t="n"/>
      <c r="C158" s="27" t="n"/>
      <c r="D158" s="27" t="n"/>
      <c r="E158" s="27" t="n"/>
      <c r="F158" s="27" t="n"/>
      <c r="G158" s="28" t="n"/>
      <c r="H158" s="28" t="n"/>
      <c r="I158" s="28" t="n"/>
      <c r="J158" s="27" t="n"/>
      <c r="K158" s="27" t="n"/>
      <c r="L158" s="36" t="n"/>
      <c r="M158" s="37">
        <f>IF(L158="","",L158-TIME(9,0,0))</f>
        <v/>
      </c>
      <c r="N158" s="38" t="n"/>
      <c r="O158" s="38" t="n"/>
      <c r="P158" s="38" t="n"/>
      <c r="Q158" s="34">
        <f>IF(COUNT(N158:P158)=0,"",MEDIAN(N158:P158))</f>
        <v/>
      </c>
      <c r="R158" s="27" t="n"/>
    </row>
    <row r="159">
      <c r="A159" s="27" t="n"/>
      <c r="B159" s="27" t="n"/>
      <c r="C159" s="27" t="n"/>
      <c r="D159" s="27" t="n"/>
      <c r="E159" s="27" t="n"/>
      <c r="F159" s="27" t="n"/>
      <c r="G159" s="28" t="n"/>
      <c r="H159" s="28" t="n"/>
      <c r="I159" s="28" t="n"/>
      <c r="J159" s="27" t="n"/>
      <c r="K159" s="27" t="n"/>
      <c r="L159" s="36" t="n"/>
      <c r="M159" s="37">
        <f>IF(L159="","",L159-TIME(9,0,0))</f>
        <v/>
      </c>
      <c r="N159" s="38" t="n"/>
      <c r="O159" s="38" t="n"/>
      <c r="P159" s="38" t="n"/>
      <c r="Q159" s="34">
        <f>IF(COUNT(N159:P159)=0,"",MEDIAN(N159:P159))</f>
        <v/>
      </c>
      <c r="R159" s="27" t="n"/>
    </row>
    <row r="160">
      <c r="A160" s="27" t="n"/>
      <c r="B160" s="27" t="n"/>
      <c r="C160" s="27" t="n"/>
      <c r="D160" s="27" t="n"/>
      <c r="E160" s="27" t="n"/>
      <c r="F160" s="27" t="n"/>
      <c r="G160" s="28" t="n"/>
      <c r="H160" s="28" t="n"/>
      <c r="I160" s="28" t="n"/>
      <c r="J160" s="27" t="n"/>
      <c r="K160" s="27" t="n"/>
      <c r="L160" s="36" t="n"/>
      <c r="M160" s="37">
        <f>IF(L160="","",L160-TIME(9,0,0))</f>
        <v/>
      </c>
      <c r="N160" s="38" t="n"/>
      <c r="O160" s="38" t="n"/>
      <c r="P160" s="38" t="n"/>
      <c r="Q160" s="34">
        <f>IF(COUNT(N160:P160)=0,"",MEDIAN(N160:P160))</f>
        <v/>
      </c>
      <c r="R160" s="27" t="n"/>
    </row>
    <row r="161">
      <c r="A161" s="27" t="n"/>
      <c r="B161" s="27" t="n"/>
      <c r="C161" s="27" t="n"/>
      <c r="D161" s="27" t="n"/>
      <c r="E161" s="27" t="n"/>
      <c r="F161" s="27" t="n"/>
      <c r="G161" s="28" t="n"/>
      <c r="H161" s="28" t="n"/>
      <c r="I161" s="28" t="n"/>
      <c r="J161" s="27" t="n"/>
      <c r="K161" s="27" t="n"/>
      <c r="L161" s="36" t="n"/>
      <c r="M161" s="37">
        <f>IF(L161="","",L161-TIME(9,0,0))</f>
        <v/>
      </c>
      <c r="N161" s="38" t="n"/>
      <c r="O161" s="38" t="n"/>
      <c r="P161" s="38" t="n"/>
      <c r="Q161" s="34">
        <f>IF(COUNT(N161:P161)=0,"",MEDIAN(N161:P161))</f>
        <v/>
      </c>
      <c r="R161" s="27" t="n"/>
    </row>
    <row r="162">
      <c r="A162" s="27" t="n"/>
      <c r="B162" s="27" t="n"/>
      <c r="C162" s="27" t="n"/>
      <c r="D162" s="27" t="n"/>
      <c r="E162" s="27" t="n"/>
      <c r="F162" s="27" t="n"/>
      <c r="G162" s="28" t="n"/>
      <c r="H162" s="28" t="n"/>
      <c r="I162" s="28" t="n"/>
      <c r="J162" s="27" t="n"/>
      <c r="K162" s="27" t="n"/>
      <c r="L162" s="36" t="n"/>
      <c r="M162" s="37">
        <f>IF(L162="","",L162-TIME(9,0,0))</f>
        <v/>
      </c>
      <c r="N162" s="38" t="n"/>
      <c r="O162" s="38" t="n"/>
      <c r="P162" s="38" t="n"/>
      <c r="Q162" s="34">
        <f>IF(COUNT(N162:P162)=0,"",MEDIAN(N162:P162))</f>
        <v/>
      </c>
      <c r="R162" s="27" t="n"/>
    </row>
    <row r="163">
      <c r="A163" s="27" t="n"/>
      <c r="B163" s="27" t="n"/>
      <c r="C163" s="27" t="n"/>
      <c r="D163" s="27" t="n"/>
      <c r="E163" s="27" t="n"/>
      <c r="F163" s="27" t="n"/>
      <c r="G163" s="28" t="n"/>
      <c r="H163" s="28" t="n"/>
      <c r="I163" s="28" t="n"/>
      <c r="J163" s="27" t="n"/>
      <c r="K163" s="27" t="n"/>
      <c r="L163" s="36" t="n"/>
      <c r="M163" s="37">
        <f>IF(L163="","",L163-TIME(9,0,0))</f>
        <v/>
      </c>
      <c r="N163" s="38" t="n"/>
      <c r="O163" s="38" t="n"/>
      <c r="P163" s="38" t="n"/>
      <c r="Q163" s="34">
        <f>IF(COUNT(N163:P163)=0,"",MEDIAN(N163:P163))</f>
        <v/>
      </c>
      <c r="R163" s="27" t="n"/>
    </row>
    <row r="164">
      <c r="A164" s="27" t="n"/>
      <c r="B164" s="27" t="n"/>
      <c r="C164" s="27" t="n"/>
      <c r="D164" s="27" t="n"/>
      <c r="E164" s="27" t="n"/>
      <c r="F164" s="27" t="n"/>
      <c r="G164" s="28" t="n"/>
      <c r="H164" s="28" t="n"/>
      <c r="I164" s="28" t="n"/>
      <c r="J164" s="27" t="n"/>
      <c r="K164" s="27" t="n"/>
      <c r="L164" s="36" t="n"/>
      <c r="M164" s="37">
        <f>IF(L164="","",L164-TIME(9,0,0))</f>
        <v/>
      </c>
      <c r="N164" s="38" t="n"/>
      <c r="O164" s="38" t="n"/>
      <c r="P164" s="38" t="n"/>
      <c r="Q164" s="34">
        <f>IF(COUNT(N164:P164)=0,"",MEDIAN(N164:P164))</f>
        <v/>
      </c>
      <c r="R164" s="27" t="n"/>
    </row>
    <row r="165">
      <c r="A165" s="27" t="n"/>
      <c r="B165" s="27" t="n"/>
      <c r="C165" s="27" t="n"/>
      <c r="D165" s="27" t="n"/>
      <c r="E165" s="27" t="n"/>
      <c r="F165" s="27" t="n"/>
      <c r="G165" s="28" t="n"/>
      <c r="H165" s="28" t="n"/>
      <c r="I165" s="28" t="n"/>
      <c r="J165" s="27" t="n"/>
      <c r="K165" s="27" t="n"/>
      <c r="L165" s="36" t="n"/>
      <c r="M165" s="37">
        <f>IF(L165="","",L165-TIME(9,0,0))</f>
        <v/>
      </c>
      <c r="N165" s="38" t="n"/>
      <c r="O165" s="38" t="n"/>
      <c r="P165" s="38" t="n"/>
      <c r="Q165" s="34">
        <f>IF(COUNT(N165:P165)=0,"",MEDIAN(N165:P165))</f>
        <v/>
      </c>
      <c r="R165" s="27" t="n"/>
    </row>
    <row r="166">
      <c r="A166" s="27" t="n"/>
      <c r="B166" s="27" t="n"/>
      <c r="C166" s="27" t="n"/>
      <c r="D166" s="27" t="n"/>
      <c r="E166" s="27" t="n"/>
      <c r="F166" s="27" t="n"/>
      <c r="G166" s="28" t="n"/>
      <c r="H166" s="28" t="n"/>
      <c r="I166" s="28" t="n"/>
      <c r="J166" s="27" t="n"/>
      <c r="K166" s="27" t="n"/>
      <c r="L166" s="36" t="n"/>
      <c r="M166" s="37">
        <f>IF(L166="","",L166-TIME(9,0,0))</f>
        <v/>
      </c>
      <c r="N166" s="38" t="n"/>
      <c r="O166" s="38" t="n"/>
      <c r="P166" s="38" t="n"/>
      <c r="Q166" s="34">
        <f>IF(COUNT(N166:P166)=0,"",MEDIAN(N166:P166))</f>
        <v/>
      </c>
      <c r="R166" s="27" t="n"/>
    </row>
    <row r="167">
      <c r="A167" s="27" t="n"/>
      <c r="B167" s="27" t="n"/>
      <c r="C167" s="27" t="n"/>
      <c r="D167" s="27" t="n"/>
      <c r="E167" s="27" t="n"/>
      <c r="F167" s="27" t="n"/>
      <c r="G167" s="28" t="n"/>
      <c r="H167" s="28" t="n"/>
      <c r="I167" s="28" t="n"/>
      <c r="J167" s="27" t="n"/>
      <c r="K167" s="27" t="n"/>
      <c r="L167" s="36" t="n"/>
      <c r="M167" s="37">
        <f>IF(L167="","",L167-TIME(9,0,0))</f>
        <v/>
      </c>
      <c r="N167" s="38" t="n"/>
      <c r="O167" s="38" t="n"/>
      <c r="P167" s="38" t="n"/>
      <c r="Q167" s="34">
        <f>IF(COUNT(N167:P167)=0,"",MEDIAN(N167:P167))</f>
        <v/>
      </c>
      <c r="R167" s="27" t="n"/>
    </row>
    <row r="168">
      <c r="A168" s="27" t="n"/>
      <c r="B168" s="27" t="n"/>
      <c r="C168" s="27" t="n"/>
      <c r="D168" s="27" t="n"/>
      <c r="E168" s="27" t="n"/>
      <c r="F168" s="27" t="n"/>
      <c r="G168" s="28" t="n"/>
      <c r="H168" s="28" t="n"/>
      <c r="I168" s="28" t="n"/>
      <c r="J168" s="27" t="n"/>
      <c r="K168" s="27" t="n"/>
      <c r="L168" s="36" t="n"/>
      <c r="M168" s="37">
        <f>IF(L168="","",L168-TIME(9,0,0))</f>
        <v/>
      </c>
      <c r="N168" s="38" t="n"/>
      <c r="O168" s="38" t="n"/>
      <c r="P168" s="38" t="n"/>
      <c r="Q168" s="34">
        <f>IF(COUNT(N168:P168)=0,"",MEDIAN(N168:P168))</f>
        <v/>
      </c>
      <c r="R168" s="27" t="n"/>
    </row>
    <row r="169">
      <c r="A169" s="27" t="n"/>
      <c r="B169" s="27" t="n"/>
      <c r="C169" s="27" t="n"/>
      <c r="D169" s="27" t="n"/>
      <c r="E169" s="27" t="n"/>
      <c r="F169" s="27" t="n"/>
      <c r="G169" s="28" t="n"/>
      <c r="H169" s="28" t="n"/>
      <c r="I169" s="28" t="n"/>
      <c r="J169" s="27" t="n"/>
      <c r="K169" s="27" t="n"/>
      <c r="L169" s="36" t="n"/>
      <c r="M169" s="37">
        <f>IF(L169="","",L169-TIME(9,0,0))</f>
        <v/>
      </c>
      <c r="N169" s="38" t="n"/>
      <c r="O169" s="38" t="n"/>
      <c r="P169" s="38" t="n"/>
      <c r="Q169" s="34">
        <f>IF(COUNT(N169:P169)=0,"",MEDIAN(N169:P169))</f>
        <v/>
      </c>
      <c r="R169" s="27" t="n"/>
    </row>
    <row r="170">
      <c r="A170" s="27" t="n"/>
      <c r="B170" s="27" t="n"/>
      <c r="C170" s="27" t="n"/>
      <c r="D170" s="27" t="n"/>
      <c r="E170" s="27" t="n"/>
      <c r="F170" s="27" t="n"/>
      <c r="G170" s="28" t="n"/>
      <c r="H170" s="28" t="n"/>
      <c r="I170" s="28" t="n"/>
      <c r="J170" s="27" t="n"/>
      <c r="K170" s="27" t="n"/>
      <c r="L170" s="36" t="n"/>
      <c r="M170" s="37">
        <f>IF(L170="","",L170-TIME(9,0,0))</f>
        <v/>
      </c>
      <c r="N170" s="38" t="n"/>
      <c r="O170" s="38" t="n"/>
      <c r="P170" s="38" t="n"/>
      <c r="Q170" s="34">
        <f>IF(COUNT(N170:P170)=0,"",MEDIAN(N170:P170))</f>
        <v/>
      </c>
      <c r="R170" s="27" t="n"/>
    </row>
    <row r="171">
      <c r="A171" s="27" t="n"/>
      <c r="B171" s="27" t="n"/>
      <c r="C171" s="27" t="n"/>
      <c r="D171" s="27" t="n"/>
      <c r="E171" s="27" t="n"/>
      <c r="F171" s="27" t="n"/>
      <c r="G171" s="28" t="n"/>
      <c r="H171" s="28" t="n"/>
      <c r="I171" s="28" t="n"/>
      <c r="J171" s="27" t="n"/>
      <c r="K171" s="27" t="n"/>
      <c r="L171" s="36" t="n"/>
      <c r="M171" s="37">
        <f>IF(L171="","",L171-TIME(9,0,0))</f>
        <v/>
      </c>
      <c r="N171" s="38" t="n"/>
      <c r="O171" s="38" t="n"/>
      <c r="P171" s="38" t="n"/>
      <c r="Q171" s="34">
        <f>IF(COUNT(N171:P171)=0,"",MEDIAN(N171:P171))</f>
        <v/>
      </c>
      <c r="R171" s="27" t="n"/>
    </row>
    <row r="172">
      <c r="A172" s="27" t="n"/>
      <c r="B172" s="27" t="n"/>
      <c r="C172" s="27" t="n"/>
      <c r="D172" s="27" t="n"/>
      <c r="E172" s="27" t="n"/>
      <c r="F172" s="27" t="n"/>
      <c r="G172" s="28" t="n"/>
      <c r="H172" s="28" t="n"/>
      <c r="I172" s="28" t="n"/>
      <c r="J172" s="27" t="n"/>
      <c r="K172" s="27" t="n"/>
      <c r="L172" s="36" t="n"/>
      <c r="M172" s="37">
        <f>IF(L172="","",L172-TIME(9,0,0))</f>
        <v/>
      </c>
      <c r="N172" s="38" t="n"/>
      <c r="O172" s="38" t="n"/>
      <c r="P172" s="38" t="n"/>
      <c r="Q172" s="34">
        <f>IF(COUNT(N172:P172)=0,"",MEDIAN(N172:P172))</f>
        <v/>
      </c>
      <c r="R172" s="27" t="n"/>
    </row>
    <row r="173">
      <c r="A173" s="27" t="n"/>
      <c r="B173" s="27" t="n"/>
      <c r="C173" s="27" t="n"/>
      <c r="D173" s="27" t="n"/>
      <c r="E173" s="27" t="n"/>
      <c r="F173" s="27" t="n"/>
      <c r="G173" s="28" t="n"/>
      <c r="H173" s="28" t="n"/>
      <c r="I173" s="28" t="n"/>
      <c r="J173" s="27" t="n"/>
      <c r="K173" s="27" t="n"/>
      <c r="L173" s="36" t="n"/>
      <c r="M173" s="37">
        <f>IF(L173="","",L173-TIME(9,0,0))</f>
        <v/>
      </c>
      <c r="N173" s="38" t="n"/>
      <c r="O173" s="38" t="n"/>
      <c r="P173" s="38" t="n"/>
      <c r="Q173" s="34">
        <f>IF(COUNT(N173:P173)=0,"",MEDIAN(N173:P173))</f>
        <v/>
      </c>
      <c r="R173" s="27" t="n"/>
    </row>
    <row r="174">
      <c r="A174" s="27" t="n"/>
      <c r="B174" s="27" t="n"/>
      <c r="C174" s="27" t="n"/>
      <c r="D174" s="27" t="n"/>
      <c r="E174" s="27" t="n"/>
      <c r="F174" s="27" t="n"/>
      <c r="G174" s="28" t="n"/>
      <c r="H174" s="28" t="n"/>
      <c r="I174" s="28" t="n"/>
      <c r="J174" s="27" t="n"/>
      <c r="K174" s="27" t="n"/>
      <c r="L174" s="36" t="n"/>
      <c r="M174" s="37">
        <f>IF(L174="","",L174-TIME(9,0,0))</f>
        <v/>
      </c>
      <c r="N174" s="38" t="n"/>
      <c r="O174" s="38" t="n"/>
      <c r="P174" s="38" t="n"/>
      <c r="Q174" s="34">
        <f>IF(COUNT(N174:P174)=0,"",MEDIAN(N174:P174))</f>
        <v/>
      </c>
      <c r="R174" s="27" t="n"/>
    </row>
    <row r="175">
      <c r="A175" s="27" t="n"/>
      <c r="B175" s="27" t="n"/>
      <c r="C175" s="27" t="n"/>
      <c r="D175" s="27" t="n"/>
      <c r="E175" s="27" t="n"/>
      <c r="F175" s="27" t="n"/>
      <c r="G175" s="28" t="n"/>
      <c r="H175" s="28" t="n"/>
      <c r="I175" s="28" t="n"/>
      <c r="J175" s="27" t="n"/>
      <c r="K175" s="27" t="n"/>
      <c r="L175" s="36" t="n"/>
      <c r="M175" s="37">
        <f>IF(L175="","",L175-TIME(9,0,0))</f>
        <v/>
      </c>
      <c r="N175" s="38" t="n"/>
      <c r="O175" s="38" t="n"/>
      <c r="P175" s="38" t="n"/>
      <c r="Q175" s="34">
        <f>IF(COUNT(N175:P175)=0,"",MEDIAN(N175:P175))</f>
        <v/>
      </c>
      <c r="R175" s="27" t="n"/>
    </row>
    <row r="176">
      <c r="A176" s="27" t="n"/>
      <c r="B176" s="27" t="n"/>
      <c r="C176" s="27" t="n"/>
      <c r="D176" s="27" t="n"/>
      <c r="E176" s="27" t="n"/>
      <c r="F176" s="27" t="n"/>
      <c r="G176" s="28" t="n"/>
      <c r="H176" s="28" t="n"/>
      <c r="I176" s="28" t="n"/>
      <c r="J176" s="27" t="n"/>
      <c r="K176" s="27" t="n"/>
      <c r="L176" s="36" t="n"/>
      <c r="M176" s="37">
        <f>IF(L176="","",L176-TIME(9,0,0))</f>
        <v/>
      </c>
      <c r="N176" s="38" t="n"/>
      <c r="O176" s="38" t="n"/>
      <c r="P176" s="38" t="n"/>
      <c r="Q176" s="34">
        <f>IF(COUNT(N176:P176)=0,"",MEDIAN(N176:P176))</f>
        <v/>
      </c>
      <c r="R176" s="27" t="n"/>
    </row>
    <row r="177">
      <c r="A177" s="27" t="n"/>
      <c r="B177" s="27" t="n"/>
      <c r="C177" s="27" t="n"/>
      <c r="D177" s="27" t="n"/>
      <c r="E177" s="27" t="n"/>
      <c r="F177" s="27" t="n"/>
      <c r="G177" s="28" t="n"/>
      <c r="H177" s="28" t="n"/>
      <c r="I177" s="28" t="n"/>
      <c r="J177" s="27" t="n"/>
      <c r="K177" s="27" t="n"/>
      <c r="L177" s="36" t="n"/>
      <c r="M177" s="37">
        <f>IF(L177="","",L177-TIME(9,0,0))</f>
        <v/>
      </c>
      <c r="N177" s="38" t="n"/>
      <c r="O177" s="38" t="n"/>
      <c r="P177" s="38" t="n"/>
      <c r="Q177" s="34">
        <f>IF(COUNT(N177:P177)=0,"",MEDIAN(N177:P177))</f>
        <v/>
      </c>
      <c r="R177" s="27" t="n"/>
    </row>
    <row r="178">
      <c r="A178" s="27" t="n"/>
      <c r="B178" s="27" t="n"/>
      <c r="C178" s="27" t="n"/>
      <c r="D178" s="27" t="n"/>
      <c r="E178" s="27" t="n"/>
      <c r="F178" s="27" t="n"/>
      <c r="G178" s="28" t="n"/>
      <c r="H178" s="28" t="n"/>
      <c r="I178" s="28" t="n"/>
      <c r="J178" s="27" t="n"/>
      <c r="K178" s="27" t="n"/>
      <c r="L178" s="36" t="n"/>
      <c r="M178" s="37">
        <f>IF(L178="","",L178-TIME(9,0,0))</f>
        <v/>
      </c>
      <c r="N178" s="38" t="n"/>
      <c r="O178" s="38" t="n"/>
      <c r="P178" s="38" t="n"/>
      <c r="Q178" s="34">
        <f>IF(COUNT(N178:P178)=0,"",MEDIAN(N178:P178))</f>
        <v/>
      </c>
      <c r="R178" s="27" t="n"/>
    </row>
    <row r="179">
      <c r="A179" s="27" t="n"/>
      <c r="B179" s="27" t="n"/>
      <c r="C179" s="27" t="n"/>
      <c r="D179" s="27" t="n"/>
      <c r="E179" s="27" t="n"/>
      <c r="F179" s="27" t="n"/>
      <c r="G179" s="28" t="n"/>
      <c r="H179" s="28" t="n"/>
      <c r="I179" s="28" t="n"/>
      <c r="J179" s="27" t="n"/>
      <c r="K179" s="27" t="n"/>
      <c r="L179" s="36" t="n"/>
      <c r="M179" s="37">
        <f>IF(L179="","",L179-TIME(9,0,0))</f>
        <v/>
      </c>
      <c r="N179" s="38" t="n"/>
      <c r="O179" s="38" t="n"/>
      <c r="P179" s="38" t="n"/>
      <c r="Q179" s="34">
        <f>IF(COUNT(N179:P179)=0,"",MEDIAN(N179:P179))</f>
        <v/>
      </c>
      <c r="R179" s="27" t="n"/>
    </row>
    <row r="180">
      <c r="A180" s="27" t="n"/>
      <c r="B180" s="27" t="n"/>
      <c r="C180" s="27" t="n"/>
      <c r="D180" s="27" t="n"/>
      <c r="E180" s="27" t="n"/>
      <c r="F180" s="27" t="n"/>
      <c r="G180" s="28" t="n"/>
      <c r="H180" s="28" t="n"/>
      <c r="I180" s="28" t="n"/>
      <c r="J180" s="27" t="n"/>
      <c r="K180" s="27" t="n"/>
      <c r="L180" s="36" t="n"/>
      <c r="M180" s="37">
        <f>IF(L180="","",L180-TIME(9,0,0))</f>
        <v/>
      </c>
      <c r="N180" s="38" t="n"/>
      <c r="O180" s="38" t="n"/>
      <c r="P180" s="38" t="n"/>
      <c r="Q180" s="34">
        <f>IF(COUNT(N180:P180)=0,"",MEDIAN(N180:P180))</f>
        <v/>
      </c>
      <c r="R180" s="27" t="n"/>
    </row>
    <row r="181">
      <c r="A181" s="27" t="n"/>
      <c r="B181" s="27" t="n"/>
      <c r="C181" s="27" t="n"/>
      <c r="D181" s="27" t="n"/>
      <c r="E181" s="27" t="n"/>
      <c r="F181" s="27" t="n"/>
      <c r="G181" s="28" t="n"/>
      <c r="H181" s="28" t="n"/>
      <c r="I181" s="28" t="n"/>
      <c r="J181" s="27" t="n"/>
      <c r="K181" s="27" t="n"/>
      <c r="L181" s="36" t="n"/>
      <c r="M181" s="37">
        <f>IF(L181="","",L181-TIME(9,0,0))</f>
        <v/>
      </c>
      <c r="N181" s="38" t="n"/>
      <c r="O181" s="38" t="n"/>
      <c r="P181" s="38" t="n"/>
      <c r="Q181" s="34">
        <f>IF(COUNT(N181:P181)=0,"",MEDIAN(N181:P181))</f>
        <v/>
      </c>
      <c r="R181" s="27" t="n"/>
    </row>
    <row r="182">
      <c r="A182" s="27" t="n"/>
      <c r="B182" s="27" t="n"/>
      <c r="C182" s="27" t="n"/>
      <c r="D182" s="27" t="n"/>
      <c r="E182" s="27" t="n"/>
      <c r="F182" s="27" t="n"/>
      <c r="G182" s="28" t="n"/>
      <c r="H182" s="28" t="n"/>
      <c r="I182" s="28" t="n"/>
      <c r="J182" s="27" t="n"/>
      <c r="K182" s="27" t="n"/>
      <c r="L182" s="36" t="n"/>
      <c r="M182" s="37">
        <f>IF(L182="","",L182-TIME(9,0,0))</f>
        <v/>
      </c>
      <c r="N182" s="38" t="n"/>
      <c r="O182" s="38" t="n"/>
      <c r="P182" s="38" t="n"/>
      <c r="Q182" s="34">
        <f>IF(COUNT(N182:P182)=0,"",MEDIAN(N182:P182))</f>
        <v/>
      </c>
      <c r="R182" s="27" t="n"/>
    </row>
    <row r="183">
      <c r="A183" s="27" t="n"/>
      <c r="B183" s="27" t="n"/>
      <c r="C183" s="27" t="n"/>
      <c r="D183" s="27" t="n"/>
      <c r="E183" s="27" t="n"/>
      <c r="F183" s="27" t="n"/>
      <c r="G183" s="28" t="n"/>
      <c r="H183" s="28" t="n"/>
      <c r="I183" s="28" t="n"/>
      <c r="J183" s="27" t="n"/>
      <c r="K183" s="27" t="n"/>
      <c r="L183" s="36" t="n"/>
      <c r="M183" s="37">
        <f>IF(L183="","",L183-TIME(9,0,0))</f>
        <v/>
      </c>
      <c r="N183" s="38" t="n"/>
      <c r="O183" s="38" t="n"/>
      <c r="P183" s="38" t="n"/>
      <c r="Q183" s="34">
        <f>IF(COUNT(N183:P183)=0,"",MEDIAN(N183:P183))</f>
        <v/>
      </c>
      <c r="R183" s="27" t="n"/>
    </row>
    <row r="184">
      <c r="A184" s="27" t="n"/>
      <c r="B184" s="27" t="n"/>
      <c r="C184" s="27" t="n"/>
      <c r="D184" s="27" t="n"/>
      <c r="E184" s="27" t="n"/>
      <c r="F184" s="27" t="n"/>
      <c r="G184" s="28" t="n"/>
      <c r="H184" s="28" t="n"/>
      <c r="I184" s="28" t="n"/>
      <c r="J184" s="27" t="n"/>
      <c r="K184" s="27" t="n"/>
      <c r="L184" s="36" t="n"/>
      <c r="M184" s="37">
        <f>IF(L184="","",L184-TIME(9,0,0))</f>
        <v/>
      </c>
      <c r="N184" s="38" t="n"/>
      <c r="O184" s="38" t="n"/>
      <c r="P184" s="38" t="n"/>
      <c r="Q184" s="34">
        <f>IF(COUNT(N184:P184)=0,"",MEDIAN(N184:P184))</f>
        <v/>
      </c>
      <c r="R184" s="27" t="n"/>
    </row>
    <row r="185">
      <c r="A185" s="27" t="n"/>
      <c r="B185" s="27" t="n"/>
      <c r="C185" s="27" t="n"/>
      <c r="D185" s="27" t="n"/>
      <c r="E185" s="27" t="n"/>
      <c r="F185" s="27" t="n"/>
      <c r="G185" s="28" t="n"/>
      <c r="H185" s="28" t="n"/>
      <c r="I185" s="28" t="n"/>
      <c r="J185" s="27" t="n"/>
      <c r="K185" s="27" t="n"/>
      <c r="L185" s="36" t="n"/>
      <c r="M185" s="37">
        <f>IF(L185="","",L185-TIME(9,0,0))</f>
        <v/>
      </c>
      <c r="N185" s="38" t="n"/>
      <c r="O185" s="38" t="n"/>
      <c r="P185" s="38" t="n"/>
      <c r="Q185" s="34">
        <f>IF(COUNT(N185:P185)=0,"",MEDIAN(N185:P185))</f>
        <v/>
      </c>
      <c r="R185" s="27" t="n"/>
    </row>
    <row r="186">
      <c r="A186" s="27" t="n"/>
      <c r="B186" s="27" t="n"/>
      <c r="C186" s="27" t="n"/>
      <c r="D186" s="27" t="n"/>
      <c r="E186" s="27" t="n"/>
      <c r="F186" s="27" t="n"/>
      <c r="G186" s="28" t="n"/>
      <c r="H186" s="28" t="n"/>
      <c r="I186" s="28" t="n"/>
      <c r="J186" s="27" t="n"/>
      <c r="K186" s="27" t="n"/>
      <c r="L186" s="36" t="n"/>
      <c r="M186" s="37">
        <f>IF(L186="","",L186-TIME(9,0,0))</f>
        <v/>
      </c>
      <c r="N186" s="38" t="n"/>
      <c r="O186" s="38" t="n"/>
      <c r="P186" s="38" t="n"/>
      <c r="Q186" s="34">
        <f>IF(COUNT(N186:P186)=0,"",MEDIAN(N186:P186))</f>
        <v/>
      </c>
      <c r="R186" s="27" t="n"/>
    </row>
    <row r="187">
      <c r="A187" s="27" t="n"/>
      <c r="B187" s="27" t="n"/>
      <c r="C187" s="27" t="n"/>
      <c r="D187" s="27" t="n"/>
      <c r="E187" s="27" t="n"/>
      <c r="F187" s="27" t="n"/>
      <c r="G187" s="28" t="n"/>
      <c r="H187" s="28" t="n"/>
      <c r="I187" s="28" t="n"/>
      <c r="J187" s="27" t="n"/>
      <c r="K187" s="27" t="n"/>
      <c r="L187" s="36" t="n"/>
      <c r="M187" s="37">
        <f>IF(L187="","",L187-TIME(9,0,0))</f>
        <v/>
      </c>
      <c r="N187" s="38" t="n"/>
      <c r="O187" s="38" t="n"/>
      <c r="P187" s="38" t="n"/>
      <c r="Q187" s="34">
        <f>IF(COUNT(N187:P187)=0,"",MEDIAN(N187:P187))</f>
        <v/>
      </c>
      <c r="R187" s="27" t="n"/>
    </row>
    <row r="188">
      <c r="A188" s="27" t="n"/>
      <c r="B188" s="27" t="n"/>
      <c r="C188" s="27" t="n"/>
      <c r="D188" s="27" t="n"/>
      <c r="E188" s="27" t="n"/>
      <c r="F188" s="27" t="n"/>
      <c r="G188" s="28" t="n"/>
      <c r="H188" s="28" t="n"/>
      <c r="I188" s="28" t="n"/>
      <c r="J188" s="27" t="n"/>
      <c r="K188" s="27" t="n"/>
      <c r="L188" s="36" t="n"/>
      <c r="M188" s="37">
        <f>IF(L188="","",L188-TIME(9,0,0))</f>
        <v/>
      </c>
      <c r="N188" s="38" t="n"/>
      <c r="O188" s="38" t="n"/>
      <c r="P188" s="38" t="n"/>
      <c r="Q188" s="34">
        <f>IF(COUNT(N188:P188)=0,"",MEDIAN(N188:P188))</f>
        <v/>
      </c>
      <c r="R188" s="27" t="n"/>
    </row>
    <row r="189">
      <c r="A189" s="27" t="n"/>
      <c r="B189" s="27" t="n"/>
      <c r="C189" s="27" t="n"/>
      <c r="D189" s="27" t="n"/>
      <c r="E189" s="27" t="n"/>
      <c r="F189" s="27" t="n"/>
      <c r="G189" s="28" t="n"/>
      <c r="H189" s="28" t="n"/>
      <c r="I189" s="28" t="n"/>
      <c r="J189" s="27" t="n"/>
      <c r="K189" s="27" t="n"/>
      <c r="L189" s="36" t="n"/>
      <c r="M189" s="37">
        <f>IF(L189="","",L189-TIME(9,0,0))</f>
        <v/>
      </c>
      <c r="N189" s="38" t="n"/>
      <c r="O189" s="38" t="n"/>
      <c r="P189" s="38" t="n"/>
      <c r="Q189" s="34">
        <f>IF(COUNT(N189:P189)=0,"",MEDIAN(N189:P189))</f>
        <v/>
      </c>
      <c r="R189" s="27" t="n"/>
    </row>
    <row r="190">
      <c r="A190" s="27" t="n"/>
      <c r="B190" s="27" t="n"/>
      <c r="C190" s="27" t="n"/>
      <c r="D190" s="27" t="n"/>
      <c r="E190" s="27" t="n"/>
      <c r="F190" s="27" t="n"/>
      <c r="G190" s="28" t="n"/>
      <c r="H190" s="28" t="n"/>
      <c r="I190" s="28" t="n"/>
      <c r="J190" s="27" t="n"/>
      <c r="K190" s="27" t="n"/>
      <c r="L190" s="36" t="n"/>
      <c r="M190" s="37">
        <f>IF(L190="","",L190-TIME(9,0,0))</f>
        <v/>
      </c>
      <c r="N190" s="38" t="n"/>
      <c r="O190" s="38" t="n"/>
      <c r="P190" s="38" t="n"/>
      <c r="Q190" s="34">
        <f>IF(COUNT(N190:P190)=0,"",MEDIAN(N190:P190))</f>
        <v/>
      </c>
      <c r="R190" s="27" t="n"/>
    </row>
    <row r="191">
      <c r="A191" s="27" t="n"/>
      <c r="B191" s="27" t="n"/>
      <c r="C191" s="27" t="n"/>
      <c r="D191" s="27" t="n"/>
      <c r="E191" s="27" t="n"/>
      <c r="F191" s="27" t="n"/>
      <c r="G191" s="28" t="n"/>
      <c r="H191" s="28" t="n"/>
      <c r="I191" s="28" t="n"/>
      <c r="J191" s="27" t="n"/>
      <c r="K191" s="27" t="n"/>
      <c r="L191" s="36" t="n"/>
      <c r="M191" s="37">
        <f>IF(L191="","",L191-TIME(9,0,0))</f>
        <v/>
      </c>
      <c r="N191" s="38" t="n"/>
      <c r="O191" s="38" t="n"/>
      <c r="P191" s="38" t="n"/>
      <c r="Q191" s="34">
        <f>IF(COUNT(N191:P191)=0,"",MEDIAN(N191:P191))</f>
        <v/>
      </c>
      <c r="R191" s="27" t="n"/>
    </row>
    <row r="192">
      <c r="A192" s="27" t="n"/>
      <c r="B192" s="27" t="n"/>
      <c r="C192" s="27" t="n"/>
      <c r="D192" s="27" t="n"/>
      <c r="E192" s="27" t="n"/>
      <c r="F192" s="27" t="n"/>
      <c r="G192" s="28" t="n"/>
      <c r="H192" s="28" t="n"/>
      <c r="I192" s="28" t="n"/>
      <c r="J192" s="27" t="n"/>
      <c r="K192" s="27" t="n"/>
      <c r="L192" s="36" t="n"/>
      <c r="M192" s="37">
        <f>IF(L192="","",L192-TIME(9,0,0))</f>
        <v/>
      </c>
      <c r="N192" s="38" t="n"/>
      <c r="O192" s="38" t="n"/>
      <c r="P192" s="38" t="n"/>
      <c r="Q192" s="34">
        <f>IF(COUNT(N192:P192)=0,"",MEDIAN(N192:P192))</f>
        <v/>
      </c>
      <c r="R192" s="27" t="n"/>
    </row>
    <row r="193">
      <c r="A193" s="27" t="n"/>
      <c r="B193" s="27" t="n"/>
      <c r="C193" s="27" t="n"/>
      <c r="D193" s="27" t="n"/>
      <c r="E193" s="27" t="n"/>
      <c r="F193" s="27" t="n"/>
      <c r="G193" s="28" t="n"/>
      <c r="H193" s="28" t="n"/>
      <c r="I193" s="28" t="n"/>
      <c r="J193" s="27" t="n"/>
      <c r="K193" s="27" t="n"/>
      <c r="L193" s="36" t="n"/>
      <c r="M193" s="37">
        <f>IF(L193="","",L193-TIME(9,0,0))</f>
        <v/>
      </c>
      <c r="N193" s="38" t="n"/>
      <c r="O193" s="38" t="n"/>
      <c r="P193" s="38" t="n"/>
      <c r="Q193" s="34">
        <f>IF(COUNT(N193:P193)=0,"",MEDIAN(N193:P193))</f>
        <v/>
      </c>
      <c r="R193" s="27" t="n"/>
    </row>
    <row r="194">
      <c r="A194" s="27" t="n"/>
      <c r="B194" s="27" t="n"/>
      <c r="C194" s="27" t="n"/>
      <c r="D194" s="27" t="n"/>
      <c r="E194" s="27" t="n"/>
      <c r="F194" s="27" t="n"/>
      <c r="G194" s="28" t="n"/>
      <c r="H194" s="28" t="n"/>
      <c r="I194" s="28" t="n"/>
      <c r="J194" s="27" t="n"/>
      <c r="K194" s="27" t="n"/>
      <c r="L194" s="36" t="n"/>
      <c r="M194" s="37">
        <f>IF(L194="","",L194-TIME(9,0,0))</f>
        <v/>
      </c>
      <c r="N194" s="38" t="n"/>
      <c r="O194" s="38" t="n"/>
      <c r="P194" s="38" t="n"/>
      <c r="Q194" s="34">
        <f>IF(COUNT(N194:P194)=0,"",MEDIAN(N194:P194))</f>
        <v/>
      </c>
      <c r="R194" s="27" t="n"/>
    </row>
    <row r="195">
      <c r="A195" s="27" t="n"/>
      <c r="B195" s="27" t="n"/>
      <c r="C195" s="27" t="n"/>
      <c r="D195" s="27" t="n"/>
      <c r="E195" s="27" t="n"/>
      <c r="F195" s="27" t="n"/>
      <c r="G195" s="28" t="n"/>
      <c r="H195" s="28" t="n"/>
      <c r="I195" s="28" t="n"/>
      <c r="J195" s="27" t="n"/>
      <c r="K195" s="27" t="n"/>
      <c r="L195" s="36" t="n"/>
      <c r="M195" s="37">
        <f>IF(L195="","",L195-TIME(9,0,0))</f>
        <v/>
      </c>
      <c r="N195" s="38" t="n"/>
      <c r="O195" s="38" t="n"/>
      <c r="P195" s="38" t="n"/>
      <c r="Q195" s="34">
        <f>IF(COUNT(N195:P195)=0,"",MEDIAN(N195:P195))</f>
        <v/>
      </c>
      <c r="R195" s="27" t="n"/>
    </row>
    <row r="196">
      <c r="A196" s="27" t="n"/>
      <c r="B196" s="27" t="n"/>
      <c r="C196" s="27" t="n"/>
      <c r="D196" s="27" t="n"/>
      <c r="E196" s="27" t="n"/>
      <c r="F196" s="27" t="n"/>
      <c r="G196" s="28" t="n"/>
      <c r="H196" s="28" t="n"/>
      <c r="I196" s="28" t="n"/>
      <c r="J196" s="27" t="n"/>
      <c r="K196" s="27" t="n"/>
      <c r="L196" s="36" t="n"/>
      <c r="M196" s="37">
        <f>IF(L196="","",L196-TIME(9,0,0))</f>
        <v/>
      </c>
      <c r="N196" s="38" t="n"/>
      <c r="O196" s="38" t="n"/>
      <c r="P196" s="38" t="n"/>
      <c r="Q196" s="34">
        <f>IF(COUNT(N196:P196)=0,"",MEDIAN(N196:P196))</f>
        <v/>
      </c>
      <c r="R196" s="27" t="n"/>
    </row>
    <row r="197">
      <c r="A197" s="27" t="n"/>
      <c r="B197" s="27" t="n"/>
      <c r="C197" s="27" t="n"/>
      <c r="D197" s="27" t="n"/>
      <c r="E197" s="27" t="n"/>
      <c r="F197" s="27" t="n"/>
      <c r="G197" s="28" t="n"/>
      <c r="H197" s="28" t="n"/>
      <c r="I197" s="28" t="n"/>
      <c r="J197" s="27" t="n"/>
      <c r="K197" s="27" t="n"/>
      <c r="L197" s="36" t="n"/>
      <c r="M197" s="37">
        <f>IF(L197="","",L197-TIME(9,0,0))</f>
        <v/>
      </c>
      <c r="N197" s="38" t="n"/>
      <c r="O197" s="38" t="n"/>
      <c r="P197" s="38" t="n"/>
      <c r="Q197" s="34">
        <f>IF(COUNT(N197:P197)=0,"",MEDIAN(N197:P197))</f>
        <v/>
      </c>
      <c r="R197" s="27" t="n"/>
    </row>
    <row r="198">
      <c r="A198" s="27" t="n"/>
      <c r="B198" s="27" t="n"/>
      <c r="C198" s="27" t="n"/>
      <c r="D198" s="27" t="n"/>
      <c r="E198" s="27" t="n"/>
      <c r="F198" s="27" t="n"/>
      <c r="G198" s="28" t="n"/>
      <c r="H198" s="28" t="n"/>
      <c r="I198" s="28" t="n"/>
      <c r="J198" s="27" t="n"/>
      <c r="K198" s="27" t="n"/>
      <c r="L198" s="36" t="n"/>
      <c r="M198" s="37">
        <f>IF(L198="","",L198-TIME(9,0,0))</f>
        <v/>
      </c>
      <c r="N198" s="38" t="n"/>
      <c r="O198" s="38" t="n"/>
      <c r="P198" s="38" t="n"/>
      <c r="Q198" s="34">
        <f>IF(COUNT(N198:P198)=0,"",MEDIAN(N198:P198))</f>
        <v/>
      </c>
      <c r="R198" s="27" t="n"/>
    </row>
    <row r="199">
      <c r="A199" s="27" t="n"/>
      <c r="B199" s="27" t="n"/>
      <c r="C199" s="27" t="n"/>
      <c r="D199" s="27" t="n"/>
      <c r="E199" s="27" t="n"/>
      <c r="F199" s="27" t="n"/>
      <c r="G199" s="28" t="n"/>
      <c r="H199" s="28" t="n"/>
      <c r="I199" s="28" t="n"/>
      <c r="J199" s="27" t="n"/>
      <c r="K199" s="27" t="n"/>
      <c r="L199" s="36" t="n"/>
      <c r="M199" s="37">
        <f>IF(L199="","",L199-TIME(9,0,0))</f>
        <v/>
      </c>
      <c r="N199" s="38" t="n"/>
      <c r="O199" s="38" t="n"/>
      <c r="P199" s="38" t="n"/>
      <c r="Q199" s="34">
        <f>IF(COUNT(N199:P199)=0,"",MEDIAN(N199:P199))</f>
        <v/>
      </c>
      <c r="R199" s="27" t="n"/>
    </row>
    <row r="200">
      <c r="A200" s="27" t="n"/>
      <c r="B200" s="27" t="n"/>
      <c r="C200" s="27" t="n"/>
      <c r="D200" s="27" t="n"/>
      <c r="E200" s="27" t="n"/>
      <c r="F200" s="27" t="n"/>
      <c r="G200" s="28" t="n"/>
      <c r="H200" s="28" t="n"/>
      <c r="I200" s="28" t="n"/>
      <c r="J200" s="27" t="n"/>
      <c r="K200" s="27" t="n"/>
      <c r="L200" s="36" t="n"/>
      <c r="M200" s="37">
        <f>IF(L200="","",L200-TIME(9,0,0))</f>
        <v/>
      </c>
      <c r="N200" s="38" t="n"/>
      <c r="O200" s="38" t="n"/>
      <c r="P200" s="38" t="n"/>
      <c r="Q200" s="34">
        <f>IF(COUNT(N200:P200)=0,"",MEDIAN(N200:P200))</f>
        <v/>
      </c>
      <c r="R200" s="27" t="n"/>
    </row>
    <row r="201">
      <c r="A201" s="27" t="n"/>
      <c r="B201" s="27" t="n"/>
      <c r="C201" s="27" t="n"/>
      <c r="D201" s="27" t="n"/>
      <c r="E201" s="27" t="n"/>
      <c r="F201" s="27" t="n"/>
      <c r="G201" s="28" t="n"/>
      <c r="H201" s="28" t="n"/>
      <c r="I201" s="28" t="n"/>
      <c r="J201" s="27" t="n"/>
      <c r="K201" s="27" t="n"/>
      <c r="L201" s="36" t="n"/>
      <c r="M201" s="37">
        <f>IF(L201="","",L201-TIME(9,0,0))</f>
        <v/>
      </c>
      <c r="N201" s="38" t="n"/>
      <c r="O201" s="38" t="n"/>
      <c r="P201" s="38" t="n"/>
      <c r="Q201" s="34">
        <f>IF(COUNT(N201:P201)=0,"",MEDIAN(N201:P201))</f>
        <v/>
      </c>
      <c r="R201" s="27" t="n"/>
    </row>
    <row r="202">
      <c r="A202" s="27" t="n"/>
      <c r="B202" s="27" t="n"/>
      <c r="C202" s="27" t="n"/>
      <c r="D202" s="27" t="n"/>
      <c r="E202" s="27" t="n"/>
      <c r="F202" s="27" t="n"/>
      <c r="G202" s="28" t="n"/>
      <c r="H202" s="28" t="n"/>
      <c r="I202" s="28" t="n"/>
      <c r="J202" s="27" t="n"/>
      <c r="K202" s="27" t="n"/>
      <c r="L202" s="36" t="n"/>
      <c r="M202" s="37">
        <f>IF(L202="","",L202-TIME(9,0,0))</f>
        <v/>
      </c>
      <c r="N202" s="38" t="n"/>
      <c r="O202" s="38" t="n"/>
      <c r="P202" s="38" t="n"/>
      <c r="Q202" s="34">
        <f>IF(COUNT(N202:P202)=0,"",MEDIAN(N202:P202))</f>
        <v/>
      </c>
      <c r="R202" s="27" t="n"/>
    </row>
    <row r="203">
      <c r="A203" s="27" t="n"/>
      <c r="B203" s="27" t="n"/>
      <c r="C203" s="27" t="n"/>
      <c r="D203" s="27" t="n"/>
      <c r="E203" s="27" t="n"/>
      <c r="F203" s="27" t="n"/>
      <c r="G203" s="28" t="n"/>
      <c r="H203" s="28" t="n"/>
      <c r="I203" s="28" t="n"/>
      <c r="J203" s="27" t="n"/>
      <c r="K203" s="27" t="n"/>
      <c r="L203" s="36" t="n"/>
      <c r="M203" s="37">
        <f>IF(L203="","",L203-TIME(9,0,0))</f>
        <v/>
      </c>
      <c r="N203" s="38" t="n"/>
      <c r="O203" s="38" t="n"/>
      <c r="P203" s="38" t="n"/>
      <c r="Q203" s="34">
        <f>IF(COUNT(N203:P203)=0,"",MEDIAN(N203:P203))</f>
        <v/>
      </c>
      <c r="R203" s="27" t="n"/>
    </row>
    <row r="204">
      <c r="A204" s="27" t="n"/>
      <c r="B204" s="27" t="n"/>
      <c r="C204" s="27" t="n"/>
      <c r="D204" s="27" t="n"/>
      <c r="E204" s="27" t="n"/>
      <c r="F204" s="27" t="n"/>
      <c r="G204" s="28" t="n"/>
      <c r="H204" s="28" t="n"/>
      <c r="I204" s="28" t="n"/>
      <c r="J204" s="27" t="n"/>
      <c r="K204" s="27" t="n"/>
      <c r="L204" s="36" t="n"/>
      <c r="M204" s="37">
        <f>IF(L204="","",L204-TIME(9,0,0))</f>
        <v/>
      </c>
      <c r="N204" s="38" t="n"/>
      <c r="O204" s="38" t="n"/>
      <c r="P204" s="38" t="n"/>
      <c r="Q204" s="34">
        <f>IF(COUNT(N204:P204)=0,"",MEDIAN(N204:P204))</f>
        <v/>
      </c>
      <c r="R204" s="27" t="n"/>
    </row>
    <row r="205">
      <c r="A205" s="27" t="n"/>
      <c r="B205" s="27" t="n"/>
      <c r="C205" s="27" t="n"/>
      <c r="D205" s="27" t="n"/>
      <c r="E205" s="27" t="n"/>
      <c r="F205" s="27" t="n"/>
      <c r="G205" s="28" t="n"/>
      <c r="H205" s="28" t="n"/>
      <c r="I205" s="28" t="n"/>
      <c r="J205" s="27" t="n"/>
      <c r="K205" s="27" t="n"/>
      <c r="L205" s="36" t="n"/>
      <c r="M205" s="37">
        <f>IF(L205="","",L205-TIME(9,0,0))</f>
        <v/>
      </c>
      <c r="N205" s="38" t="n"/>
      <c r="O205" s="38" t="n"/>
      <c r="P205" s="38" t="n"/>
      <c r="Q205" s="34">
        <f>IF(COUNT(N205:P205)=0,"",MEDIAN(N205:P205))</f>
        <v/>
      </c>
      <c r="R205" s="27" t="n"/>
    </row>
    <row r="206">
      <c r="A206" s="27" t="n"/>
      <c r="B206" s="27" t="n"/>
      <c r="C206" s="27" t="n"/>
      <c r="D206" s="27" t="n"/>
      <c r="E206" s="27" t="n"/>
      <c r="F206" s="27" t="n"/>
      <c r="G206" s="28" t="n"/>
      <c r="H206" s="28" t="n"/>
      <c r="I206" s="28" t="n"/>
      <c r="J206" s="27" t="n"/>
      <c r="K206" s="27" t="n"/>
      <c r="L206" s="36" t="n"/>
      <c r="M206" s="37">
        <f>IF(L206="","",L206-TIME(9,0,0))</f>
        <v/>
      </c>
      <c r="N206" s="38" t="n"/>
      <c r="O206" s="38" t="n"/>
      <c r="P206" s="38" t="n"/>
      <c r="Q206" s="34">
        <f>IF(COUNT(N206:P206)=0,"",MEDIAN(N206:P206))</f>
        <v/>
      </c>
      <c r="R206" s="27" t="n"/>
    </row>
    <row r="207">
      <c r="A207" s="27" t="n"/>
      <c r="B207" s="27" t="n"/>
      <c r="C207" s="27" t="n"/>
      <c r="D207" s="27" t="n"/>
      <c r="E207" s="27" t="n"/>
      <c r="F207" s="27" t="n"/>
      <c r="G207" s="28" t="n"/>
      <c r="H207" s="28" t="n"/>
      <c r="I207" s="28" t="n"/>
      <c r="J207" s="27" t="n"/>
      <c r="K207" s="27" t="n"/>
      <c r="L207" s="36" t="n"/>
      <c r="M207" s="37">
        <f>IF(L207="","",L207-TIME(9,0,0))</f>
        <v/>
      </c>
      <c r="N207" s="38" t="n"/>
      <c r="O207" s="38" t="n"/>
      <c r="P207" s="38" t="n"/>
      <c r="Q207" s="34">
        <f>IF(COUNT(N207:P207)=0,"",MEDIAN(N207:P207))</f>
        <v/>
      </c>
      <c r="R207" s="27" t="n"/>
    </row>
    <row r="208">
      <c r="A208" s="27" t="n"/>
      <c r="B208" s="27" t="n"/>
      <c r="C208" s="27" t="n"/>
      <c r="D208" s="27" t="n"/>
      <c r="E208" s="27" t="n"/>
      <c r="F208" s="27" t="n"/>
      <c r="G208" s="28" t="n"/>
      <c r="H208" s="28" t="n"/>
      <c r="I208" s="28" t="n"/>
      <c r="J208" s="27" t="n"/>
      <c r="K208" s="27" t="n"/>
      <c r="L208" s="36" t="n"/>
      <c r="M208" s="37">
        <f>IF(L208="","",L208-TIME(9,0,0))</f>
        <v/>
      </c>
      <c r="N208" s="38" t="n"/>
      <c r="O208" s="38" t="n"/>
      <c r="P208" s="38" t="n"/>
      <c r="Q208" s="34">
        <f>IF(COUNT(N208:P208)=0,"",MEDIAN(N208:P208))</f>
        <v/>
      </c>
      <c r="R208" s="27" t="n"/>
    </row>
    <row r="209">
      <c r="A209" s="27" t="n"/>
      <c r="B209" s="27" t="n"/>
      <c r="C209" s="27" t="n"/>
      <c r="D209" s="27" t="n"/>
      <c r="E209" s="27" t="n"/>
      <c r="F209" s="27" t="n"/>
      <c r="G209" s="28" t="n"/>
      <c r="H209" s="28" t="n"/>
      <c r="I209" s="28" t="n"/>
      <c r="J209" s="27" t="n"/>
      <c r="K209" s="27" t="n"/>
      <c r="L209" s="36" t="n"/>
      <c r="M209" s="37">
        <f>IF(L209="","",L209-TIME(9,0,0))</f>
        <v/>
      </c>
      <c r="N209" s="38" t="n"/>
      <c r="O209" s="38" t="n"/>
      <c r="P209" s="38" t="n"/>
      <c r="Q209" s="34">
        <f>IF(COUNT(N209:P209)=0,"",MEDIAN(N209:P209))</f>
        <v/>
      </c>
      <c r="R209" s="27" t="n"/>
    </row>
    <row r="210">
      <c r="A210" s="27" t="n"/>
      <c r="B210" s="27" t="n"/>
      <c r="C210" s="27" t="n"/>
      <c r="D210" s="27" t="n"/>
      <c r="E210" s="27" t="n"/>
      <c r="F210" s="27" t="n"/>
      <c r="G210" s="28" t="n"/>
      <c r="H210" s="28" t="n"/>
      <c r="I210" s="28" t="n"/>
      <c r="J210" s="27" t="n"/>
      <c r="K210" s="27" t="n"/>
      <c r="L210" s="36" t="n"/>
      <c r="M210" s="37">
        <f>IF(L210="","",L210-TIME(9,0,0))</f>
        <v/>
      </c>
      <c r="N210" s="38" t="n"/>
      <c r="O210" s="38" t="n"/>
      <c r="P210" s="38" t="n"/>
      <c r="Q210" s="34">
        <f>IF(COUNT(N210:P210)=0,"",MEDIAN(N210:P210))</f>
        <v/>
      </c>
      <c r="R210" s="27" t="n"/>
    </row>
    <row r="211">
      <c r="A211" s="27" t="n"/>
      <c r="B211" s="27" t="n"/>
      <c r="C211" s="27" t="n"/>
      <c r="D211" s="27" t="n"/>
      <c r="E211" s="27" t="n"/>
      <c r="F211" s="27" t="n"/>
      <c r="G211" s="28" t="n"/>
      <c r="H211" s="28" t="n"/>
      <c r="I211" s="28" t="n"/>
      <c r="J211" s="27" t="n"/>
      <c r="K211" s="27" t="n"/>
      <c r="L211" s="36" t="n"/>
      <c r="M211" s="37">
        <f>IF(L211="","",L211-TIME(9,0,0))</f>
        <v/>
      </c>
      <c r="N211" s="38" t="n"/>
      <c r="O211" s="38" t="n"/>
      <c r="P211" s="38" t="n"/>
      <c r="Q211" s="34">
        <f>IF(COUNT(N211:P211)=0,"",MEDIAN(N211:P211))</f>
        <v/>
      </c>
      <c r="R211" s="27" t="n"/>
    </row>
    <row r="212">
      <c r="A212" s="27" t="n"/>
      <c r="B212" s="27" t="n"/>
      <c r="C212" s="27" t="n"/>
      <c r="D212" s="27" t="n"/>
      <c r="E212" s="27" t="n"/>
      <c r="F212" s="27" t="n"/>
      <c r="G212" s="28" t="n"/>
      <c r="H212" s="28" t="n"/>
      <c r="I212" s="28" t="n"/>
      <c r="J212" s="27" t="n"/>
      <c r="K212" s="27" t="n"/>
      <c r="L212" s="36" t="n"/>
      <c r="M212" s="37">
        <f>IF(L212="","",L212-TIME(9,0,0))</f>
        <v/>
      </c>
      <c r="N212" s="38" t="n"/>
      <c r="O212" s="38" t="n"/>
      <c r="P212" s="38" t="n"/>
      <c r="Q212" s="34">
        <f>IF(COUNT(N212:P212)=0,"",MEDIAN(N212:P212))</f>
        <v/>
      </c>
      <c r="R212" s="27" t="n"/>
    </row>
    <row r="213">
      <c r="A213" s="27" t="n"/>
      <c r="B213" s="27" t="n"/>
      <c r="C213" s="27" t="n"/>
      <c r="D213" s="27" t="n"/>
      <c r="E213" s="27" t="n"/>
      <c r="F213" s="27" t="n"/>
      <c r="G213" s="28" t="n"/>
      <c r="H213" s="28" t="n"/>
      <c r="I213" s="28" t="n"/>
      <c r="J213" s="27" t="n"/>
      <c r="K213" s="27" t="n"/>
      <c r="L213" s="36" t="n"/>
      <c r="M213" s="37">
        <f>IF(L213="","",L213-TIME(9,0,0))</f>
        <v/>
      </c>
      <c r="N213" s="38" t="n"/>
      <c r="O213" s="38" t="n"/>
      <c r="P213" s="38" t="n"/>
      <c r="Q213" s="34">
        <f>IF(COUNT(N213:P213)=0,"",MEDIAN(N213:P213))</f>
        <v/>
      </c>
      <c r="R213" s="27" t="n"/>
    </row>
    <row r="214">
      <c r="A214" s="27" t="n"/>
      <c r="B214" s="27" t="n"/>
      <c r="C214" s="27" t="n"/>
      <c r="D214" s="27" t="n"/>
      <c r="E214" s="27" t="n"/>
      <c r="F214" s="27" t="n"/>
      <c r="G214" s="28" t="n"/>
      <c r="H214" s="28" t="n"/>
      <c r="I214" s="28" t="n"/>
      <c r="J214" s="27" t="n"/>
      <c r="K214" s="27" t="n"/>
      <c r="L214" s="36" t="n"/>
      <c r="M214" s="37">
        <f>IF(L214="","",L214-TIME(9,0,0))</f>
        <v/>
      </c>
      <c r="N214" s="38" t="n"/>
      <c r="O214" s="38" t="n"/>
      <c r="P214" s="38" t="n"/>
      <c r="Q214" s="34">
        <f>IF(COUNT(N214:P214)=0,"",MEDIAN(N214:P214))</f>
        <v/>
      </c>
      <c r="R214" s="27" t="n"/>
    </row>
    <row r="215">
      <c r="A215" s="27" t="n"/>
      <c r="B215" s="27" t="n"/>
      <c r="C215" s="27" t="n"/>
      <c r="D215" s="27" t="n"/>
      <c r="E215" s="27" t="n"/>
      <c r="F215" s="27" t="n"/>
      <c r="G215" s="28" t="n"/>
      <c r="H215" s="28" t="n"/>
      <c r="I215" s="28" t="n"/>
      <c r="J215" s="27" t="n"/>
      <c r="K215" s="27" t="n"/>
      <c r="L215" s="36" t="n"/>
      <c r="M215" s="37">
        <f>IF(L215="","",L215-TIME(9,0,0))</f>
        <v/>
      </c>
      <c r="N215" s="38" t="n"/>
      <c r="O215" s="38" t="n"/>
      <c r="P215" s="38" t="n"/>
      <c r="Q215" s="34">
        <f>IF(COUNT(N215:P215)=0,"",MEDIAN(N215:P215))</f>
        <v/>
      </c>
      <c r="R215" s="27" t="n"/>
    </row>
    <row r="216">
      <c r="A216" s="27" t="n"/>
      <c r="B216" s="27" t="n"/>
      <c r="C216" s="27" t="n"/>
      <c r="D216" s="27" t="n"/>
      <c r="E216" s="27" t="n"/>
      <c r="F216" s="27" t="n"/>
      <c r="G216" s="28" t="n"/>
      <c r="H216" s="28" t="n"/>
      <c r="I216" s="28" t="n"/>
      <c r="J216" s="27" t="n"/>
      <c r="K216" s="27" t="n"/>
      <c r="L216" s="36" t="n"/>
      <c r="M216" s="37">
        <f>IF(L216="","",L216-TIME(9,0,0))</f>
        <v/>
      </c>
      <c r="N216" s="38" t="n"/>
      <c r="O216" s="38" t="n"/>
      <c r="P216" s="38" t="n"/>
      <c r="Q216" s="34">
        <f>IF(COUNT(N216:P216)=0,"",MEDIAN(N216:P216))</f>
        <v/>
      </c>
      <c r="R216" s="27" t="n"/>
    </row>
    <row r="217">
      <c r="A217" s="27" t="n"/>
      <c r="B217" s="27" t="n"/>
      <c r="C217" s="27" t="n"/>
      <c r="D217" s="27" t="n"/>
      <c r="E217" s="27" t="n"/>
      <c r="F217" s="27" t="n"/>
      <c r="G217" s="28" t="n"/>
      <c r="H217" s="28" t="n"/>
      <c r="I217" s="28" t="n"/>
      <c r="J217" s="27" t="n"/>
      <c r="K217" s="27" t="n"/>
      <c r="L217" s="36" t="n"/>
      <c r="M217" s="37">
        <f>IF(L217="","",L217-TIME(9,0,0))</f>
        <v/>
      </c>
      <c r="N217" s="38" t="n"/>
      <c r="O217" s="38" t="n"/>
      <c r="P217" s="38" t="n"/>
      <c r="Q217" s="34">
        <f>IF(COUNT(N217:P217)=0,"",MEDIAN(N217:P217))</f>
        <v/>
      </c>
      <c r="R217" s="27" t="n"/>
    </row>
    <row r="218">
      <c r="A218" s="27" t="n"/>
      <c r="B218" s="27" t="n"/>
      <c r="C218" s="27" t="n"/>
      <c r="D218" s="27" t="n"/>
      <c r="E218" s="27" t="n"/>
      <c r="F218" s="27" t="n"/>
      <c r="G218" s="28" t="n"/>
      <c r="H218" s="28" t="n"/>
      <c r="I218" s="28" t="n"/>
      <c r="J218" s="27" t="n"/>
      <c r="K218" s="27" t="n"/>
      <c r="L218" s="36" t="n"/>
      <c r="M218" s="37">
        <f>IF(L218="","",L218-TIME(9,0,0))</f>
        <v/>
      </c>
      <c r="N218" s="38" t="n"/>
      <c r="O218" s="38" t="n"/>
      <c r="P218" s="38" t="n"/>
      <c r="Q218" s="34">
        <f>IF(COUNT(N218:P218)=0,"",MEDIAN(N218:P218))</f>
        <v/>
      </c>
      <c r="R218" s="27" t="n"/>
    </row>
    <row r="219">
      <c r="A219" s="27" t="n"/>
      <c r="B219" s="27" t="n"/>
      <c r="C219" s="27" t="n"/>
      <c r="D219" s="27" t="n"/>
      <c r="E219" s="27" t="n"/>
      <c r="F219" s="27" t="n"/>
      <c r="G219" s="28" t="n"/>
      <c r="H219" s="28" t="n"/>
      <c r="I219" s="28" t="n"/>
      <c r="J219" s="27" t="n"/>
      <c r="K219" s="27" t="n"/>
      <c r="L219" s="36" t="n"/>
      <c r="M219" s="37">
        <f>IF(L219="","",L219-TIME(9,0,0))</f>
        <v/>
      </c>
      <c r="N219" s="38" t="n"/>
      <c r="O219" s="38" t="n"/>
      <c r="P219" s="38" t="n"/>
      <c r="Q219" s="34">
        <f>IF(COUNT(N219:P219)=0,"",MEDIAN(N219:P219))</f>
        <v/>
      </c>
      <c r="R219" s="27" t="n"/>
    </row>
    <row r="220">
      <c r="A220" s="27" t="n"/>
      <c r="B220" s="27" t="n"/>
      <c r="C220" s="27" t="n"/>
      <c r="D220" s="27" t="n"/>
      <c r="E220" s="27" t="n"/>
      <c r="F220" s="27" t="n"/>
      <c r="G220" s="28" t="n"/>
      <c r="H220" s="28" t="n"/>
      <c r="I220" s="28" t="n"/>
      <c r="J220" s="27" t="n"/>
      <c r="K220" s="27" t="n"/>
      <c r="L220" s="36" t="n"/>
      <c r="M220" s="37">
        <f>IF(L220="","",L220-TIME(9,0,0))</f>
        <v/>
      </c>
      <c r="N220" s="38" t="n"/>
      <c r="O220" s="38" t="n"/>
      <c r="P220" s="38" t="n"/>
      <c r="Q220" s="34">
        <f>IF(COUNT(N220:P220)=0,"",MEDIAN(N220:P220))</f>
        <v/>
      </c>
      <c r="R220" s="27" t="n"/>
    </row>
    <row r="221">
      <c r="A221" s="27" t="n"/>
      <c r="B221" s="27" t="n"/>
      <c r="C221" s="27" t="n"/>
      <c r="D221" s="27" t="n"/>
      <c r="E221" s="27" t="n"/>
      <c r="F221" s="27" t="n"/>
      <c r="G221" s="28" t="n"/>
      <c r="H221" s="28" t="n"/>
      <c r="I221" s="28" t="n"/>
      <c r="J221" s="27" t="n"/>
      <c r="K221" s="27" t="n"/>
      <c r="L221" s="36" t="n"/>
      <c r="M221" s="37">
        <f>IF(L221="","",L221-TIME(9,0,0))</f>
        <v/>
      </c>
      <c r="N221" s="38" t="n"/>
      <c r="O221" s="38" t="n"/>
      <c r="P221" s="38" t="n"/>
      <c r="Q221" s="34">
        <f>IF(COUNT(N221:P221)=0,"",MEDIAN(N221:P221))</f>
        <v/>
      </c>
      <c r="R221" s="27" t="n"/>
    </row>
    <row r="222">
      <c r="A222" s="27" t="n"/>
      <c r="B222" s="27" t="n"/>
      <c r="C222" s="27" t="n"/>
      <c r="D222" s="27" t="n"/>
      <c r="E222" s="27" t="n"/>
      <c r="F222" s="27" t="n"/>
      <c r="G222" s="28" t="n"/>
      <c r="H222" s="28" t="n"/>
      <c r="I222" s="28" t="n"/>
      <c r="J222" s="27" t="n"/>
      <c r="K222" s="27" t="n"/>
      <c r="L222" s="36" t="n"/>
      <c r="M222" s="37">
        <f>IF(L222="","",L222-TIME(9,0,0))</f>
        <v/>
      </c>
      <c r="N222" s="38" t="n"/>
      <c r="O222" s="38" t="n"/>
      <c r="P222" s="38" t="n"/>
      <c r="Q222" s="34">
        <f>IF(COUNT(N222:P222)=0,"",MEDIAN(N222:P222))</f>
        <v/>
      </c>
      <c r="R222" s="27" t="n"/>
    </row>
    <row r="223">
      <c r="A223" s="27" t="n"/>
      <c r="B223" s="27" t="n"/>
      <c r="C223" s="27" t="n"/>
      <c r="D223" s="27" t="n"/>
      <c r="E223" s="27" t="n"/>
      <c r="F223" s="27" t="n"/>
      <c r="G223" s="28" t="n"/>
      <c r="H223" s="28" t="n"/>
      <c r="I223" s="28" t="n"/>
      <c r="J223" s="27" t="n"/>
      <c r="K223" s="27" t="n"/>
      <c r="L223" s="36" t="n"/>
      <c r="M223" s="37">
        <f>IF(L223="","",L223-TIME(9,0,0))</f>
        <v/>
      </c>
      <c r="N223" s="38" t="n"/>
      <c r="O223" s="38" t="n"/>
      <c r="P223" s="38" t="n"/>
      <c r="Q223" s="34">
        <f>IF(COUNT(N223:P223)=0,"",MEDIAN(N223:P223))</f>
        <v/>
      </c>
      <c r="R223" s="27" t="n"/>
    </row>
    <row r="224">
      <c r="A224" s="27" t="n"/>
      <c r="B224" s="27" t="n"/>
      <c r="C224" s="27" t="n"/>
      <c r="D224" s="27" t="n"/>
      <c r="E224" s="27" t="n"/>
      <c r="F224" s="27" t="n"/>
      <c r="G224" s="28" t="n"/>
      <c r="H224" s="28" t="n"/>
      <c r="I224" s="28" t="n"/>
      <c r="J224" s="27" t="n"/>
      <c r="K224" s="27" t="n"/>
      <c r="L224" s="36" t="n"/>
      <c r="M224" s="37">
        <f>IF(L224="","",L224-TIME(9,0,0))</f>
        <v/>
      </c>
      <c r="N224" s="38" t="n"/>
      <c r="O224" s="38" t="n"/>
      <c r="P224" s="38" t="n"/>
      <c r="Q224" s="34">
        <f>IF(COUNT(N224:P224)=0,"",MEDIAN(N224:P224))</f>
        <v/>
      </c>
      <c r="R224" s="27" t="n"/>
    </row>
    <row r="225">
      <c r="A225" s="27" t="n"/>
      <c r="B225" s="27" t="n"/>
      <c r="C225" s="27" t="n"/>
      <c r="D225" s="27" t="n"/>
      <c r="E225" s="27" t="n"/>
      <c r="F225" s="27" t="n"/>
      <c r="G225" s="28" t="n"/>
      <c r="H225" s="28" t="n"/>
      <c r="I225" s="28" t="n"/>
      <c r="J225" s="27" t="n"/>
      <c r="K225" s="27" t="n"/>
      <c r="L225" s="36" t="n"/>
      <c r="M225" s="37">
        <f>IF(L225="","",L225-TIME(9,0,0))</f>
        <v/>
      </c>
      <c r="N225" s="38" t="n"/>
      <c r="O225" s="38" t="n"/>
      <c r="P225" s="38" t="n"/>
      <c r="Q225" s="34">
        <f>IF(COUNT(N225:P225)=0,"",MEDIAN(N225:P225))</f>
        <v/>
      </c>
      <c r="R225" s="27" t="n"/>
    </row>
    <row r="226">
      <c r="A226" s="27" t="n"/>
      <c r="B226" s="27" t="n"/>
      <c r="C226" s="27" t="n"/>
      <c r="D226" s="27" t="n"/>
      <c r="E226" s="27" t="n"/>
      <c r="F226" s="27" t="n"/>
      <c r="G226" s="28" t="n"/>
      <c r="H226" s="28" t="n"/>
      <c r="I226" s="28" t="n"/>
      <c r="J226" s="27" t="n"/>
      <c r="K226" s="27" t="n"/>
      <c r="L226" s="36" t="n"/>
      <c r="M226" s="37">
        <f>IF(L226="","",L226-TIME(9,0,0))</f>
        <v/>
      </c>
      <c r="N226" s="38" t="n"/>
      <c r="O226" s="38" t="n"/>
      <c r="P226" s="38" t="n"/>
      <c r="Q226" s="34">
        <f>IF(COUNT(N226:P226)=0,"",MEDIAN(N226:P226))</f>
        <v/>
      </c>
      <c r="R226" s="27" t="n"/>
    </row>
    <row r="227">
      <c r="A227" s="27" t="n"/>
      <c r="B227" s="27" t="n"/>
      <c r="C227" s="27" t="n"/>
      <c r="D227" s="27" t="n"/>
      <c r="E227" s="27" t="n"/>
      <c r="F227" s="27" t="n"/>
      <c r="G227" s="28" t="n"/>
      <c r="H227" s="28" t="n"/>
      <c r="I227" s="28" t="n"/>
      <c r="J227" s="27" t="n"/>
      <c r="K227" s="27" t="n"/>
      <c r="L227" s="36" t="n"/>
      <c r="M227" s="37">
        <f>IF(L227="","",L227-TIME(9,0,0))</f>
        <v/>
      </c>
      <c r="N227" s="38" t="n"/>
      <c r="O227" s="38" t="n"/>
      <c r="P227" s="38" t="n"/>
      <c r="Q227" s="34">
        <f>IF(COUNT(N227:P227)=0,"",MEDIAN(N227:P227))</f>
        <v/>
      </c>
      <c r="R227" s="27" t="n"/>
    </row>
    <row r="228">
      <c r="A228" s="27" t="n"/>
      <c r="B228" s="27" t="n"/>
      <c r="C228" s="27" t="n"/>
      <c r="D228" s="27" t="n"/>
      <c r="E228" s="27" t="n"/>
      <c r="F228" s="27" t="n"/>
      <c r="G228" s="28" t="n"/>
      <c r="H228" s="28" t="n"/>
      <c r="I228" s="28" t="n"/>
      <c r="J228" s="27" t="n"/>
      <c r="K228" s="27" t="n"/>
      <c r="L228" s="36" t="n"/>
      <c r="M228" s="37">
        <f>IF(L228="","",L228-TIME(9,0,0))</f>
        <v/>
      </c>
      <c r="N228" s="38" t="n"/>
      <c r="O228" s="38" t="n"/>
      <c r="P228" s="38" t="n"/>
      <c r="Q228" s="34">
        <f>IF(COUNT(N228:P228)=0,"",MEDIAN(N228:P228))</f>
        <v/>
      </c>
      <c r="R228" s="27" t="n"/>
    </row>
    <row r="229">
      <c r="A229" s="27" t="n"/>
      <c r="B229" s="27" t="n"/>
      <c r="C229" s="27" t="n"/>
      <c r="D229" s="27" t="n"/>
      <c r="E229" s="27" t="n"/>
      <c r="F229" s="27" t="n"/>
      <c r="G229" s="28" t="n"/>
      <c r="H229" s="28" t="n"/>
      <c r="I229" s="28" t="n"/>
      <c r="J229" s="27" t="n"/>
      <c r="K229" s="27" t="n"/>
      <c r="L229" s="36" t="n"/>
      <c r="M229" s="37">
        <f>IF(L229="","",L229-TIME(9,0,0))</f>
        <v/>
      </c>
      <c r="N229" s="38" t="n"/>
      <c r="O229" s="38" t="n"/>
      <c r="P229" s="38" t="n"/>
      <c r="Q229" s="34">
        <f>IF(COUNT(N229:P229)=0,"",MEDIAN(N229:P229))</f>
        <v/>
      </c>
      <c r="R229" s="27" t="n"/>
    </row>
    <row r="230">
      <c r="A230" s="27" t="n"/>
      <c r="B230" s="27" t="n"/>
      <c r="C230" s="27" t="n"/>
      <c r="D230" s="27" t="n"/>
      <c r="E230" s="27" t="n"/>
      <c r="F230" s="27" t="n"/>
      <c r="G230" s="28" t="n"/>
      <c r="H230" s="28" t="n"/>
      <c r="I230" s="28" t="n"/>
      <c r="J230" s="27" t="n"/>
      <c r="K230" s="27" t="n"/>
      <c r="L230" s="36" t="n"/>
      <c r="M230" s="37">
        <f>IF(L230="","",L230-TIME(9,0,0))</f>
        <v/>
      </c>
      <c r="N230" s="38" t="n"/>
      <c r="O230" s="38" t="n"/>
      <c r="P230" s="38" t="n"/>
      <c r="Q230" s="34">
        <f>IF(COUNT(N230:P230)=0,"",MEDIAN(N230:P230))</f>
        <v/>
      </c>
      <c r="R230" s="27" t="n"/>
    </row>
    <row r="231">
      <c r="A231" s="27" t="n"/>
      <c r="B231" s="27" t="n"/>
      <c r="C231" s="27" t="n"/>
      <c r="D231" s="27" t="n"/>
      <c r="E231" s="27" t="n"/>
      <c r="F231" s="27" t="n"/>
      <c r="G231" s="28" t="n"/>
      <c r="H231" s="28" t="n"/>
      <c r="I231" s="28" t="n"/>
      <c r="J231" s="27" t="n"/>
      <c r="K231" s="27" t="n"/>
      <c r="L231" s="36" t="n"/>
      <c r="M231" s="37">
        <f>IF(L231="","",L231-TIME(9,0,0))</f>
        <v/>
      </c>
      <c r="N231" s="38" t="n"/>
      <c r="O231" s="38" t="n"/>
      <c r="P231" s="38" t="n"/>
      <c r="Q231" s="34">
        <f>IF(COUNT(N231:P231)=0,"",MEDIAN(N231:P231))</f>
        <v/>
      </c>
      <c r="R231" s="27" t="n"/>
    </row>
    <row r="232">
      <c r="A232" s="27" t="n"/>
      <c r="B232" s="27" t="n"/>
      <c r="C232" s="27" t="n"/>
      <c r="D232" s="27" t="n"/>
      <c r="E232" s="27" t="n"/>
      <c r="F232" s="27" t="n"/>
      <c r="G232" s="28" t="n"/>
      <c r="H232" s="28" t="n"/>
      <c r="I232" s="28" t="n"/>
      <c r="J232" s="27" t="n"/>
      <c r="K232" s="27" t="n"/>
      <c r="L232" s="36" t="n"/>
      <c r="M232" s="37">
        <f>IF(L232="","",L232-TIME(9,0,0))</f>
        <v/>
      </c>
      <c r="N232" s="38" t="n"/>
      <c r="O232" s="38" t="n"/>
      <c r="P232" s="38" t="n"/>
      <c r="Q232" s="34">
        <f>IF(COUNT(N232:P232)=0,"",MEDIAN(N232:P232))</f>
        <v/>
      </c>
      <c r="R232" s="27" t="n"/>
    </row>
    <row r="233">
      <c r="A233" s="27" t="n"/>
      <c r="B233" s="27" t="n"/>
      <c r="C233" s="27" t="n"/>
      <c r="D233" s="27" t="n"/>
      <c r="E233" s="27" t="n"/>
      <c r="F233" s="27" t="n"/>
      <c r="G233" s="28" t="n"/>
      <c r="H233" s="28" t="n"/>
      <c r="I233" s="28" t="n"/>
      <c r="J233" s="27" t="n"/>
      <c r="K233" s="27" t="n"/>
      <c r="L233" s="36" t="n"/>
      <c r="M233" s="37">
        <f>IF(L233="","",L233-TIME(9,0,0))</f>
        <v/>
      </c>
      <c r="N233" s="38" t="n"/>
      <c r="O233" s="38" t="n"/>
      <c r="P233" s="38" t="n"/>
      <c r="Q233" s="34">
        <f>IF(COUNT(N233:P233)=0,"",MEDIAN(N233:P233))</f>
        <v/>
      </c>
      <c r="R233" s="27" t="n"/>
    </row>
    <row r="234">
      <c r="A234" s="27" t="n"/>
      <c r="B234" s="27" t="n"/>
      <c r="C234" s="27" t="n"/>
      <c r="D234" s="27" t="n"/>
      <c r="E234" s="27" t="n"/>
      <c r="F234" s="27" t="n"/>
      <c r="G234" s="28" t="n"/>
      <c r="H234" s="28" t="n"/>
      <c r="I234" s="28" t="n"/>
      <c r="J234" s="27" t="n"/>
      <c r="K234" s="27" t="n"/>
      <c r="L234" s="36" t="n"/>
      <c r="M234" s="37">
        <f>IF(L234="","",L234-TIME(9,0,0))</f>
        <v/>
      </c>
      <c r="N234" s="38" t="n"/>
      <c r="O234" s="38" t="n"/>
      <c r="P234" s="38" t="n"/>
      <c r="Q234" s="34">
        <f>IF(COUNT(N234:P234)=0,"",MEDIAN(N234:P234))</f>
        <v/>
      </c>
      <c r="R234" s="27" t="n"/>
    </row>
    <row r="235">
      <c r="A235" s="27" t="n"/>
      <c r="B235" s="27" t="n"/>
      <c r="C235" s="27" t="n"/>
      <c r="D235" s="27" t="n"/>
      <c r="E235" s="27" t="n"/>
      <c r="F235" s="27" t="n"/>
      <c r="G235" s="28" t="n"/>
      <c r="H235" s="28" t="n"/>
      <c r="I235" s="28" t="n"/>
      <c r="J235" s="27" t="n"/>
      <c r="K235" s="27" t="n"/>
      <c r="L235" s="36" t="n"/>
      <c r="M235" s="37">
        <f>IF(L235="","",L235-TIME(9,0,0))</f>
        <v/>
      </c>
      <c r="N235" s="38" t="n"/>
      <c r="O235" s="38" t="n"/>
      <c r="P235" s="38" t="n"/>
      <c r="Q235" s="34">
        <f>IF(COUNT(N235:P235)=0,"",MEDIAN(N235:P235))</f>
        <v/>
      </c>
      <c r="R235" s="27" t="n"/>
    </row>
    <row r="236">
      <c r="A236" s="27" t="n"/>
      <c r="B236" s="27" t="n"/>
      <c r="C236" s="27" t="n"/>
      <c r="D236" s="27" t="n"/>
      <c r="E236" s="27" t="n"/>
      <c r="F236" s="27" t="n"/>
      <c r="G236" s="28" t="n"/>
      <c r="H236" s="28" t="n"/>
      <c r="I236" s="28" t="n"/>
      <c r="J236" s="27" t="n"/>
      <c r="K236" s="27" t="n"/>
      <c r="L236" s="36" t="n"/>
      <c r="M236" s="37">
        <f>IF(L236="","",L236-TIME(9,0,0))</f>
        <v/>
      </c>
      <c r="N236" s="38" t="n"/>
      <c r="O236" s="38" t="n"/>
      <c r="P236" s="38" t="n"/>
      <c r="Q236" s="34">
        <f>IF(COUNT(N236:P236)=0,"",MEDIAN(N236:P236))</f>
        <v/>
      </c>
      <c r="R236" s="27" t="n"/>
    </row>
    <row r="237">
      <c r="A237" s="27" t="n"/>
      <c r="B237" s="27" t="n"/>
      <c r="C237" s="27" t="n"/>
      <c r="D237" s="27" t="n"/>
      <c r="E237" s="27" t="n"/>
      <c r="F237" s="27" t="n"/>
      <c r="G237" s="28" t="n"/>
      <c r="H237" s="28" t="n"/>
      <c r="I237" s="28" t="n"/>
      <c r="J237" s="27" t="n"/>
      <c r="K237" s="27" t="n"/>
      <c r="L237" s="36" t="n"/>
      <c r="M237" s="37">
        <f>IF(L237="","",L237-TIME(9,0,0))</f>
        <v/>
      </c>
      <c r="N237" s="38" t="n"/>
      <c r="O237" s="38" t="n"/>
      <c r="P237" s="38" t="n"/>
      <c r="Q237" s="34">
        <f>IF(COUNT(N237:P237)=0,"",MEDIAN(N237:P237))</f>
        <v/>
      </c>
      <c r="R237" s="27" t="n"/>
    </row>
    <row r="238">
      <c r="A238" s="27" t="n"/>
      <c r="B238" s="27" t="n"/>
      <c r="C238" s="27" t="n"/>
      <c r="D238" s="27" t="n"/>
      <c r="E238" s="27" t="n"/>
      <c r="F238" s="27" t="n"/>
      <c r="G238" s="28" t="n"/>
      <c r="H238" s="28" t="n"/>
      <c r="I238" s="28" t="n"/>
      <c r="J238" s="27" t="n"/>
      <c r="K238" s="27" t="n"/>
      <c r="L238" s="36" t="n"/>
      <c r="M238" s="37">
        <f>IF(L238="","",L238-TIME(9,0,0))</f>
        <v/>
      </c>
      <c r="N238" s="38" t="n"/>
      <c r="O238" s="38" t="n"/>
      <c r="P238" s="38" t="n"/>
      <c r="Q238" s="34">
        <f>IF(COUNT(N238:P238)=0,"",MEDIAN(N238:P238))</f>
        <v/>
      </c>
      <c r="R238" s="27" t="n"/>
    </row>
    <row r="239">
      <c r="A239" s="27" t="n"/>
      <c r="B239" s="27" t="n"/>
      <c r="C239" s="27" t="n"/>
      <c r="D239" s="27" t="n"/>
      <c r="E239" s="27" t="n"/>
      <c r="F239" s="27" t="n"/>
      <c r="G239" s="28" t="n"/>
      <c r="H239" s="28" t="n"/>
      <c r="I239" s="28" t="n"/>
      <c r="J239" s="27" t="n"/>
      <c r="K239" s="27" t="n"/>
      <c r="L239" s="36" t="n"/>
      <c r="M239" s="37">
        <f>IF(L239="","",L239-TIME(9,0,0))</f>
        <v/>
      </c>
      <c r="N239" s="38" t="n"/>
      <c r="O239" s="38" t="n"/>
      <c r="P239" s="38" t="n"/>
      <c r="Q239" s="34">
        <f>IF(COUNT(N239:P239)=0,"",MEDIAN(N239:P239))</f>
        <v/>
      </c>
      <c r="R239" s="27" t="n"/>
    </row>
    <row r="240">
      <c r="A240" s="27" t="n"/>
      <c r="B240" s="27" t="n"/>
      <c r="C240" s="27" t="n"/>
      <c r="D240" s="27" t="n"/>
      <c r="E240" s="27" t="n"/>
      <c r="F240" s="27" t="n"/>
      <c r="G240" s="28" t="n"/>
      <c r="H240" s="28" t="n"/>
      <c r="I240" s="28" t="n"/>
      <c r="J240" s="27" t="n"/>
      <c r="K240" s="27" t="n"/>
      <c r="L240" s="36" t="n"/>
      <c r="M240" s="37">
        <f>IF(L240="","",L240-TIME(9,0,0))</f>
        <v/>
      </c>
      <c r="N240" s="38" t="n"/>
      <c r="O240" s="38" t="n"/>
      <c r="P240" s="38" t="n"/>
      <c r="Q240" s="34">
        <f>IF(COUNT(N240:P240)=0,"",MEDIAN(N240:P240))</f>
        <v/>
      </c>
      <c r="R240" s="27" t="n"/>
    </row>
    <row r="241">
      <c r="A241" s="27" t="n"/>
      <c r="B241" s="27" t="n"/>
      <c r="C241" s="27" t="n"/>
      <c r="D241" s="27" t="n"/>
      <c r="E241" s="27" t="n"/>
      <c r="F241" s="27" t="n"/>
      <c r="G241" s="28" t="n"/>
      <c r="H241" s="28" t="n"/>
      <c r="I241" s="28" t="n"/>
      <c r="J241" s="27" t="n"/>
      <c r="K241" s="27" t="n"/>
      <c r="L241" s="36" t="n"/>
      <c r="M241" s="37">
        <f>IF(L241="","",L241-TIME(9,0,0))</f>
        <v/>
      </c>
      <c r="N241" s="38" t="n"/>
      <c r="O241" s="38" t="n"/>
      <c r="P241" s="38" t="n"/>
      <c r="Q241" s="34">
        <f>IF(COUNT(N241:P241)=0,"",MEDIAN(N241:P241))</f>
        <v/>
      </c>
      <c r="R241" s="27" t="n"/>
    </row>
    <row r="242">
      <c r="A242" s="27" t="n"/>
      <c r="B242" s="27" t="n"/>
      <c r="C242" s="27" t="n"/>
      <c r="D242" s="27" t="n"/>
      <c r="E242" s="27" t="n"/>
      <c r="F242" s="27" t="n"/>
      <c r="G242" s="28" t="n"/>
      <c r="H242" s="28" t="n"/>
      <c r="I242" s="28" t="n"/>
      <c r="J242" s="27" t="n"/>
      <c r="K242" s="27" t="n"/>
      <c r="L242" s="36" t="n"/>
      <c r="M242" s="37">
        <f>IF(L242="","",L242-TIME(9,0,0))</f>
        <v/>
      </c>
      <c r="N242" s="38" t="n"/>
      <c r="O242" s="38" t="n"/>
      <c r="P242" s="38" t="n"/>
      <c r="Q242" s="34">
        <f>IF(COUNT(N242:P242)=0,"",MEDIAN(N242:P242))</f>
        <v/>
      </c>
      <c r="R242" s="27" t="n"/>
    </row>
    <row r="243">
      <c r="A243" s="27" t="n"/>
      <c r="B243" s="27" t="n"/>
      <c r="C243" s="27" t="n"/>
      <c r="D243" s="27" t="n"/>
      <c r="E243" s="27" t="n"/>
      <c r="F243" s="27" t="n"/>
      <c r="G243" s="28" t="n"/>
      <c r="H243" s="28" t="n"/>
      <c r="I243" s="28" t="n"/>
      <c r="J243" s="27" t="n"/>
      <c r="K243" s="27" t="n"/>
      <c r="L243" s="36" t="n"/>
      <c r="M243" s="37">
        <f>IF(L243="","",L243-TIME(9,0,0))</f>
        <v/>
      </c>
      <c r="N243" s="38" t="n"/>
      <c r="O243" s="38" t="n"/>
      <c r="P243" s="38" t="n"/>
      <c r="Q243" s="34">
        <f>IF(COUNT(N243:P243)=0,"",MEDIAN(N243:P243))</f>
        <v/>
      </c>
      <c r="R243" s="27" t="n"/>
    </row>
    <row r="244">
      <c r="A244" s="27" t="n"/>
      <c r="B244" s="27" t="n"/>
      <c r="C244" s="27" t="n"/>
      <c r="D244" s="27" t="n"/>
      <c r="E244" s="27" t="n"/>
      <c r="F244" s="27" t="n"/>
      <c r="G244" s="28" t="n"/>
      <c r="H244" s="28" t="n"/>
      <c r="I244" s="28" t="n"/>
      <c r="J244" s="27" t="n"/>
      <c r="K244" s="27" t="n"/>
      <c r="L244" s="36" t="n"/>
      <c r="M244" s="37">
        <f>IF(L244="","",L244-TIME(9,0,0))</f>
        <v/>
      </c>
      <c r="N244" s="38" t="n"/>
      <c r="O244" s="38" t="n"/>
      <c r="P244" s="38" t="n"/>
      <c r="Q244" s="34">
        <f>IF(COUNT(N244:P244)=0,"",MEDIAN(N244:P244))</f>
        <v/>
      </c>
      <c r="R244" s="27" t="n"/>
    </row>
    <row r="245">
      <c r="A245" s="27" t="n"/>
      <c r="B245" s="27" t="n"/>
      <c r="C245" s="27" t="n"/>
      <c r="D245" s="27" t="n"/>
      <c r="E245" s="27" t="n"/>
      <c r="F245" s="27" t="n"/>
      <c r="G245" s="28" t="n"/>
      <c r="H245" s="28" t="n"/>
      <c r="I245" s="28" t="n"/>
      <c r="J245" s="27" t="n"/>
      <c r="K245" s="27" t="n"/>
      <c r="L245" s="36" t="n"/>
      <c r="M245" s="37">
        <f>IF(L245="","",L245-TIME(9,0,0))</f>
        <v/>
      </c>
      <c r="N245" s="38" t="n"/>
      <c r="O245" s="38" t="n"/>
      <c r="P245" s="38" t="n"/>
      <c r="Q245" s="34">
        <f>IF(COUNT(N245:P245)=0,"",MEDIAN(N245:P245))</f>
        <v/>
      </c>
      <c r="R245" s="27" t="n"/>
    </row>
    <row r="246">
      <c r="A246" s="27" t="n"/>
      <c r="B246" s="27" t="n"/>
      <c r="C246" s="27" t="n"/>
      <c r="D246" s="27" t="n"/>
      <c r="E246" s="27" t="n"/>
      <c r="F246" s="27" t="n"/>
      <c r="G246" s="28" t="n"/>
      <c r="H246" s="28" t="n"/>
      <c r="I246" s="28" t="n"/>
      <c r="J246" s="27" t="n"/>
      <c r="K246" s="27" t="n"/>
      <c r="L246" s="36" t="n"/>
      <c r="M246" s="37">
        <f>IF(L246="","",L246-TIME(9,0,0))</f>
        <v/>
      </c>
      <c r="N246" s="38" t="n"/>
      <c r="O246" s="38" t="n"/>
      <c r="P246" s="38" t="n"/>
      <c r="Q246" s="34">
        <f>IF(COUNT(N246:P246)=0,"",MEDIAN(N246:P246))</f>
        <v/>
      </c>
      <c r="R246" s="27" t="n"/>
    </row>
    <row r="247">
      <c r="A247" s="27" t="n"/>
      <c r="B247" s="27" t="n"/>
      <c r="C247" s="27" t="n"/>
      <c r="D247" s="27" t="n"/>
      <c r="E247" s="27" t="n"/>
      <c r="F247" s="27" t="n"/>
      <c r="G247" s="28" t="n"/>
      <c r="H247" s="28" t="n"/>
      <c r="I247" s="28" t="n"/>
      <c r="J247" s="27" t="n"/>
      <c r="K247" s="27" t="n"/>
      <c r="L247" s="36" t="n"/>
      <c r="M247" s="37">
        <f>IF(L247="","",L247-TIME(9,0,0))</f>
        <v/>
      </c>
      <c r="N247" s="38" t="n"/>
      <c r="O247" s="38" t="n"/>
      <c r="P247" s="38" t="n"/>
      <c r="Q247" s="34">
        <f>IF(COUNT(N247:P247)=0,"",MEDIAN(N247:P247))</f>
        <v/>
      </c>
      <c r="R247" s="27" t="n"/>
    </row>
    <row r="248">
      <c r="A248" s="27" t="n"/>
      <c r="B248" s="27" t="n"/>
      <c r="C248" s="27" t="n"/>
      <c r="D248" s="27" t="n"/>
      <c r="E248" s="27" t="n"/>
      <c r="F248" s="27" t="n"/>
      <c r="G248" s="28" t="n"/>
      <c r="H248" s="28" t="n"/>
      <c r="I248" s="28" t="n"/>
      <c r="J248" s="27" t="n"/>
      <c r="K248" s="27" t="n"/>
      <c r="L248" s="36" t="n"/>
      <c r="M248" s="37">
        <f>IF(L248="","",L248-TIME(9,0,0))</f>
        <v/>
      </c>
      <c r="N248" s="38" t="n"/>
      <c r="O248" s="38" t="n"/>
      <c r="P248" s="38" t="n"/>
      <c r="Q248" s="34">
        <f>IF(COUNT(N248:P248)=0,"",MEDIAN(N248:P248))</f>
        <v/>
      </c>
      <c r="R248" s="27" t="n"/>
    </row>
    <row r="249">
      <c r="A249" s="27" t="n"/>
      <c r="B249" s="27" t="n"/>
      <c r="C249" s="27" t="n"/>
      <c r="D249" s="27" t="n"/>
      <c r="E249" s="27" t="n"/>
      <c r="F249" s="27" t="n"/>
      <c r="G249" s="28" t="n"/>
      <c r="H249" s="28" t="n"/>
      <c r="I249" s="28" t="n"/>
      <c r="J249" s="27" t="n"/>
      <c r="K249" s="27" t="n"/>
      <c r="L249" s="36" t="n"/>
      <c r="M249" s="37">
        <f>IF(L249="","",L249-TIME(9,0,0))</f>
        <v/>
      </c>
      <c r="N249" s="38" t="n"/>
      <c r="O249" s="38" t="n"/>
      <c r="P249" s="38" t="n"/>
      <c r="Q249" s="34">
        <f>IF(COUNT(N249:P249)=0,"",MEDIAN(N249:P249))</f>
        <v/>
      </c>
      <c r="R249" s="27" t="n"/>
    </row>
    <row r="250">
      <c r="A250" s="27" t="n"/>
      <c r="B250" s="27" t="n"/>
      <c r="C250" s="27" t="n"/>
      <c r="D250" s="27" t="n"/>
      <c r="E250" s="27" t="n"/>
      <c r="F250" s="27" t="n"/>
      <c r="G250" s="28" t="n"/>
      <c r="H250" s="28" t="n"/>
      <c r="I250" s="28" t="n"/>
      <c r="J250" s="27" t="n"/>
      <c r="K250" s="27" t="n"/>
      <c r="L250" s="36" t="n"/>
      <c r="M250" s="37">
        <f>IF(L250="","",L250-TIME(9,0,0))</f>
        <v/>
      </c>
      <c r="N250" s="38" t="n"/>
      <c r="O250" s="38" t="n"/>
      <c r="P250" s="38" t="n"/>
      <c r="Q250" s="34">
        <f>IF(COUNT(N250:P250)=0,"",MEDIAN(N250:P250))</f>
        <v/>
      </c>
      <c r="R250" s="27" t="n"/>
    </row>
    <row r="251">
      <c r="A251" s="27" t="n"/>
      <c r="B251" s="27" t="n"/>
      <c r="C251" s="27" t="n"/>
      <c r="D251" s="27" t="n"/>
      <c r="E251" s="27" t="n"/>
      <c r="F251" s="27" t="n"/>
      <c r="G251" s="28" t="n"/>
      <c r="H251" s="28" t="n"/>
      <c r="I251" s="28" t="n"/>
      <c r="J251" s="27" t="n"/>
      <c r="K251" s="27" t="n"/>
      <c r="L251" s="36" t="n"/>
      <c r="M251" s="37">
        <f>IF(L251="","",L251-TIME(9,0,0))</f>
        <v/>
      </c>
      <c r="N251" s="38" t="n"/>
      <c r="O251" s="38" t="n"/>
      <c r="P251" s="38" t="n"/>
      <c r="Q251" s="34">
        <f>IF(COUNT(N251:P251)=0,"",MEDIAN(N251:P251))</f>
        <v/>
      </c>
      <c r="R251" s="27" t="n"/>
    </row>
    <row r="252">
      <c r="A252" s="27" t="n"/>
      <c r="B252" s="27" t="n"/>
      <c r="C252" s="27" t="n"/>
      <c r="D252" s="27" t="n"/>
      <c r="E252" s="27" t="n"/>
      <c r="F252" s="27" t="n"/>
      <c r="G252" s="28" t="n"/>
      <c r="H252" s="28" t="n"/>
      <c r="I252" s="28" t="n"/>
      <c r="J252" s="27" t="n"/>
      <c r="K252" s="27" t="n"/>
      <c r="L252" s="36" t="n"/>
      <c r="M252" s="37">
        <f>IF(L252="","",L252-TIME(9,0,0))</f>
        <v/>
      </c>
      <c r="N252" s="38" t="n"/>
      <c r="O252" s="38" t="n"/>
      <c r="P252" s="38" t="n"/>
      <c r="Q252" s="34">
        <f>IF(COUNT(N252:P252)=0,"",MEDIAN(N252:P252))</f>
        <v/>
      </c>
      <c r="R252" s="27" t="n"/>
    </row>
    <row r="253">
      <c r="A253" s="27" t="n"/>
      <c r="B253" s="27" t="n"/>
      <c r="C253" s="27" t="n"/>
      <c r="D253" s="27" t="n"/>
      <c r="E253" s="27" t="n"/>
      <c r="F253" s="27" t="n"/>
      <c r="G253" s="28" t="n"/>
      <c r="H253" s="28" t="n"/>
      <c r="I253" s="28" t="n"/>
      <c r="J253" s="27" t="n"/>
      <c r="K253" s="27" t="n"/>
      <c r="L253" s="36" t="n"/>
      <c r="M253" s="37">
        <f>IF(L253="","",L253-TIME(9,0,0))</f>
        <v/>
      </c>
      <c r="N253" s="38" t="n"/>
      <c r="O253" s="38" t="n"/>
      <c r="P253" s="38" t="n"/>
      <c r="Q253" s="34">
        <f>IF(COUNT(N253:P253)=0,"",MEDIAN(N253:P253))</f>
        <v/>
      </c>
      <c r="R253" s="27" t="n"/>
    </row>
    <row r="254">
      <c r="A254" s="27" t="n"/>
      <c r="B254" s="27" t="n"/>
      <c r="C254" s="27" t="n"/>
      <c r="D254" s="27" t="n"/>
      <c r="E254" s="27" t="n"/>
      <c r="F254" s="27" t="n"/>
      <c r="G254" s="28" t="n"/>
      <c r="H254" s="28" t="n"/>
      <c r="I254" s="28" t="n"/>
      <c r="J254" s="27" t="n"/>
      <c r="K254" s="27" t="n"/>
      <c r="L254" s="36" t="n"/>
      <c r="M254" s="37">
        <f>IF(L254="","",L254-TIME(9,0,0))</f>
        <v/>
      </c>
      <c r="N254" s="38" t="n"/>
      <c r="O254" s="38" t="n"/>
      <c r="P254" s="38" t="n"/>
      <c r="Q254" s="34">
        <f>IF(COUNT(N254:P254)=0,"",MEDIAN(N254:P254))</f>
        <v/>
      </c>
      <c r="R254" s="27" t="n"/>
    </row>
    <row r="255">
      <c r="A255" s="27" t="n"/>
      <c r="B255" s="27" t="n"/>
      <c r="C255" s="27" t="n"/>
      <c r="D255" s="27" t="n"/>
      <c r="E255" s="27" t="n"/>
      <c r="F255" s="27" t="n"/>
      <c r="G255" s="28" t="n"/>
      <c r="H255" s="28" t="n"/>
      <c r="I255" s="28" t="n"/>
      <c r="J255" s="27" t="n"/>
      <c r="K255" s="27" t="n"/>
      <c r="L255" s="36" t="n"/>
      <c r="M255" s="37">
        <f>IF(L255="","",L255-TIME(9,0,0))</f>
        <v/>
      </c>
      <c r="N255" s="38" t="n"/>
      <c r="O255" s="38" t="n"/>
      <c r="P255" s="38" t="n"/>
      <c r="Q255" s="34">
        <f>IF(COUNT(N255:P255)=0,"",MEDIAN(N255:P255))</f>
        <v/>
      </c>
      <c r="R255" s="27" t="n"/>
    </row>
    <row r="256">
      <c r="A256" s="27" t="n"/>
      <c r="B256" s="27" t="n"/>
      <c r="C256" s="27" t="n"/>
      <c r="D256" s="27" t="n"/>
      <c r="E256" s="27" t="n"/>
      <c r="F256" s="27" t="n"/>
      <c r="G256" s="28" t="n"/>
      <c r="H256" s="28" t="n"/>
      <c r="I256" s="28" t="n"/>
      <c r="J256" s="27" t="n"/>
      <c r="K256" s="27" t="n"/>
      <c r="L256" s="36" t="n"/>
      <c r="M256" s="37">
        <f>IF(L256="","",L256-TIME(9,0,0))</f>
        <v/>
      </c>
      <c r="N256" s="38" t="n"/>
      <c r="O256" s="38" t="n"/>
      <c r="P256" s="38" t="n"/>
      <c r="Q256" s="34">
        <f>IF(COUNT(N256:P256)=0,"",MEDIAN(N256:P256))</f>
        <v/>
      </c>
      <c r="R256" s="27" t="n"/>
    </row>
    <row r="257">
      <c r="A257" s="27" t="n"/>
      <c r="B257" s="27" t="n"/>
      <c r="C257" s="27" t="n"/>
      <c r="D257" s="27" t="n"/>
      <c r="E257" s="27" t="n"/>
      <c r="F257" s="27" t="n"/>
      <c r="G257" s="28" t="n"/>
      <c r="H257" s="28" t="n"/>
      <c r="I257" s="28" t="n"/>
      <c r="J257" s="27" t="n"/>
      <c r="K257" s="27" t="n"/>
      <c r="L257" s="36" t="n"/>
      <c r="M257" s="37">
        <f>IF(L257="","",L257-TIME(9,0,0))</f>
        <v/>
      </c>
      <c r="N257" s="38" t="n"/>
      <c r="O257" s="38" t="n"/>
      <c r="P257" s="38" t="n"/>
      <c r="Q257" s="34">
        <f>IF(COUNT(N257:P257)=0,"",MEDIAN(N257:P257))</f>
        <v/>
      </c>
      <c r="R257" s="27" t="n"/>
    </row>
    <row r="258">
      <c r="A258" s="27" t="n"/>
      <c r="B258" s="27" t="n"/>
      <c r="C258" s="27" t="n"/>
      <c r="D258" s="27" t="n"/>
      <c r="E258" s="27" t="n"/>
      <c r="F258" s="27" t="n"/>
      <c r="G258" s="28" t="n"/>
      <c r="H258" s="28" t="n"/>
      <c r="I258" s="28" t="n"/>
      <c r="J258" s="27" t="n"/>
      <c r="K258" s="27" t="n"/>
      <c r="L258" s="36" t="n"/>
      <c r="M258" s="37">
        <f>IF(L258="","",L258-TIME(9,0,0))</f>
        <v/>
      </c>
      <c r="N258" s="38" t="n"/>
      <c r="O258" s="38" t="n"/>
      <c r="P258" s="38" t="n"/>
      <c r="Q258" s="34">
        <f>IF(COUNT(N258:P258)=0,"",MEDIAN(N258:P258))</f>
        <v/>
      </c>
      <c r="R258" s="27" t="n"/>
    </row>
    <row r="259">
      <c r="A259" s="27" t="n"/>
      <c r="B259" s="27" t="n"/>
      <c r="C259" s="27" t="n"/>
      <c r="D259" s="27" t="n"/>
      <c r="E259" s="27" t="n"/>
      <c r="F259" s="27" t="n"/>
      <c r="G259" s="28" t="n"/>
      <c r="H259" s="28" t="n"/>
      <c r="I259" s="28" t="n"/>
      <c r="J259" s="27" t="n"/>
      <c r="K259" s="27" t="n"/>
      <c r="L259" s="36" t="n"/>
      <c r="M259" s="37">
        <f>IF(L259="","",L259-TIME(9,0,0))</f>
        <v/>
      </c>
      <c r="N259" s="38" t="n"/>
      <c r="O259" s="38" t="n"/>
      <c r="P259" s="38" t="n"/>
      <c r="Q259" s="34">
        <f>IF(COUNT(N259:P259)=0,"",MEDIAN(N259:P259))</f>
        <v/>
      </c>
      <c r="R259" s="27" t="n"/>
    </row>
    <row r="260">
      <c r="A260" s="27" t="n"/>
      <c r="B260" s="27" t="n"/>
      <c r="C260" s="27" t="n"/>
      <c r="D260" s="27" t="n"/>
      <c r="E260" s="27" t="n"/>
      <c r="F260" s="27" t="n"/>
      <c r="G260" s="28" t="n"/>
      <c r="H260" s="28" t="n"/>
      <c r="I260" s="28" t="n"/>
      <c r="J260" s="27" t="n"/>
      <c r="K260" s="27" t="n"/>
      <c r="L260" s="36" t="n"/>
      <c r="M260" s="37">
        <f>IF(L260="","",L260-TIME(9,0,0))</f>
        <v/>
      </c>
      <c r="N260" s="38" t="n"/>
      <c r="O260" s="38" t="n"/>
      <c r="P260" s="38" t="n"/>
      <c r="Q260" s="34">
        <f>IF(COUNT(N260:P260)=0,"",MEDIAN(N260:P260))</f>
        <v/>
      </c>
      <c r="R260" s="27" t="n"/>
    </row>
    <row r="261">
      <c r="A261" s="27" t="n"/>
      <c r="B261" s="27" t="n"/>
      <c r="C261" s="27" t="n"/>
      <c r="D261" s="27" t="n"/>
      <c r="E261" s="27" t="n"/>
      <c r="F261" s="27" t="n"/>
      <c r="G261" s="28" t="n"/>
      <c r="H261" s="28" t="n"/>
      <c r="I261" s="28" t="n"/>
      <c r="J261" s="27" t="n"/>
      <c r="K261" s="27" t="n"/>
      <c r="L261" s="36" t="n"/>
      <c r="M261" s="37">
        <f>IF(L261="","",L261-TIME(9,0,0))</f>
        <v/>
      </c>
      <c r="N261" s="38" t="n"/>
      <c r="O261" s="38" t="n"/>
      <c r="P261" s="38" t="n"/>
      <c r="Q261" s="34">
        <f>IF(COUNT(N261:P261)=0,"",MEDIAN(N261:P261))</f>
        <v/>
      </c>
      <c r="R261" s="27" t="n"/>
    </row>
    <row r="262">
      <c r="A262" s="27" t="n"/>
      <c r="B262" s="27" t="n"/>
      <c r="C262" s="27" t="n"/>
      <c r="D262" s="27" t="n"/>
      <c r="E262" s="27" t="n"/>
      <c r="F262" s="27" t="n"/>
      <c r="G262" s="28" t="n"/>
      <c r="H262" s="28" t="n"/>
      <c r="I262" s="28" t="n"/>
      <c r="J262" s="27" t="n"/>
      <c r="K262" s="27" t="n"/>
      <c r="L262" s="36" t="n"/>
      <c r="M262" s="37">
        <f>IF(L262="","",L262-TIME(9,0,0))</f>
        <v/>
      </c>
      <c r="N262" s="38" t="n"/>
      <c r="O262" s="38" t="n"/>
      <c r="P262" s="38" t="n"/>
      <c r="Q262" s="34">
        <f>IF(COUNT(N262:P262)=0,"",MEDIAN(N262:P262))</f>
        <v/>
      </c>
      <c r="R262" s="27" t="n"/>
    </row>
    <row r="263">
      <c r="A263" s="27" t="n"/>
      <c r="B263" s="27" t="n"/>
      <c r="C263" s="27" t="n"/>
      <c r="D263" s="27" t="n"/>
      <c r="E263" s="27" t="n"/>
      <c r="F263" s="27" t="n"/>
      <c r="G263" s="28" t="n"/>
      <c r="H263" s="28" t="n"/>
      <c r="I263" s="28" t="n"/>
      <c r="J263" s="27" t="n"/>
      <c r="K263" s="27" t="n"/>
      <c r="L263" s="36" t="n"/>
      <c r="M263" s="37">
        <f>IF(L263="","",L263-TIME(9,0,0))</f>
        <v/>
      </c>
      <c r="N263" s="38" t="n"/>
      <c r="O263" s="38" t="n"/>
      <c r="P263" s="38" t="n"/>
      <c r="Q263" s="34">
        <f>IF(COUNT(N263:P263)=0,"",MEDIAN(N263:P263))</f>
        <v/>
      </c>
      <c r="R263" s="27" t="n"/>
    </row>
    <row r="264">
      <c r="A264" s="27" t="n"/>
      <c r="B264" s="27" t="n"/>
      <c r="C264" s="27" t="n"/>
      <c r="D264" s="27" t="n"/>
      <c r="E264" s="27" t="n"/>
      <c r="F264" s="27" t="n"/>
      <c r="G264" s="28" t="n"/>
      <c r="H264" s="28" t="n"/>
      <c r="I264" s="28" t="n"/>
      <c r="J264" s="27" t="n"/>
      <c r="K264" s="27" t="n"/>
      <c r="L264" s="36" t="n"/>
      <c r="M264" s="37">
        <f>IF(L264="","",L264-TIME(9,0,0))</f>
        <v/>
      </c>
      <c r="N264" s="38" t="n"/>
      <c r="O264" s="38" t="n"/>
      <c r="P264" s="38" t="n"/>
      <c r="Q264" s="34">
        <f>IF(COUNT(N264:P264)=0,"",MEDIAN(N264:P264))</f>
        <v/>
      </c>
      <c r="R264" s="27" t="n"/>
    </row>
    <row r="265">
      <c r="A265" s="27" t="n"/>
      <c r="B265" s="27" t="n"/>
      <c r="C265" s="27" t="n"/>
      <c r="D265" s="27" t="n"/>
      <c r="E265" s="27" t="n"/>
      <c r="F265" s="27" t="n"/>
      <c r="G265" s="28" t="n"/>
      <c r="H265" s="28" t="n"/>
      <c r="I265" s="28" t="n"/>
      <c r="J265" s="27" t="n"/>
      <c r="K265" s="27" t="n"/>
      <c r="L265" s="36" t="n"/>
      <c r="M265" s="37">
        <f>IF(L265="","",L265-TIME(9,0,0))</f>
        <v/>
      </c>
      <c r="N265" s="38" t="n"/>
      <c r="O265" s="38" t="n"/>
      <c r="P265" s="38" t="n"/>
      <c r="Q265" s="34">
        <f>IF(COUNT(N265:P265)=0,"",MEDIAN(N265:P265))</f>
        <v/>
      </c>
      <c r="R265" s="27" t="n"/>
    </row>
    <row r="266">
      <c r="A266" s="27" t="n"/>
      <c r="B266" s="27" t="n"/>
      <c r="C266" s="27" t="n"/>
      <c r="D266" s="27" t="n"/>
      <c r="E266" s="27" t="n"/>
      <c r="F266" s="27" t="n"/>
      <c r="G266" s="28" t="n"/>
      <c r="H266" s="28" t="n"/>
      <c r="I266" s="28" t="n"/>
      <c r="J266" s="27" t="n"/>
      <c r="K266" s="27" t="n"/>
      <c r="L266" s="36" t="n"/>
      <c r="M266" s="37">
        <f>IF(L266="","",L266-TIME(9,0,0))</f>
        <v/>
      </c>
      <c r="N266" s="38" t="n"/>
      <c r="O266" s="38" t="n"/>
      <c r="P266" s="38" t="n"/>
      <c r="Q266" s="34">
        <f>IF(COUNT(N266:P266)=0,"",MEDIAN(N266:P266))</f>
        <v/>
      </c>
      <c r="R266" s="27" t="n"/>
    </row>
    <row r="267">
      <c r="A267" s="27" t="n"/>
      <c r="B267" s="27" t="n"/>
      <c r="C267" s="27" t="n"/>
      <c r="D267" s="27" t="n"/>
      <c r="E267" s="27" t="n"/>
      <c r="F267" s="27" t="n"/>
      <c r="G267" s="28" t="n"/>
      <c r="H267" s="28" t="n"/>
      <c r="I267" s="28" t="n"/>
      <c r="J267" s="27" t="n"/>
      <c r="K267" s="27" t="n"/>
      <c r="L267" s="36" t="n"/>
      <c r="M267" s="37">
        <f>IF(L267="","",L267-TIME(9,0,0))</f>
        <v/>
      </c>
      <c r="N267" s="38" t="n"/>
      <c r="O267" s="38" t="n"/>
      <c r="P267" s="38" t="n"/>
      <c r="Q267" s="34">
        <f>IF(COUNT(N267:P267)=0,"",MEDIAN(N267:P267))</f>
        <v/>
      </c>
      <c r="R267" s="27" t="n"/>
    </row>
    <row r="268">
      <c r="A268" s="27" t="n"/>
      <c r="B268" s="27" t="n"/>
      <c r="C268" s="27" t="n"/>
      <c r="D268" s="27" t="n"/>
      <c r="E268" s="27" t="n"/>
      <c r="F268" s="27" t="n"/>
      <c r="G268" s="28" t="n"/>
      <c r="H268" s="28" t="n"/>
      <c r="I268" s="28" t="n"/>
      <c r="J268" s="27" t="n"/>
      <c r="K268" s="27" t="n"/>
      <c r="L268" s="36" t="n"/>
      <c r="M268" s="37">
        <f>IF(L268="","",L268-TIME(9,0,0))</f>
        <v/>
      </c>
      <c r="N268" s="38" t="n"/>
      <c r="O268" s="38" t="n"/>
      <c r="P268" s="38" t="n"/>
      <c r="Q268" s="34">
        <f>IF(COUNT(N268:P268)=0,"",MEDIAN(N268:P268))</f>
        <v/>
      </c>
      <c r="R268" s="27" t="n"/>
    </row>
    <row r="269">
      <c r="A269" s="27" t="n"/>
      <c r="B269" s="27" t="n"/>
      <c r="C269" s="27" t="n"/>
      <c r="D269" s="27" t="n"/>
      <c r="E269" s="27" t="n"/>
      <c r="F269" s="27" t="n"/>
      <c r="G269" s="28" t="n"/>
      <c r="H269" s="28" t="n"/>
      <c r="I269" s="28" t="n"/>
      <c r="J269" s="27" t="n"/>
      <c r="K269" s="27" t="n"/>
      <c r="L269" s="36" t="n"/>
      <c r="M269" s="37">
        <f>IF(L269="","",L269-TIME(9,0,0))</f>
        <v/>
      </c>
      <c r="N269" s="38" t="n"/>
      <c r="O269" s="38" t="n"/>
      <c r="P269" s="38" t="n"/>
      <c r="Q269" s="34">
        <f>IF(COUNT(N269:P269)=0,"",MEDIAN(N269:P269))</f>
        <v/>
      </c>
      <c r="R269" s="27" t="n"/>
    </row>
    <row r="270">
      <c r="A270" s="27" t="n"/>
      <c r="B270" s="27" t="n"/>
      <c r="C270" s="27" t="n"/>
      <c r="D270" s="27" t="n"/>
      <c r="E270" s="27" t="n"/>
      <c r="F270" s="27" t="n"/>
      <c r="G270" s="28" t="n"/>
      <c r="H270" s="28" t="n"/>
      <c r="I270" s="28" t="n"/>
      <c r="J270" s="27" t="n"/>
      <c r="K270" s="27" t="n"/>
      <c r="L270" s="36" t="n"/>
      <c r="M270" s="37">
        <f>IF(L270="","",L270-TIME(9,0,0))</f>
        <v/>
      </c>
      <c r="N270" s="38" t="n"/>
      <c r="O270" s="38" t="n"/>
      <c r="P270" s="38" t="n"/>
      <c r="Q270" s="34">
        <f>IF(COUNT(N270:P270)=0,"",MEDIAN(N270:P270))</f>
        <v/>
      </c>
      <c r="R270" s="27" t="n"/>
    </row>
    <row r="271">
      <c r="A271" s="27" t="n"/>
      <c r="B271" s="27" t="n"/>
      <c r="C271" s="27" t="n"/>
      <c r="D271" s="27" t="n"/>
      <c r="E271" s="27" t="n"/>
      <c r="F271" s="27" t="n"/>
      <c r="G271" s="28" t="n"/>
      <c r="H271" s="28" t="n"/>
      <c r="I271" s="28" t="n"/>
      <c r="J271" s="27" t="n"/>
      <c r="K271" s="27" t="n"/>
      <c r="L271" s="36" t="n"/>
      <c r="M271" s="37">
        <f>IF(L271="","",L271-TIME(9,0,0))</f>
        <v/>
      </c>
      <c r="N271" s="38" t="n"/>
      <c r="O271" s="38" t="n"/>
      <c r="P271" s="38" t="n"/>
      <c r="Q271" s="34">
        <f>IF(COUNT(N271:P271)=0,"",MEDIAN(N271:P271))</f>
        <v/>
      </c>
      <c r="R271" s="27" t="n"/>
    </row>
    <row r="272">
      <c r="A272" s="27" t="n"/>
      <c r="B272" s="27" t="n"/>
      <c r="C272" s="27" t="n"/>
      <c r="D272" s="27" t="n"/>
      <c r="E272" s="27" t="n"/>
      <c r="F272" s="27" t="n"/>
      <c r="G272" s="28" t="n"/>
      <c r="H272" s="28" t="n"/>
      <c r="I272" s="28" t="n"/>
      <c r="J272" s="27" t="n"/>
      <c r="K272" s="27" t="n"/>
      <c r="L272" s="36" t="n"/>
      <c r="M272" s="37">
        <f>IF(L272="","",L272-TIME(9,0,0))</f>
        <v/>
      </c>
      <c r="N272" s="38" t="n"/>
      <c r="O272" s="38" t="n"/>
      <c r="P272" s="38" t="n"/>
      <c r="Q272" s="34">
        <f>IF(COUNT(N272:P272)=0,"",MEDIAN(N272:P272))</f>
        <v/>
      </c>
      <c r="R272" s="27" t="n"/>
    </row>
    <row r="273">
      <c r="A273" s="27" t="n"/>
      <c r="B273" s="27" t="n"/>
      <c r="C273" s="27" t="n"/>
      <c r="D273" s="27" t="n"/>
      <c r="E273" s="27" t="n"/>
      <c r="F273" s="27" t="n"/>
      <c r="G273" s="28" t="n"/>
      <c r="H273" s="28" t="n"/>
      <c r="I273" s="28" t="n"/>
      <c r="J273" s="27" t="n"/>
      <c r="K273" s="27" t="n"/>
      <c r="L273" s="36" t="n"/>
      <c r="M273" s="37">
        <f>IF(L273="","",L273-TIME(9,0,0))</f>
        <v/>
      </c>
      <c r="N273" s="38" t="n"/>
      <c r="O273" s="38" t="n"/>
      <c r="P273" s="38" t="n"/>
      <c r="Q273" s="34">
        <f>IF(COUNT(N273:P273)=0,"",MEDIAN(N273:P273))</f>
        <v/>
      </c>
      <c r="R273" s="27" t="n"/>
    </row>
    <row r="274">
      <c r="A274" s="27" t="n"/>
      <c r="B274" s="27" t="n"/>
      <c r="C274" s="27" t="n"/>
      <c r="D274" s="27" t="n"/>
      <c r="E274" s="27" t="n"/>
      <c r="F274" s="27" t="n"/>
      <c r="G274" s="28" t="n"/>
      <c r="H274" s="28" t="n"/>
      <c r="I274" s="28" t="n"/>
      <c r="J274" s="27" t="n"/>
      <c r="K274" s="27" t="n"/>
      <c r="L274" s="36" t="n"/>
      <c r="M274" s="37">
        <f>IF(L274="","",L274-TIME(9,0,0))</f>
        <v/>
      </c>
      <c r="N274" s="38" t="n"/>
      <c r="O274" s="38" t="n"/>
      <c r="P274" s="38" t="n"/>
      <c r="Q274" s="34">
        <f>IF(COUNT(N274:P274)=0,"",MEDIAN(N274:P274))</f>
        <v/>
      </c>
      <c r="R274" s="27" t="n"/>
    </row>
    <row r="275">
      <c r="A275" s="27" t="n"/>
      <c r="B275" s="27" t="n"/>
      <c r="C275" s="27" t="n"/>
      <c r="D275" s="27" t="n"/>
      <c r="E275" s="27" t="n"/>
      <c r="F275" s="27" t="n"/>
      <c r="G275" s="28" t="n"/>
      <c r="H275" s="28" t="n"/>
      <c r="I275" s="28" t="n"/>
      <c r="J275" s="27" t="n"/>
      <c r="K275" s="27" t="n"/>
      <c r="L275" s="36" t="n"/>
      <c r="M275" s="37">
        <f>IF(L275="","",L275-TIME(9,0,0))</f>
        <v/>
      </c>
      <c r="N275" s="38" t="n"/>
      <c r="O275" s="38" t="n"/>
      <c r="P275" s="38" t="n"/>
      <c r="Q275" s="34">
        <f>IF(COUNT(N275:P275)=0,"",MEDIAN(N275:P275))</f>
        <v/>
      </c>
      <c r="R275" s="27" t="n"/>
    </row>
    <row r="276">
      <c r="A276" s="27" t="n"/>
      <c r="B276" s="27" t="n"/>
      <c r="C276" s="27" t="n"/>
      <c r="D276" s="27" t="n"/>
      <c r="E276" s="27" t="n"/>
      <c r="F276" s="27" t="n"/>
      <c r="G276" s="28" t="n"/>
      <c r="H276" s="28" t="n"/>
      <c r="I276" s="28" t="n"/>
      <c r="J276" s="27" t="n"/>
      <c r="K276" s="27" t="n"/>
      <c r="L276" s="36" t="n"/>
      <c r="M276" s="37">
        <f>IF(L276="","",L276-TIME(9,0,0))</f>
        <v/>
      </c>
      <c r="N276" s="38" t="n"/>
      <c r="O276" s="38" t="n"/>
      <c r="P276" s="38" t="n"/>
      <c r="Q276" s="34">
        <f>IF(COUNT(N276:P276)=0,"",MEDIAN(N276:P276))</f>
        <v/>
      </c>
      <c r="R276" s="27" t="n"/>
    </row>
    <row r="277">
      <c r="A277" s="27" t="n"/>
      <c r="B277" s="27" t="n"/>
      <c r="C277" s="27" t="n"/>
      <c r="D277" s="27" t="n"/>
      <c r="E277" s="27" t="n"/>
      <c r="F277" s="27" t="n"/>
      <c r="G277" s="28" t="n"/>
      <c r="H277" s="28" t="n"/>
      <c r="I277" s="28" t="n"/>
      <c r="J277" s="27" t="n"/>
      <c r="K277" s="27" t="n"/>
      <c r="L277" s="36" t="n"/>
      <c r="M277" s="37">
        <f>IF(L277="","",L277-TIME(9,0,0))</f>
        <v/>
      </c>
      <c r="N277" s="38" t="n"/>
      <c r="O277" s="38" t="n"/>
      <c r="P277" s="38" t="n"/>
      <c r="Q277" s="34">
        <f>IF(COUNT(N277:P277)=0,"",MEDIAN(N277:P277))</f>
        <v/>
      </c>
      <c r="R277" s="27" t="n"/>
    </row>
    <row r="278">
      <c r="A278" s="27" t="n"/>
      <c r="B278" s="27" t="n"/>
      <c r="C278" s="27" t="n"/>
      <c r="D278" s="27" t="n"/>
      <c r="E278" s="27" t="n"/>
      <c r="F278" s="27" t="n"/>
      <c r="G278" s="28" t="n"/>
      <c r="H278" s="28" t="n"/>
      <c r="I278" s="28" t="n"/>
      <c r="J278" s="27" t="n"/>
      <c r="K278" s="27" t="n"/>
      <c r="L278" s="36" t="n"/>
      <c r="M278" s="37">
        <f>IF(L278="","",L278-TIME(9,0,0))</f>
        <v/>
      </c>
      <c r="N278" s="38" t="n"/>
      <c r="O278" s="38" t="n"/>
      <c r="P278" s="38" t="n"/>
      <c r="Q278" s="34">
        <f>IF(COUNT(N278:P278)=0,"",MEDIAN(N278:P278))</f>
        <v/>
      </c>
      <c r="R278" s="27" t="n"/>
    </row>
    <row r="279">
      <c r="A279" s="27" t="n"/>
      <c r="B279" s="27" t="n"/>
      <c r="C279" s="27" t="n"/>
      <c r="D279" s="27" t="n"/>
      <c r="E279" s="27" t="n"/>
      <c r="F279" s="27" t="n"/>
      <c r="G279" s="28" t="n"/>
      <c r="H279" s="28" t="n"/>
      <c r="I279" s="28" t="n"/>
      <c r="J279" s="27" t="n"/>
      <c r="K279" s="27" t="n"/>
      <c r="L279" s="36" t="n"/>
      <c r="M279" s="37">
        <f>IF(L279="","",L279-TIME(9,0,0))</f>
        <v/>
      </c>
      <c r="N279" s="38" t="n"/>
      <c r="O279" s="38" t="n"/>
      <c r="P279" s="38" t="n"/>
      <c r="Q279" s="34">
        <f>IF(COUNT(N279:P279)=0,"",MEDIAN(N279:P279))</f>
        <v/>
      </c>
      <c r="R279" s="27" t="n"/>
    </row>
    <row r="280">
      <c r="A280" s="27" t="n"/>
      <c r="B280" s="27" t="n"/>
      <c r="C280" s="27" t="n"/>
      <c r="D280" s="27" t="n"/>
      <c r="E280" s="27" t="n"/>
      <c r="F280" s="27" t="n"/>
      <c r="G280" s="28" t="n"/>
      <c r="H280" s="28" t="n"/>
      <c r="I280" s="28" t="n"/>
      <c r="J280" s="27" t="n"/>
      <c r="K280" s="27" t="n"/>
      <c r="L280" s="36" t="n"/>
      <c r="M280" s="37">
        <f>IF(L280="","",L280-TIME(9,0,0))</f>
        <v/>
      </c>
      <c r="N280" s="38" t="n"/>
      <c r="O280" s="38" t="n"/>
      <c r="P280" s="38" t="n"/>
      <c r="Q280" s="34">
        <f>IF(COUNT(N280:P280)=0,"",MEDIAN(N280:P280))</f>
        <v/>
      </c>
      <c r="R280" s="27" t="n"/>
    </row>
    <row r="281">
      <c r="A281" s="27" t="n"/>
      <c r="B281" s="27" t="n"/>
      <c r="C281" s="27" t="n"/>
      <c r="D281" s="27" t="n"/>
      <c r="E281" s="27" t="n"/>
      <c r="F281" s="27" t="n"/>
      <c r="G281" s="28" t="n"/>
      <c r="H281" s="28" t="n"/>
      <c r="I281" s="28" t="n"/>
      <c r="J281" s="27" t="n"/>
      <c r="K281" s="27" t="n"/>
      <c r="L281" s="36" t="n"/>
      <c r="M281" s="37">
        <f>IF(L281="","",L281-TIME(9,0,0))</f>
        <v/>
      </c>
      <c r="N281" s="38" t="n"/>
      <c r="O281" s="38" t="n"/>
      <c r="P281" s="38" t="n"/>
      <c r="Q281" s="34">
        <f>IF(COUNT(N281:P281)=0,"",MEDIAN(N281:P281))</f>
        <v/>
      </c>
      <c r="R281" s="27" t="n"/>
    </row>
    <row r="282">
      <c r="A282" s="27" t="n"/>
      <c r="B282" s="27" t="n"/>
      <c r="C282" s="27" t="n"/>
      <c r="D282" s="27" t="n"/>
      <c r="E282" s="27" t="n"/>
      <c r="F282" s="27" t="n"/>
      <c r="G282" s="28" t="n"/>
      <c r="H282" s="28" t="n"/>
      <c r="I282" s="28" t="n"/>
      <c r="J282" s="27" t="n"/>
      <c r="K282" s="27" t="n"/>
      <c r="L282" s="36" t="n"/>
      <c r="M282" s="37">
        <f>IF(L282="","",L282-TIME(9,0,0))</f>
        <v/>
      </c>
      <c r="N282" s="38" t="n"/>
      <c r="O282" s="38" t="n"/>
      <c r="P282" s="38" t="n"/>
      <c r="Q282" s="34">
        <f>IF(COUNT(N282:P282)=0,"",MEDIAN(N282:P282))</f>
        <v/>
      </c>
      <c r="R282" s="27" t="n"/>
    </row>
    <row r="283">
      <c r="A283" s="27" t="n"/>
      <c r="B283" s="27" t="n"/>
      <c r="C283" s="27" t="n"/>
      <c r="D283" s="27" t="n"/>
      <c r="E283" s="27" t="n"/>
      <c r="F283" s="27" t="n"/>
      <c r="G283" s="28" t="n"/>
      <c r="H283" s="28" t="n"/>
      <c r="I283" s="28" t="n"/>
      <c r="J283" s="27" t="n"/>
      <c r="K283" s="27" t="n"/>
      <c r="L283" s="36" t="n"/>
      <c r="M283" s="37">
        <f>IF(L283="","",L283-TIME(9,0,0))</f>
        <v/>
      </c>
      <c r="N283" s="38" t="n"/>
      <c r="O283" s="38" t="n"/>
      <c r="P283" s="38" t="n"/>
      <c r="Q283" s="34">
        <f>IF(COUNT(N283:P283)=0,"",MEDIAN(N283:P283))</f>
        <v/>
      </c>
      <c r="R283" s="27" t="n"/>
    </row>
    <row r="284">
      <c r="A284" s="27" t="n"/>
      <c r="B284" s="27" t="n"/>
      <c r="C284" s="27" t="n"/>
      <c r="D284" s="27" t="n"/>
      <c r="E284" s="27" t="n"/>
      <c r="F284" s="27" t="n"/>
      <c r="G284" s="28" t="n"/>
      <c r="H284" s="28" t="n"/>
      <c r="I284" s="28" t="n"/>
      <c r="J284" s="27" t="n"/>
      <c r="K284" s="27" t="n"/>
      <c r="L284" s="36" t="n"/>
      <c r="M284" s="37">
        <f>IF(L284="","",L284-TIME(9,0,0))</f>
        <v/>
      </c>
      <c r="N284" s="38" t="n"/>
      <c r="O284" s="38" t="n"/>
      <c r="P284" s="38" t="n"/>
      <c r="Q284" s="34">
        <f>IF(COUNT(N284:P284)=0,"",MEDIAN(N284:P284))</f>
        <v/>
      </c>
      <c r="R284" s="27" t="n"/>
    </row>
    <row r="285">
      <c r="A285" s="27" t="n"/>
      <c r="B285" s="27" t="n"/>
      <c r="C285" s="27" t="n"/>
      <c r="D285" s="27" t="n"/>
      <c r="E285" s="27" t="n"/>
      <c r="F285" s="27" t="n"/>
      <c r="G285" s="28" t="n"/>
      <c r="H285" s="28" t="n"/>
      <c r="I285" s="28" t="n"/>
      <c r="J285" s="27" t="n"/>
      <c r="K285" s="27" t="n"/>
      <c r="L285" s="36" t="n"/>
      <c r="M285" s="37">
        <f>IF(L285="","",L285-TIME(9,0,0))</f>
        <v/>
      </c>
      <c r="N285" s="38" t="n"/>
      <c r="O285" s="38" t="n"/>
      <c r="P285" s="38" t="n"/>
      <c r="Q285" s="34">
        <f>IF(COUNT(N285:P285)=0,"",MEDIAN(N285:P285))</f>
        <v/>
      </c>
      <c r="R285" s="27" t="n"/>
    </row>
    <row r="286">
      <c r="A286" s="27" t="n"/>
      <c r="B286" s="27" t="n"/>
      <c r="C286" s="27" t="n"/>
      <c r="D286" s="27" t="n"/>
      <c r="E286" s="27" t="n"/>
      <c r="F286" s="27" t="n"/>
      <c r="G286" s="28" t="n"/>
      <c r="H286" s="28" t="n"/>
      <c r="I286" s="28" t="n"/>
      <c r="J286" s="27" t="n"/>
      <c r="K286" s="27" t="n"/>
      <c r="L286" s="36" t="n"/>
      <c r="M286" s="37">
        <f>IF(L286="","",L286-TIME(9,0,0))</f>
        <v/>
      </c>
      <c r="N286" s="38" t="n"/>
      <c r="O286" s="38" t="n"/>
      <c r="P286" s="38" t="n"/>
      <c r="Q286" s="34">
        <f>IF(COUNT(N286:P286)=0,"",MEDIAN(N286:P286))</f>
        <v/>
      </c>
      <c r="R286" s="27" t="n"/>
    </row>
    <row r="287">
      <c r="A287" s="27" t="n"/>
      <c r="B287" s="27" t="n"/>
      <c r="C287" s="27" t="n"/>
      <c r="D287" s="27" t="n"/>
      <c r="E287" s="27" t="n"/>
      <c r="F287" s="27" t="n"/>
      <c r="G287" s="28" t="n"/>
      <c r="H287" s="28" t="n"/>
      <c r="I287" s="28" t="n"/>
      <c r="J287" s="27" t="n"/>
      <c r="K287" s="27" t="n"/>
      <c r="L287" s="36" t="n"/>
      <c r="M287" s="37">
        <f>IF(L287="","",L287-TIME(9,0,0))</f>
        <v/>
      </c>
      <c r="N287" s="38" t="n"/>
      <c r="O287" s="38" t="n"/>
      <c r="P287" s="38" t="n"/>
      <c r="Q287" s="34">
        <f>IF(COUNT(N287:P287)=0,"",MEDIAN(N287:P287))</f>
        <v/>
      </c>
      <c r="R287" s="27" t="n"/>
    </row>
    <row r="288">
      <c r="A288" s="27" t="n"/>
      <c r="B288" s="27" t="n"/>
      <c r="C288" s="27" t="n"/>
      <c r="D288" s="27" t="n"/>
      <c r="E288" s="27" t="n"/>
      <c r="F288" s="27" t="n"/>
      <c r="G288" s="28" t="n"/>
      <c r="H288" s="28" t="n"/>
      <c r="I288" s="28" t="n"/>
      <c r="J288" s="27" t="n"/>
      <c r="K288" s="27" t="n"/>
      <c r="L288" s="36" t="n"/>
      <c r="M288" s="37">
        <f>IF(L288="","",L288-TIME(9,0,0))</f>
        <v/>
      </c>
      <c r="N288" s="38" t="n"/>
      <c r="O288" s="38" t="n"/>
      <c r="P288" s="38" t="n"/>
      <c r="Q288" s="34">
        <f>IF(COUNT(N288:P288)=0,"",MEDIAN(N288:P288))</f>
        <v/>
      </c>
      <c r="R288" s="27" t="n"/>
    </row>
    <row r="289">
      <c r="A289" s="27" t="n"/>
      <c r="B289" s="27" t="n"/>
      <c r="C289" s="27" t="n"/>
      <c r="D289" s="27" t="n"/>
      <c r="E289" s="27" t="n"/>
      <c r="F289" s="27" t="n"/>
      <c r="G289" s="28" t="n"/>
      <c r="H289" s="28" t="n"/>
      <c r="I289" s="28" t="n"/>
      <c r="J289" s="27" t="n"/>
      <c r="K289" s="27" t="n"/>
      <c r="L289" s="36" t="n"/>
      <c r="M289" s="37">
        <f>IF(L289="","",L289-TIME(9,0,0))</f>
        <v/>
      </c>
      <c r="N289" s="38" t="n"/>
      <c r="O289" s="38" t="n"/>
      <c r="P289" s="38" t="n"/>
      <c r="Q289" s="34">
        <f>IF(COUNT(N289:P289)=0,"",MEDIAN(N289:P289))</f>
        <v/>
      </c>
      <c r="R289" s="27" t="n"/>
    </row>
    <row r="290">
      <c r="A290" s="27" t="n"/>
      <c r="B290" s="27" t="n"/>
      <c r="C290" s="27" t="n"/>
      <c r="D290" s="27" t="n"/>
      <c r="E290" s="27" t="n"/>
      <c r="F290" s="27" t="n"/>
      <c r="G290" s="28" t="n"/>
      <c r="H290" s="28" t="n"/>
      <c r="I290" s="28" t="n"/>
      <c r="J290" s="27" t="n"/>
      <c r="K290" s="27" t="n"/>
      <c r="L290" s="36" t="n"/>
      <c r="M290" s="37">
        <f>IF(L290="","",L290-TIME(9,0,0))</f>
        <v/>
      </c>
      <c r="N290" s="38" t="n"/>
      <c r="O290" s="38" t="n"/>
      <c r="P290" s="38" t="n"/>
      <c r="Q290" s="34">
        <f>IF(COUNT(N290:P290)=0,"",MEDIAN(N290:P290))</f>
        <v/>
      </c>
      <c r="R290" s="27" t="n"/>
    </row>
    <row r="291">
      <c r="A291" s="27" t="n"/>
      <c r="B291" s="27" t="n"/>
      <c r="C291" s="27" t="n"/>
      <c r="D291" s="27" t="n"/>
      <c r="E291" s="27" t="n"/>
      <c r="F291" s="27" t="n"/>
      <c r="G291" s="28" t="n"/>
      <c r="H291" s="28" t="n"/>
      <c r="I291" s="28" t="n"/>
      <c r="J291" s="27" t="n"/>
      <c r="K291" s="27" t="n"/>
      <c r="L291" s="36" t="n"/>
      <c r="M291" s="37">
        <f>IF(L291="","",L291-TIME(9,0,0))</f>
        <v/>
      </c>
      <c r="N291" s="38" t="n"/>
      <c r="O291" s="38" t="n"/>
      <c r="P291" s="38" t="n"/>
      <c r="Q291" s="34">
        <f>IF(COUNT(N291:P291)=0,"",MEDIAN(N291:P291))</f>
        <v/>
      </c>
      <c r="R291" s="27" t="n"/>
    </row>
    <row r="292">
      <c r="A292" s="27" t="n"/>
      <c r="B292" s="27" t="n"/>
      <c r="C292" s="27" t="n"/>
      <c r="D292" s="27" t="n"/>
      <c r="E292" s="27" t="n"/>
      <c r="F292" s="27" t="n"/>
      <c r="G292" s="28" t="n"/>
      <c r="H292" s="28" t="n"/>
      <c r="I292" s="28" t="n"/>
      <c r="J292" s="27" t="n"/>
      <c r="K292" s="27" t="n"/>
      <c r="L292" s="36" t="n"/>
      <c r="M292" s="37">
        <f>IF(L292="","",L292-TIME(9,0,0))</f>
        <v/>
      </c>
      <c r="N292" s="38" t="n"/>
      <c r="O292" s="38" t="n"/>
      <c r="P292" s="38" t="n"/>
      <c r="Q292" s="34">
        <f>IF(COUNT(N292:P292)=0,"",MEDIAN(N292:P292))</f>
        <v/>
      </c>
      <c r="R292" s="27" t="n"/>
    </row>
    <row r="293">
      <c r="A293" s="27" t="n"/>
      <c r="B293" s="27" t="n"/>
      <c r="C293" s="27" t="n"/>
      <c r="D293" s="27" t="n"/>
      <c r="E293" s="27" t="n"/>
      <c r="F293" s="27" t="n"/>
      <c r="G293" s="28" t="n"/>
      <c r="H293" s="28" t="n"/>
      <c r="I293" s="28" t="n"/>
      <c r="J293" s="27" t="n"/>
      <c r="K293" s="27" t="n"/>
      <c r="L293" s="36" t="n"/>
      <c r="M293" s="37">
        <f>IF(L293="","",L293-TIME(9,0,0))</f>
        <v/>
      </c>
      <c r="N293" s="38" t="n"/>
      <c r="O293" s="38" t="n"/>
      <c r="P293" s="38" t="n"/>
      <c r="Q293" s="34">
        <f>IF(COUNT(N293:P293)=0,"",MEDIAN(N293:P293))</f>
        <v/>
      </c>
      <c r="R293" s="27" t="n"/>
    </row>
    <row r="294">
      <c r="A294" s="27" t="n"/>
      <c r="B294" s="27" t="n"/>
      <c r="C294" s="27" t="n"/>
      <c r="D294" s="27" t="n"/>
      <c r="E294" s="27" t="n"/>
      <c r="F294" s="27" t="n"/>
      <c r="G294" s="28" t="n"/>
      <c r="H294" s="28" t="n"/>
      <c r="I294" s="28" t="n"/>
      <c r="J294" s="27" t="n"/>
      <c r="K294" s="27" t="n"/>
      <c r="L294" s="36" t="n"/>
      <c r="M294" s="37">
        <f>IF(L294="","",L294-TIME(9,0,0))</f>
        <v/>
      </c>
      <c r="N294" s="38" t="n"/>
      <c r="O294" s="38" t="n"/>
      <c r="P294" s="38" t="n"/>
      <c r="Q294" s="34">
        <f>IF(COUNT(N294:P294)=0,"",MEDIAN(N294:P294))</f>
        <v/>
      </c>
      <c r="R294" s="27" t="n"/>
    </row>
    <row r="295">
      <c r="A295" s="27" t="n"/>
      <c r="B295" s="27" t="n"/>
      <c r="C295" s="27" t="n"/>
      <c r="D295" s="27" t="n"/>
      <c r="E295" s="27" t="n"/>
      <c r="F295" s="27" t="n"/>
      <c r="G295" s="28" t="n"/>
      <c r="H295" s="28" t="n"/>
      <c r="I295" s="28" t="n"/>
      <c r="J295" s="27" t="n"/>
      <c r="K295" s="27" t="n"/>
      <c r="L295" s="36" t="n"/>
      <c r="M295" s="37">
        <f>IF(L295="","",L295-TIME(9,0,0))</f>
        <v/>
      </c>
      <c r="N295" s="38" t="n"/>
      <c r="O295" s="38" t="n"/>
      <c r="P295" s="38" t="n"/>
      <c r="Q295" s="34">
        <f>IF(COUNT(N295:P295)=0,"",MEDIAN(N295:P295))</f>
        <v/>
      </c>
      <c r="R295" s="27" t="n"/>
    </row>
    <row r="296">
      <c r="A296" s="27" t="n"/>
      <c r="B296" s="27" t="n"/>
      <c r="C296" s="27" t="n"/>
      <c r="D296" s="27" t="n"/>
      <c r="E296" s="27" t="n"/>
      <c r="F296" s="27" t="n"/>
      <c r="G296" s="28" t="n"/>
      <c r="H296" s="28" t="n"/>
      <c r="I296" s="28" t="n"/>
      <c r="J296" s="27" t="n"/>
      <c r="K296" s="27" t="n"/>
      <c r="L296" s="36" t="n"/>
      <c r="M296" s="37">
        <f>IF(L296="","",L296-TIME(9,0,0))</f>
        <v/>
      </c>
      <c r="N296" s="38" t="n"/>
      <c r="O296" s="38" t="n"/>
      <c r="P296" s="38" t="n"/>
      <c r="Q296" s="34">
        <f>IF(COUNT(N296:P296)=0,"",MEDIAN(N296:P296))</f>
        <v/>
      </c>
      <c r="R296" s="27" t="n"/>
    </row>
    <row r="297">
      <c r="A297" s="27" t="n"/>
      <c r="B297" s="27" t="n"/>
      <c r="C297" s="27" t="n"/>
      <c r="D297" s="27" t="n"/>
      <c r="E297" s="27" t="n"/>
      <c r="F297" s="27" t="n"/>
      <c r="G297" s="28" t="n"/>
      <c r="H297" s="28" t="n"/>
      <c r="I297" s="28" t="n"/>
      <c r="J297" s="27" t="n"/>
      <c r="K297" s="27" t="n"/>
      <c r="L297" s="36" t="n"/>
      <c r="M297" s="37">
        <f>IF(L297="","",L297-TIME(9,0,0))</f>
        <v/>
      </c>
      <c r="N297" s="38" t="n"/>
      <c r="O297" s="38" t="n"/>
      <c r="P297" s="38" t="n"/>
      <c r="Q297" s="34">
        <f>IF(COUNT(N297:P297)=0,"",MEDIAN(N297:P297))</f>
        <v/>
      </c>
      <c r="R297" s="27" t="n"/>
    </row>
    <row r="298">
      <c r="A298" s="27" t="n"/>
      <c r="B298" s="27" t="n"/>
      <c r="C298" s="27" t="n"/>
      <c r="D298" s="27" t="n"/>
      <c r="E298" s="27" t="n"/>
      <c r="F298" s="27" t="n"/>
      <c r="G298" s="28" t="n"/>
      <c r="H298" s="28" t="n"/>
      <c r="I298" s="28" t="n"/>
      <c r="J298" s="27" t="n"/>
      <c r="K298" s="27" t="n"/>
      <c r="L298" s="36" t="n"/>
      <c r="M298" s="37">
        <f>IF(L298="","",L298-TIME(9,0,0))</f>
        <v/>
      </c>
      <c r="N298" s="38" t="n"/>
      <c r="O298" s="38" t="n"/>
      <c r="P298" s="38" t="n"/>
      <c r="Q298" s="34">
        <f>IF(COUNT(N298:P298)=0,"",MEDIAN(N298:P298))</f>
        <v/>
      </c>
      <c r="R298" s="27" t="n"/>
    </row>
    <row r="299">
      <c r="A299" s="27" t="n"/>
      <c r="B299" s="27" t="n"/>
      <c r="C299" s="27" t="n"/>
      <c r="D299" s="27" t="n"/>
      <c r="E299" s="27" t="n"/>
      <c r="F299" s="27" t="n"/>
      <c r="G299" s="28" t="n"/>
      <c r="H299" s="28" t="n"/>
      <c r="I299" s="28" t="n"/>
      <c r="J299" s="27" t="n"/>
      <c r="K299" s="27" t="n"/>
      <c r="L299" s="36" t="n"/>
      <c r="M299" s="37">
        <f>IF(L299="","",L299-TIME(9,0,0))</f>
        <v/>
      </c>
      <c r="N299" s="38" t="n"/>
      <c r="O299" s="38" t="n"/>
      <c r="P299" s="38" t="n"/>
      <c r="Q299" s="34">
        <f>IF(COUNT(N299:P299)=0,"",MEDIAN(N299:P299))</f>
        <v/>
      </c>
      <c r="R299" s="27" t="n"/>
    </row>
    <row r="300">
      <c r="A300" s="27" t="n"/>
      <c r="B300" s="27" t="n"/>
      <c r="C300" s="27" t="n"/>
      <c r="D300" s="27" t="n"/>
      <c r="E300" s="27" t="n"/>
      <c r="F300" s="27" t="n"/>
      <c r="G300" s="28" t="n"/>
      <c r="H300" s="28" t="n"/>
      <c r="I300" s="28" t="n"/>
      <c r="J300" s="27" t="n"/>
      <c r="K300" s="27" t="n"/>
      <c r="L300" s="36" t="n"/>
      <c r="M300" s="37">
        <f>IF(L300="","",L300-TIME(9,0,0))</f>
        <v/>
      </c>
      <c r="N300" s="38" t="n"/>
      <c r="O300" s="38" t="n"/>
      <c r="P300" s="38" t="n"/>
      <c r="Q300" s="34">
        <f>IF(COUNT(N300:P300)=0,"",MEDIAN(N300:P300))</f>
        <v/>
      </c>
      <c r="R300" s="27" t="n"/>
    </row>
    <row r="301">
      <c r="A301" s="27" t="n"/>
      <c r="B301" s="27" t="n"/>
      <c r="C301" s="27" t="n"/>
      <c r="D301" s="27" t="n"/>
      <c r="E301" s="27" t="n"/>
      <c r="F301" s="27" t="n"/>
      <c r="G301" s="28" t="n"/>
      <c r="H301" s="28" t="n"/>
      <c r="I301" s="28" t="n"/>
      <c r="J301" s="27" t="n"/>
      <c r="K301" s="27" t="n"/>
      <c r="L301" s="36" t="n"/>
      <c r="M301" s="37">
        <f>IF(L301="","",L301-TIME(9,0,0))</f>
        <v/>
      </c>
      <c r="N301" s="38" t="n"/>
      <c r="O301" s="38" t="n"/>
      <c r="P301" s="38" t="n"/>
      <c r="Q301" s="34">
        <f>IF(COUNT(N301:P301)=0,"",MEDIAN(N301:P301))</f>
        <v/>
      </c>
      <c r="R301" s="27" t="n"/>
    </row>
    <row r="302">
      <c r="A302" s="27" t="n"/>
      <c r="B302" s="27" t="n"/>
      <c r="C302" s="27" t="n"/>
      <c r="D302" s="27" t="n"/>
      <c r="E302" s="27" t="n"/>
      <c r="F302" s="27" t="n"/>
      <c r="G302" s="28" t="n"/>
      <c r="H302" s="28" t="n"/>
      <c r="I302" s="28" t="n"/>
      <c r="J302" s="27" t="n"/>
      <c r="K302" s="27" t="n"/>
      <c r="L302" s="36" t="n"/>
      <c r="M302" s="37">
        <f>IF(L302="","",L302-TIME(9,0,0))</f>
        <v/>
      </c>
      <c r="N302" s="38" t="n"/>
      <c r="O302" s="38" t="n"/>
      <c r="P302" s="38" t="n"/>
      <c r="Q302" s="34">
        <f>IF(COUNT(N302:P302)=0,"",MEDIAN(N302:P302))</f>
        <v/>
      </c>
      <c r="R302" s="27" t="n"/>
    </row>
    <row r="303">
      <c r="A303" s="27" t="n"/>
      <c r="B303" s="27" t="n"/>
      <c r="C303" s="27" t="n"/>
      <c r="D303" s="27" t="n"/>
      <c r="E303" s="27" t="n"/>
      <c r="F303" s="27" t="n"/>
      <c r="G303" s="28" t="n"/>
      <c r="H303" s="28" t="n"/>
      <c r="I303" s="28" t="n"/>
      <c r="J303" s="27" t="n"/>
      <c r="K303" s="27" t="n"/>
      <c r="L303" s="36" t="n"/>
      <c r="M303" s="37">
        <f>IF(L303="","",L303-TIME(9,0,0))</f>
        <v/>
      </c>
      <c r="N303" s="38" t="n"/>
      <c r="O303" s="38" t="n"/>
      <c r="P303" s="38" t="n"/>
      <c r="Q303" s="34">
        <f>IF(COUNT(N303:P303)=0,"",MEDIAN(N303:P303))</f>
        <v/>
      </c>
      <c r="R303" s="27" t="n"/>
    </row>
    <row r="304">
      <c r="A304" s="27" t="n"/>
      <c r="B304" s="27" t="n"/>
      <c r="C304" s="27" t="n"/>
      <c r="D304" s="27" t="n"/>
      <c r="E304" s="27" t="n"/>
      <c r="F304" s="27" t="n"/>
      <c r="G304" s="28" t="n"/>
      <c r="H304" s="28" t="n"/>
      <c r="I304" s="28" t="n"/>
      <c r="J304" s="27" t="n"/>
      <c r="K304" s="27" t="n"/>
      <c r="L304" s="36" t="n"/>
      <c r="M304" s="37">
        <f>IF(L304="","",L304-TIME(9,0,0))</f>
        <v/>
      </c>
      <c r="N304" s="38" t="n"/>
      <c r="O304" s="38" t="n"/>
      <c r="P304" s="38" t="n"/>
      <c r="Q304" s="34">
        <f>IF(COUNT(N304:P304)=0,"",MEDIAN(N304:P304))</f>
        <v/>
      </c>
      <c r="R304" s="27" t="n"/>
    </row>
    <row r="305">
      <c r="A305" s="27" t="n"/>
      <c r="B305" s="27" t="n"/>
      <c r="C305" s="27" t="n"/>
      <c r="D305" s="27" t="n"/>
      <c r="E305" s="27" t="n"/>
      <c r="F305" s="27" t="n"/>
      <c r="G305" s="28" t="n"/>
      <c r="H305" s="28" t="n"/>
      <c r="I305" s="28" t="n"/>
      <c r="J305" s="27" t="n"/>
      <c r="K305" s="27" t="n"/>
      <c r="L305" s="36" t="n"/>
      <c r="M305" s="37">
        <f>IF(L305="","",L305-TIME(9,0,0))</f>
        <v/>
      </c>
      <c r="N305" s="38" t="n"/>
      <c r="O305" s="38" t="n"/>
      <c r="P305" s="38" t="n"/>
      <c r="Q305" s="34">
        <f>IF(COUNT(N305:P305)=0,"",MEDIAN(N305:P305))</f>
        <v/>
      </c>
      <c r="R305" s="27" t="n"/>
    </row>
    <row r="306">
      <c r="A306" s="27" t="n"/>
      <c r="B306" s="27" t="n"/>
      <c r="C306" s="27" t="n"/>
      <c r="D306" s="27" t="n"/>
      <c r="E306" s="27" t="n"/>
      <c r="F306" s="27" t="n"/>
      <c r="G306" s="28" t="n"/>
      <c r="H306" s="28" t="n"/>
      <c r="I306" s="28" t="n"/>
      <c r="J306" s="27" t="n"/>
      <c r="K306" s="27" t="n"/>
      <c r="L306" s="36" t="n"/>
      <c r="M306" s="37">
        <f>IF(L306="","",L306-TIME(9,0,0))</f>
        <v/>
      </c>
      <c r="N306" s="38" t="n"/>
      <c r="O306" s="38" t="n"/>
      <c r="P306" s="38" t="n"/>
      <c r="Q306" s="34">
        <f>IF(COUNT(N306:P306)=0,"",MEDIAN(N306:P306))</f>
        <v/>
      </c>
      <c r="R306" s="27" t="n"/>
    </row>
    <row r="307">
      <c r="A307" s="27" t="n"/>
      <c r="B307" s="27" t="n"/>
      <c r="C307" s="27" t="n"/>
      <c r="D307" s="27" t="n"/>
      <c r="E307" s="27" t="n"/>
      <c r="F307" s="27" t="n"/>
      <c r="G307" s="28" t="n"/>
      <c r="H307" s="28" t="n"/>
      <c r="I307" s="28" t="n"/>
      <c r="J307" s="27" t="n"/>
      <c r="K307" s="27" t="n"/>
      <c r="L307" s="36" t="n"/>
      <c r="M307" s="37">
        <f>IF(L307="","",L307-TIME(9,0,0))</f>
        <v/>
      </c>
      <c r="N307" s="38" t="n"/>
      <c r="O307" s="38" t="n"/>
      <c r="P307" s="38" t="n"/>
      <c r="Q307" s="34">
        <f>IF(COUNT(N307:P307)=0,"",MEDIAN(N307:P307))</f>
        <v/>
      </c>
      <c r="R307" s="27" t="n"/>
    </row>
    <row r="308">
      <c r="A308" s="27" t="n"/>
      <c r="B308" s="27" t="n"/>
      <c r="C308" s="27" t="n"/>
      <c r="D308" s="27" t="n"/>
      <c r="E308" s="27" t="n"/>
      <c r="F308" s="27" t="n"/>
      <c r="G308" s="28" t="n"/>
      <c r="H308" s="28" t="n"/>
      <c r="I308" s="28" t="n"/>
      <c r="J308" s="27" t="n"/>
      <c r="K308" s="27" t="n"/>
      <c r="L308" s="36" t="n"/>
      <c r="M308" s="37">
        <f>IF(L308="","",L308-TIME(9,0,0))</f>
        <v/>
      </c>
      <c r="N308" s="38" t="n"/>
      <c r="O308" s="38" t="n"/>
      <c r="P308" s="38" t="n"/>
      <c r="Q308" s="34">
        <f>IF(COUNT(N308:P308)=0,"",MEDIAN(N308:P308))</f>
        <v/>
      </c>
      <c r="R308" s="27" t="n"/>
    </row>
    <row r="309">
      <c r="A309" s="27" t="n"/>
      <c r="B309" s="27" t="n"/>
      <c r="C309" s="27" t="n"/>
      <c r="D309" s="27" t="n"/>
      <c r="E309" s="27" t="n"/>
      <c r="F309" s="27" t="n"/>
      <c r="G309" s="28" t="n"/>
      <c r="H309" s="28" t="n"/>
      <c r="I309" s="28" t="n"/>
      <c r="J309" s="27" t="n"/>
      <c r="K309" s="27" t="n"/>
      <c r="L309" s="36" t="n"/>
      <c r="M309" s="37">
        <f>IF(L309="","",L309-TIME(9,0,0))</f>
        <v/>
      </c>
      <c r="N309" s="38" t="n"/>
      <c r="O309" s="38" t="n"/>
      <c r="P309" s="38" t="n"/>
      <c r="Q309" s="34">
        <f>IF(COUNT(N309:P309)=0,"",MEDIAN(N309:P309))</f>
        <v/>
      </c>
      <c r="R309" s="27" t="n"/>
    </row>
    <row r="310">
      <c r="A310" s="27" t="n"/>
      <c r="B310" s="27" t="n"/>
      <c r="C310" s="27" t="n"/>
      <c r="D310" s="27" t="n"/>
      <c r="E310" s="27" t="n"/>
      <c r="F310" s="27" t="n"/>
      <c r="G310" s="28" t="n"/>
      <c r="H310" s="28" t="n"/>
      <c r="I310" s="28" t="n"/>
      <c r="J310" s="27" t="n"/>
      <c r="K310" s="27" t="n"/>
      <c r="L310" s="36" t="n"/>
      <c r="M310" s="37">
        <f>IF(L310="","",L310-TIME(9,0,0))</f>
        <v/>
      </c>
      <c r="N310" s="38" t="n"/>
      <c r="O310" s="38" t="n"/>
      <c r="P310" s="38" t="n"/>
      <c r="Q310" s="34">
        <f>IF(COUNT(N310:P310)=0,"",MEDIAN(N310:P310))</f>
        <v/>
      </c>
      <c r="R310" s="27" t="n"/>
    </row>
    <row r="311">
      <c r="A311" s="27" t="n"/>
      <c r="B311" s="27" t="n"/>
      <c r="C311" s="27" t="n"/>
      <c r="D311" s="27" t="n"/>
      <c r="E311" s="27" t="n"/>
      <c r="F311" s="27" t="n"/>
      <c r="G311" s="28" t="n"/>
      <c r="H311" s="28" t="n"/>
      <c r="I311" s="28" t="n"/>
      <c r="J311" s="27" t="n"/>
      <c r="K311" s="27" t="n"/>
      <c r="L311" s="36" t="n"/>
      <c r="M311" s="37">
        <f>IF(L311="","",L311-TIME(9,0,0))</f>
        <v/>
      </c>
      <c r="N311" s="38" t="n"/>
      <c r="O311" s="38" t="n"/>
      <c r="P311" s="38" t="n"/>
      <c r="Q311" s="34">
        <f>IF(COUNT(N311:P311)=0,"",MEDIAN(N311:P311))</f>
        <v/>
      </c>
      <c r="R311" s="27" t="n"/>
    </row>
    <row r="312">
      <c r="A312" s="27" t="n"/>
      <c r="B312" s="27" t="n"/>
      <c r="C312" s="27" t="n"/>
      <c r="D312" s="27" t="n"/>
      <c r="E312" s="27" t="n"/>
      <c r="F312" s="27" t="n"/>
      <c r="G312" s="28" t="n"/>
      <c r="H312" s="28" t="n"/>
      <c r="I312" s="28" t="n"/>
      <c r="J312" s="27" t="n"/>
      <c r="K312" s="27" t="n"/>
      <c r="L312" s="36" t="n"/>
      <c r="M312" s="37">
        <f>IF(L312="","",L312-TIME(9,0,0))</f>
        <v/>
      </c>
      <c r="N312" s="38" t="n"/>
      <c r="O312" s="38" t="n"/>
      <c r="P312" s="38" t="n"/>
      <c r="Q312" s="34">
        <f>IF(COUNT(N312:P312)=0,"",MEDIAN(N312:P312))</f>
        <v/>
      </c>
      <c r="R312" s="27" t="n"/>
    </row>
    <row r="313">
      <c r="A313" s="27" t="n"/>
      <c r="B313" s="27" t="n"/>
      <c r="C313" s="27" t="n"/>
      <c r="D313" s="27" t="n"/>
      <c r="E313" s="27" t="n"/>
      <c r="F313" s="27" t="n"/>
      <c r="G313" s="28" t="n"/>
      <c r="H313" s="28" t="n"/>
      <c r="I313" s="28" t="n"/>
      <c r="J313" s="27" t="n"/>
      <c r="K313" s="27" t="n"/>
      <c r="L313" s="36" t="n"/>
      <c r="M313" s="37">
        <f>IF(L313="","",L313-TIME(9,0,0))</f>
        <v/>
      </c>
      <c r="N313" s="38" t="n"/>
      <c r="O313" s="38" t="n"/>
      <c r="P313" s="38" t="n"/>
      <c r="Q313" s="34">
        <f>IF(COUNT(N313:P313)=0,"",MEDIAN(N313:P313))</f>
        <v/>
      </c>
      <c r="R313" s="27" t="n"/>
    </row>
    <row r="314">
      <c r="A314" s="27" t="n"/>
      <c r="B314" s="27" t="n"/>
      <c r="C314" s="27" t="n"/>
      <c r="D314" s="27" t="n"/>
      <c r="E314" s="27" t="n"/>
      <c r="F314" s="27" t="n"/>
      <c r="G314" s="28" t="n"/>
      <c r="H314" s="28" t="n"/>
      <c r="I314" s="28" t="n"/>
      <c r="J314" s="27" t="n"/>
      <c r="K314" s="27" t="n"/>
      <c r="L314" s="36" t="n"/>
      <c r="M314" s="37">
        <f>IF(L314="","",L314-TIME(9,0,0))</f>
        <v/>
      </c>
      <c r="N314" s="38" t="n"/>
      <c r="O314" s="38" t="n"/>
      <c r="P314" s="38" t="n"/>
      <c r="Q314" s="34">
        <f>IF(COUNT(N314:P314)=0,"",MEDIAN(N314:P314))</f>
        <v/>
      </c>
      <c r="R314" s="27" t="n"/>
    </row>
    <row r="315">
      <c r="A315" s="27" t="n"/>
      <c r="B315" s="27" t="n"/>
      <c r="C315" s="27" t="n"/>
      <c r="D315" s="27" t="n"/>
      <c r="E315" s="27" t="n"/>
      <c r="F315" s="27" t="n"/>
      <c r="G315" s="28" t="n"/>
      <c r="H315" s="28" t="n"/>
      <c r="I315" s="28" t="n"/>
      <c r="J315" s="27" t="n"/>
      <c r="K315" s="27" t="n"/>
      <c r="L315" s="36" t="n"/>
      <c r="M315" s="37">
        <f>IF(L315="","",L315-TIME(9,0,0))</f>
        <v/>
      </c>
      <c r="N315" s="38" t="n"/>
      <c r="O315" s="38" t="n"/>
      <c r="P315" s="38" t="n"/>
      <c r="Q315" s="34">
        <f>IF(COUNT(N315:P315)=0,"",MEDIAN(N315:P315))</f>
        <v/>
      </c>
      <c r="R315" s="27" t="n"/>
    </row>
    <row r="316">
      <c r="A316" s="27" t="n"/>
      <c r="B316" s="27" t="n"/>
      <c r="C316" s="27" t="n"/>
      <c r="D316" s="27" t="n"/>
      <c r="E316" s="27" t="n"/>
      <c r="F316" s="27" t="n"/>
      <c r="G316" s="28" t="n"/>
      <c r="H316" s="28" t="n"/>
      <c r="I316" s="28" t="n"/>
      <c r="J316" s="27" t="n"/>
      <c r="K316" s="27" t="n"/>
      <c r="L316" s="36" t="n"/>
      <c r="M316" s="37">
        <f>IF(L316="","",L316-TIME(9,0,0))</f>
        <v/>
      </c>
      <c r="N316" s="38" t="n"/>
      <c r="O316" s="38" t="n"/>
      <c r="P316" s="38" t="n"/>
      <c r="Q316" s="34">
        <f>IF(COUNT(N316:P316)=0,"",MEDIAN(N316:P316))</f>
        <v/>
      </c>
      <c r="R316" s="27" t="n"/>
    </row>
    <row r="317">
      <c r="A317" s="27" t="n"/>
      <c r="B317" s="27" t="n"/>
      <c r="C317" s="27" t="n"/>
      <c r="D317" s="27" t="n"/>
      <c r="E317" s="27" t="n"/>
      <c r="F317" s="27" t="n"/>
      <c r="G317" s="28" t="n"/>
      <c r="H317" s="28" t="n"/>
      <c r="I317" s="28" t="n"/>
      <c r="J317" s="27" t="n"/>
      <c r="K317" s="27" t="n"/>
      <c r="L317" s="36" t="n"/>
      <c r="M317" s="37">
        <f>IF(L317="","",L317-TIME(9,0,0))</f>
        <v/>
      </c>
      <c r="N317" s="38" t="n"/>
      <c r="O317" s="38" t="n"/>
      <c r="P317" s="38" t="n"/>
      <c r="Q317" s="34">
        <f>IF(COUNT(N317:P317)=0,"",MEDIAN(N317:P317))</f>
        <v/>
      </c>
      <c r="R317" s="27" t="n"/>
    </row>
    <row r="318">
      <c r="A318" s="27" t="n"/>
      <c r="B318" s="27" t="n"/>
      <c r="C318" s="27" t="n"/>
      <c r="D318" s="27" t="n"/>
      <c r="E318" s="27" t="n"/>
      <c r="F318" s="27" t="n"/>
      <c r="G318" s="28" t="n"/>
      <c r="H318" s="28" t="n"/>
      <c r="I318" s="28" t="n"/>
      <c r="J318" s="27" t="n"/>
      <c r="K318" s="27" t="n"/>
      <c r="L318" s="36" t="n"/>
      <c r="M318" s="37">
        <f>IF(L318="","",L318-TIME(9,0,0))</f>
        <v/>
      </c>
      <c r="N318" s="38" t="n"/>
      <c r="O318" s="38" t="n"/>
      <c r="P318" s="38" t="n"/>
      <c r="Q318" s="34">
        <f>IF(COUNT(N318:P318)=0,"",MEDIAN(N318:P318))</f>
        <v/>
      </c>
      <c r="R318" s="27" t="n"/>
    </row>
    <row r="319">
      <c r="A319" s="27" t="n"/>
      <c r="B319" s="27" t="n"/>
      <c r="C319" s="27" t="n"/>
      <c r="D319" s="27" t="n"/>
      <c r="E319" s="27" t="n"/>
      <c r="F319" s="27" t="n"/>
      <c r="G319" s="28" t="n"/>
      <c r="H319" s="28" t="n"/>
      <c r="I319" s="28" t="n"/>
      <c r="J319" s="27" t="n"/>
      <c r="K319" s="27" t="n"/>
      <c r="L319" s="36" t="n"/>
      <c r="M319" s="37">
        <f>IF(L319="","",L319-TIME(9,0,0))</f>
        <v/>
      </c>
      <c r="N319" s="38" t="n"/>
      <c r="O319" s="38" t="n"/>
      <c r="P319" s="38" t="n"/>
      <c r="Q319" s="34">
        <f>IF(COUNT(N319:P319)=0,"",MEDIAN(N319:P319))</f>
        <v/>
      </c>
      <c r="R319" s="27" t="n"/>
    </row>
    <row r="320">
      <c r="A320" s="27" t="n"/>
      <c r="B320" s="27" t="n"/>
      <c r="C320" s="27" t="n"/>
      <c r="D320" s="27" t="n"/>
      <c r="E320" s="27" t="n"/>
      <c r="F320" s="27" t="n"/>
      <c r="G320" s="28" t="n"/>
      <c r="H320" s="28" t="n"/>
      <c r="I320" s="28" t="n"/>
      <c r="J320" s="27" t="n"/>
      <c r="K320" s="27" t="n"/>
      <c r="L320" s="36" t="n"/>
      <c r="M320" s="37">
        <f>IF(L320="","",L320-TIME(9,0,0))</f>
        <v/>
      </c>
      <c r="N320" s="38" t="n"/>
      <c r="O320" s="38" t="n"/>
      <c r="P320" s="38" t="n"/>
      <c r="Q320" s="34">
        <f>IF(COUNT(N320:P320)=0,"",MEDIAN(N320:P320))</f>
        <v/>
      </c>
      <c r="R320" s="27" t="n"/>
    </row>
    <row r="321">
      <c r="A321" s="27" t="n"/>
      <c r="B321" s="27" t="n"/>
      <c r="C321" s="27" t="n"/>
      <c r="D321" s="27" t="n"/>
      <c r="E321" s="27" t="n"/>
      <c r="F321" s="27" t="n"/>
      <c r="G321" s="28" t="n"/>
      <c r="H321" s="28" t="n"/>
      <c r="I321" s="28" t="n"/>
      <c r="J321" s="27" t="n"/>
      <c r="K321" s="27" t="n"/>
      <c r="L321" s="36" t="n"/>
      <c r="M321" s="37">
        <f>IF(L321="","",L321-TIME(9,0,0))</f>
        <v/>
      </c>
      <c r="N321" s="38" t="n"/>
      <c r="O321" s="38" t="n"/>
      <c r="P321" s="38" t="n"/>
      <c r="Q321" s="34">
        <f>IF(COUNT(N321:P321)=0,"",MEDIAN(N321:P321))</f>
        <v/>
      </c>
      <c r="R321" s="27" t="n"/>
    </row>
    <row r="322">
      <c r="A322" s="27" t="n"/>
      <c r="B322" s="27" t="n"/>
      <c r="C322" s="27" t="n"/>
      <c r="D322" s="27" t="n"/>
      <c r="E322" s="27" t="n"/>
      <c r="F322" s="27" t="n"/>
      <c r="G322" s="28" t="n"/>
      <c r="H322" s="28" t="n"/>
      <c r="I322" s="28" t="n"/>
      <c r="J322" s="27" t="n"/>
      <c r="K322" s="27" t="n"/>
      <c r="L322" s="36" t="n"/>
      <c r="M322" s="37">
        <f>IF(L322="","",L322-TIME(9,0,0))</f>
        <v/>
      </c>
      <c r="N322" s="38" t="n"/>
      <c r="O322" s="38" t="n"/>
      <c r="P322" s="38" t="n"/>
      <c r="Q322" s="34">
        <f>IF(COUNT(N322:P322)=0,"",MEDIAN(N322:P322))</f>
        <v/>
      </c>
      <c r="R322" s="27" t="n"/>
    </row>
    <row r="323">
      <c r="A323" s="27" t="n"/>
      <c r="B323" s="27" t="n"/>
      <c r="C323" s="27" t="n"/>
      <c r="D323" s="27" t="n"/>
      <c r="E323" s="27" t="n"/>
      <c r="F323" s="27" t="n"/>
      <c r="G323" s="28" t="n"/>
      <c r="H323" s="28" t="n"/>
      <c r="I323" s="28" t="n"/>
      <c r="J323" s="27" t="n"/>
      <c r="K323" s="27" t="n"/>
      <c r="L323" s="36" t="n"/>
      <c r="M323" s="37">
        <f>IF(L323="","",L323-TIME(9,0,0))</f>
        <v/>
      </c>
      <c r="N323" s="38" t="n"/>
      <c r="O323" s="38" t="n"/>
      <c r="P323" s="38" t="n"/>
      <c r="Q323" s="34">
        <f>IF(COUNT(N323:P323)=0,"",MEDIAN(N323:P323))</f>
        <v/>
      </c>
      <c r="R323" s="27" t="n"/>
    </row>
    <row r="324">
      <c r="A324" s="27" t="n"/>
      <c r="B324" s="27" t="n"/>
      <c r="C324" s="27" t="n"/>
      <c r="D324" s="27" t="n"/>
      <c r="E324" s="27" t="n"/>
      <c r="F324" s="27" t="n"/>
      <c r="G324" s="28" t="n"/>
      <c r="H324" s="28" t="n"/>
      <c r="I324" s="28" t="n"/>
      <c r="J324" s="27" t="n"/>
      <c r="K324" s="27" t="n"/>
      <c r="L324" s="36" t="n"/>
      <c r="M324" s="37">
        <f>IF(L324="","",L324-TIME(9,0,0))</f>
        <v/>
      </c>
      <c r="N324" s="38" t="n"/>
      <c r="O324" s="38" t="n"/>
      <c r="P324" s="38" t="n"/>
      <c r="Q324" s="34">
        <f>IF(COUNT(N324:P324)=0,"",MEDIAN(N324:P324))</f>
        <v/>
      </c>
      <c r="R324" s="27" t="n"/>
    </row>
    <row r="325">
      <c r="A325" s="27" t="n"/>
      <c r="B325" s="27" t="n"/>
      <c r="C325" s="27" t="n"/>
      <c r="D325" s="27" t="n"/>
      <c r="E325" s="27" t="n"/>
      <c r="F325" s="27" t="n"/>
      <c r="G325" s="28" t="n"/>
      <c r="H325" s="28" t="n"/>
      <c r="I325" s="28" t="n"/>
      <c r="J325" s="27" t="n"/>
      <c r="K325" s="27" t="n"/>
      <c r="L325" s="36" t="n"/>
      <c r="M325" s="37">
        <f>IF(L325="","",L325-TIME(9,0,0))</f>
        <v/>
      </c>
      <c r="N325" s="38" t="n"/>
      <c r="O325" s="38" t="n"/>
      <c r="P325" s="38" t="n"/>
      <c r="Q325" s="34">
        <f>IF(COUNT(N325:P325)=0,"",MEDIAN(N325:P325))</f>
        <v/>
      </c>
      <c r="R325" s="27" t="n"/>
    </row>
    <row r="326">
      <c r="A326" s="27" t="n"/>
      <c r="B326" s="27" t="n"/>
      <c r="C326" s="27" t="n"/>
      <c r="D326" s="27" t="n"/>
      <c r="E326" s="27" t="n"/>
      <c r="F326" s="27" t="n"/>
      <c r="G326" s="28" t="n"/>
      <c r="H326" s="28" t="n"/>
      <c r="I326" s="28" t="n"/>
      <c r="J326" s="27" t="n"/>
      <c r="K326" s="27" t="n"/>
      <c r="L326" s="36" t="n"/>
      <c r="M326" s="37">
        <f>IF(L326="","",L326-TIME(9,0,0))</f>
        <v/>
      </c>
      <c r="N326" s="38" t="n"/>
      <c r="O326" s="38" t="n"/>
      <c r="P326" s="38" t="n"/>
      <c r="Q326" s="34">
        <f>IF(COUNT(N326:P326)=0,"",MEDIAN(N326:P326))</f>
        <v/>
      </c>
      <c r="R326" s="27" t="n"/>
    </row>
    <row r="327">
      <c r="A327" s="27" t="n"/>
      <c r="B327" s="27" t="n"/>
      <c r="C327" s="27" t="n"/>
      <c r="D327" s="27" t="n"/>
      <c r="E327" s="27" t="n"/>
      <c r="F327" s="27" t="n"/>
      <c r="G327" s="28" t="n"/>
      <c r="H327" s="28" t="n"/>
      <c r="I327" s="28" t="n"/>
      <c r="J327" s="27" t="n"/>
      <c r="K327" s="27" t="n"/>
      <c r="L327" s="36" t="n"/>
      <c r="M327" s="37">
        <f>IF(L327="","",L327-TIME(9,0,0))</f>
        <v/>
      </c>
      <c r="N327" s="38" t="n"/>
      <c r="O327" s="38" t="n"/>
      <c r="P327" s="38" t="n"/>
      <c r="Q327" s="34">
        <f>IF(COUNT(N327:P327)=0,"",MEDIAN(N327:P327))</f>
        <v/>
      </c>
      <c r="R327" s="27" t="n"/>
    </row>
    <row r="328">
      <c r="A328" s="27" t="n"/>
      <c r="B328" s="27" t="n"/>
      <c r="C328" s="27" t="n"/>
      <c r="D328" s="27" t="n"/>
      <c r="E328" s="27" t="n"/>
      <c r="F328" s="27" t="n"/>
      <c r="G328" s="28" t="n"/>
      <c r="H328" s="28" t="n"/>
      <c r="I328" s="28" t="n"/>
      <c r="J328" s="27" t="n"/>
      <c r="K328" s="27" t="n"/>
      <c r="L328" s="36" t="n"/>
      <c r="M328" s="37">
        <f>IF(L328="","",L328-TIME(9,0,0))</f>
        <v/>
      </c>
      <c r="N328" s="38" t="n"/>
      <c r="O328" s="38" t="n"/>
      <c r="P328" s="38" t="n"/>
      <c r="Q328" s="34">
        <f>IF(COUNT(N328:P328)=0,"",MEDIAN(N328:P328))</f>
        <v/>
      </c>
      <c r="R328" s="27" t="n"/>
    </row>
    <row r="329">
      <c r="A329" s="27" t="n"/>
      <c r="B329" s="27" t="n"/>
      <c r="C329" s="27" t="n"/>
      <c r="D329" s="27" t="n"/>
      <c r="E329" s="27" t="n"/>
      <c r="F329" s="27" t="n"/>
      <c r="G329" s="28" t="n"/>
      <c r="H329" s="28" t="n"/>
      <c r="I329" s="28" t="n"/>
      <c r="J329" s="27" t="n"/>
      <c r="K329" s="27" t="n"/>
      <c r="L329" s="36" t="n"/>
      <c r="M329" s="37">
        <f>IF(L329="","",L329-TIME(9,0,0))</f>
        <v/>
      </c>
      <c r="N329" s="38" t="n"/>
      <c r="O329" s="38" t="n"/>
      <c r="P329" s="38" t="n"/>
      <c r="Q329" s="34">
        <f>IF(COUNT(N329:P329)=0,"",MEDIAN(N329:P329))</f>
        <v/>
      </c>
      <c r="R329" s="27" t="n"/>
    </row>
    <row r="330">
      <c r="A330" s="27" t="n"/>
      <c r="B330" s="27" t="n"/>
      <c r="C330" s="27" t="n"/>
      <c r="D330" s="27" t="n"/>
      <c r="E330" s="27" t="n"/>
      <c r="F330" s="27" t="n"/>
      <c r="G330" s="28" t="n"/>
      <c r="H330" s="28" t="n"/>
      <c r="I330" s="28" t="n"/>
      <c r="J330" s="27" t="n"/>
      <c r="K330" s="27" t="n"/>
      <c r="L330" s="36" t="n"/>
      <c r="M330" s="37">
        <f>IF(L330="","",L330-TIME(9,0,0))</f>
        <v/>
      </c>
      <c r="N330" s="38" t="n"/>
      <c r="O330" s="38" t="n"/>
      <c r="P330" s="38" t="n"/>
      <c r="Q330" s="34">
        <f>IF(COUNT(N330:P330)=0,"",MEDIAN(N330:P330))</f>
        <v/>
      </c>
      <c r="R330" s="27" t="n"/>
    </row>
    <row r="331">
      <c r="A331" s="27" t="n"/>
      <c r="B331" s="27" t="n"/>
      <c r="C331" s="27" t="n"/>
      <c r="D331" s="27" t="n"/>
      <c r="E331" s="27" t="n"/>
      <c r="F331" s="27" t="n"/>
      <c r="G331" s="28" t="n"/>
      <c r="H331" s="28" t="n"/>
      <c r="I331" s="28" t="n"/>
      <c r="J331" s="27" t="n"/>
      <c r="K331" s="27" t="n"/>
      <c r="L331" s="36" t="n"/>
      <c r="M331" s="37">
        <f>IF(L331="","",L331-TIME(9,0,0))</f>
        <v/>
      </c>
      <c r="N331" s="38" t="n"/>
      <c r="O331" s="38" t="n"/>
      <c r="P331" s="38" t="n"/>
      <c r="Q331" s="34">
        <f>IF(COUNT(N331:P331)=0,"",MEDIAN(N331:P331))</f>
        <v/>
      </c>
      <c r="R331" s="27" t="n"/>
    </row>
    <row r="332">
      <c r="A332" s="27" t="n"/>
      <c r="B332" s="27" t="n"/>
      <c r="C332" s="27" t="n"/>
      <c r="D332" s="27" t="n"/>
      <c r="E332" s="27" t="n"/>
      <c r="F332" s="27" t="n"/>
      <c r="G332" s="28" t="n"/>
      <c r="H332" s="28" t="n"/>
      <c r="I332" s="28" t="n"/>
      <c r="J332" s="27" t="n"/>
      <c r="K332" s="27" t="n"/>
      <c r="L332" s="36" t="n"/>
      <c r="M332" s="37">
        <f>IF(L332="","",L332-TIME(9,0,0))</f>
        <v/>
      </c>
      <c r="N332" s="38" t="n"/>
      <c r="O332" s="38" t="n"/>
      <c r="P332" s="38" t="n"/>
      <c r="Q332" s="34">
        <f>IF(COUNT(N332:P332)=0,"",MEDIAN(N332:P332))</f>
        <v/>
      </c>
      <c r="R332" s="27" t="n"/>
    </row>
    <row r="333">
      <c r="A333" s="27" t="n"/>
      <c r="B333" s="27" t="n"/>
      <c r="C333" s="27" t="n"/>
      <c r="D333" s="27" t="n"/>
      <c r="E333" s="27" t="n"/>
      <c r="F333" s="27" t="n"/>
      <c r="G333" s="28" t="n"/>
      <c r="H333" s="28" t="n"/>
      <c r="I333" s="28" t="n"/>
      <c r="J333" s="27" t="n"/>
      <c r="K333" s="27" t="n"/>
      <c r="L333" s="36" t="n"/>
      <c r="M333" s="37">
        <f>IF(L333="","",L333-TIME(9,0,0))</f>
        <v/>
      </c>
      <c r="N333" s="38" t="n"/>
      <c r="O333" s="38" t="n"/>
      <c r="P333" s="38" t="n"/>
      <c r="Q333" s="34">
        <f>IF(COUNT(N333:P333)=0,"",MEDIAN(N333:P333))</f>
        <v/>
      </c>
      <c r="R333" s="27" t="n"/>
    </row>
    <row r="334">
      <c r="A334" s="27" t="n"/>
      <c r="B334" s="27" t="n"/>
      <c r="C334" s="27" t="n"/>
      <c r="D334" s="27" t="n"/>
      <c r="E334" s="27" t="n"/>
      <c r="F334" s="27" t="n"/>
      <c r="G334" s="28" t="n"/>
      <c r="H334" s="28" t="n"/>
      <c r="I334" s="28" t="n"/>
      <c r="J334" s="27" t="n"/>
      <c r="K334" s="27" t="n"/>
      <c r="L334" s="36" t="n"/>
      <c r="M334" s="37">
        <f>IF(L334="","",L334-TIME(9,0,0))</f>
        <v/>
      </c>
      <c r="N334" s="38" t="n"/>
      <c r="O334" s="38" t="n"/>
      <c r="P334" s="38" t="n"/>
      <c r="Q334" s="34">
        <f>IF(COUNT(N334:P334)=0,"",MEDIAN(N334:P334))</f>
        <v/>
      </c>
      <c r="R334" s="27" t="n"/>
    </row>
    <row r="335">
      <c r="A335" s="27" t="n"/>
      <c r="B335" s="27" t="n"/>
      <c r="C335" s="27" t="n"/>
      <c r="D335" s="27" t="n"/>
      <c r="E335" s="27" t="n"/>
      <c r="F335" s="27" t="n"/>
      <c r="G335" s="28" t="n"/>
      <c r="H335" s="28" t="n"/>
      <c r="I335" s="28" t="n"/>
      <c r="J335" s="27" t="n"/>
      <c r="K335" s="27" t="n"/>
      <c r="L335" s="36" t="n"/>
      <c r="M335" s="37">
        <f>IF(L335="","",L335-TIME(9,0,0))</f>
        <v/>
      </c>
      <c r="N335" s="38" t="n"/>
      <c r="O335" s="38" t="n"/>
      <c r="P335" s="38" t="n"/>
      <c r="Q335" s="34">
        <f>IF(COUNT(N335:P335)=0,"",MEDIAN(N335:P335))</f>
        <v/>
      </c>
      <c r="R335" s="27" t="n"/>
    </row>
    <row r="336">
      <c r="A336" s="27" t="n"/>
      <c r="B336" s="27" t="n"/>
      <c r="C336" s="27" t="n"/>
      <c r="D336" s="27" t="n"/>
      <c r="E336" s="27" t="n"/>
      <c r="F336" s="27" t="n"/>
      <c r="G336" s="28" t="n"/>
      <c r="H336" s="28" t="n"/>
      <c r="I336" s="28" t="n"/>
      <c r="J336" s="27" t="n"/>
      <c r="K336" s="27" t="n"/>
      <c r="L336" s="36" t="n"/>
      <c r="M336" s="37">
        <f>IF(L336="","",L336-TIME(9,0,0))</f>
        <v/>
      </c>
      <c r="N336" s="38" t="n"/>
      <c r="O336" s="38" t="n"/>
      <c r="P336" s="38" t="n"/>
      <c r="Q336" s="34">
        <f>IF(COUNT(N336:P336)=0,"",MEDIAN(N336:P336))</f>
        <v/>
      </c>
      <c r="R336" s="27" t="n"/>
    </row>
    <row r="337">
      <c r="A337" s="27" t="n"/>
      <c r="B337" s="27" t="n"/>
      <c r="C337" s="27" t="n"/>
      <c r="D337" s="27" t="n"/>
      <c r="E337" s="27" t="n"/>
      <c r="F337" s="27" t="n"/>
      <c r="G337" s="28" t="n"/>
      <c r="H337" s="28" t="n"/>
      <c r="I337" s="28" t="n"/>
      <c r="J337" s="27" t="n"/>
      <c r="K337" s="27" t="n"/>
      <c r="L337" s="36" t="n"/>
      <c r="M337" s="37">
        <f>IF(L337="","",L337-TIME(9,0,0))</f>
        <v/>
      </c>
      <c r="N337" s="38" t="n"/>
      <c r="O337" s="38" t="n"/>
      <c r="P337" s="38" t="n"/>
      <c r="Q337" s="34">
        <f>IF(COUNT(N337:P337)=0,"",MEDIAN(N337:P337))</f>
        <v/>
      </c>
      <c r="R337" s="27" t="n"/>
    </row>
    <row r="338">
      <c r="A338" s="27" t="n"/>
      <c r="B338" s="27" t="n"/>
      <c r="C338" s="27" t="n"/>
      <c r="D338" s="27" t="n"/>
      <c r="E338" s="27" t="n"/>
      <c r="F338" s="27" t="n"/>
      <c r="G338" s="28" t="n"/>
      <c r="H338" s="28" t="n"/>
      <c r="I338" s="28" t="n"/>
      <c r="J338" s="27" t="n"/>
      <c r="K338" s="27" t="n"/>
      <c r="L338" s="36" t="n"/>
      <c r="M338" s="37">
        <f>IF(L338="","",L338-TIME(9,0,0))</f>
        <v/>
      </c>
      <c r="N338" s="38" t="n"/>
      <c r="O338" s="38" t="n"/>
      <c r="P338" s="38" t="n"/>
      <c r="Q338" s="34">
        <f>IF(COUNT(N338:P338)=0,"",MEDIAN(N338:P338))</f>
        <v/>
      </c>
      <c r="R338" s="27" t="n"/>
    </row>
    <row r="339">
      <c r="A339" s="27" t="n"/>
      <c r="B339" s="27" t="n"/>
      <c r="C339" s="27" t="n"/>
      <c r="D339" s="27" t="n"/>
      <c r="E339" s="27" t="n"/>
      <c r="F339" s="27" t="n"/>
      <c r="G339" s="28" t="n"/>
      <c r="H339" s="28" t="n"/>
      <c r="I339" s="28" t="n"/>
      <c r="J339" s="27" t="n"/>
      <c r="K339" s="27" t="n"/>
      <c r="L339" s="36" t="n"/>
      <c r="M339" s="37">
        <f>IF(L339="","",L339-TIME(9,0,0))</f>
        <v/>
      </c>
      <c r="N339" s="38" t="n"/>
      <c r="O339" s="38" t="n"/>
      <c r="P339" s="38" t="n"/>
      <c r="Q339" s="34">
        <f>IF(COUNT(N339:P339)=0,"",MEDIAN(N339:P339))</f>
        <v/>
      </c>
      <c r="R339" s="27" t="n"/>
    </row>
    <row r="340">
      <c r="A340" s="27" t="n"/>
      <c r="B340" s="27" t="n"/>
      <c r="C340" s="27" t="n"/>
      <c r="D340" s="27" t="n"/>
      <c r="E340" s="27" t="n"/>
      <c r="F340" s="27" t="n"/>
      <c r="G340" s="28" t="n"/>
      <c r="H340" s="28" t="n"/>
      <c r="I340" s="28" t="n"/>
      <c r="J340" s="27" t="n"/>
      <c r="K340" s="27" t="n"/>
      <c r="L340" s="36" t="n"/>
      <c r="M340" s="37">
        <f>IF(L340="","",L340-TIME(9,0,0))</f>
        <v/>
      </c>
      <c r="N340" s="38" t="n"/>
      <c r="O340" s="38" t="n"/>
      <c r="P340" s="38" t="n"/>
      <c r="Q340" s="34">
        <f>IF(COUNT(N340:P340)=0,"",MEDIAN(N340:P340))</f>
        <v/>
      </c>
      <c r="R340" s="27" t="n"/>
    </row>
    <row r="341">
      <c r="A341" s="27" t="n"/>
      <c r="B341" s="27" t="n"/>
      <c r="C341" s="27" t="n"/>
      <c r="D341" s="27" t="n"/>
      <c r="E341" s="27" t="n"/>
      <c r="F341" s="27" t="n"/>
      <c r="G341" s="28" t="n"/>
      <c r="H341" s="28" t="n"/>
      <c r="I341" s="28" t="n"/>
      <c r="J341" s="27" t="n"/>
      <c r="K341" s="27" t="n"/>
      <c r="L341" s="36" t="n"/>
      <c r="M341" s="37">
        <f>IF(L341="","",L341-TIME(9,0,0))</f>
        <v/>
      </c>
      <c r="N341" s="38" t="n"/>
      <c r="O341" s="38" t="n"/>
      <c r="P341" s="38" t="n"/>
      <c r="Q341" s="34">
        <f>IF(COUNT(N341:P341)=0,"",MEDIAN(N341:P341))</f>
        <v/>
      </c>
      <c r="R341" s="27" t="n"/>
    </row>
    <row r="342">
      <c r="A342" s="27" t="n"/>
      <c r="B342" s="27" t="n"/>
      <c r="C342" s="27" t="n"/>
      <c r="D342" s="27" t="n"/>
      <c r="E342" s="27" t="n"/>
      <c r="F342" s="27" t="n"/>
      <c r="G342" s="28" t="n"/>
      <c r="H342" s="28" t="n"/>
      <c r="I342" s="28" t="n"/>
      <c r="J342" s="27" t="n"/>
      <c r="K342" s="27" t="n"/>
      <c r="L342" s="36" t="n"/>
      <c r="M342" s="37">
        <f>IF(L342="","",L342-TIME(9,0,0))</f>
        <v/>
      </c>
      <c r="N342" s="38" t="n"/>
      <c r="O342" s="38" t="n"/>
      <c r="P342" s="38" t="n"/>
      <c r="Q342" s="34">
        <f>IF(COUNT(N342:P342)=0,"",MEDIAN(N342:P342))</f>
        <v/>
      </c>
      <c r="R342" s="27" t="n"/>
    </row>
    <row r="343">
      <c r="A343" s="27" t="n"/>
      <c r="B343" s="27" t="n"/>
      <c r="C343" s="27" t="n"/>
      <c r="D343" s="27" t="n"/>
      <c r="E343" s="27" t="n"/>
      <c r="F343" s="27" t="n"/>
      <c r="G343" s="28" t="n"/>
      <c r="H343" s="28" t="n"/>
      <c r="I343" s="28" t="n"/>
      <c r="J343" s="27" t="n"/>
      <c r="K343" s="27" t="n"/>
      <c r="L343" s="36" t="n"/>
      <c r="M343" s="37">
        <f>IF(L343="","",L343-TIME(9,0,0))</f>
        <v/>
      </c>
      <c r="N343" s="38" t="n"/>
      <c r="O343" s="38" t="n"/>
      <c r="P343" s="38" t="n"/>
      <c r="Q343" s="34">
        <f>IF(COUNT(N343:P343)=0,"",MEDIAN(N343:P343))</f>
        <v/>
      </c>
      <c r="R343" s="27" t="n"/>
    </row>
    <row r="344">
      <c r="A344" s="27" t="n"/>
      <c r="B344" s="27" t="n"/>
      <c r="C344" s="27" t="n"/>
      <c r="D344" s="27" t="n"/>
      <c r="E344" s="27" t="n"/>
      <c r="F344" s="27" t="n"/>
      <c r="G344" s="28" t="n"/>
      <c r="H344" s="28" t="n"/>
      <c r="I344" s="28" t="n"/>
      <c r="J344" s="27" t="n"/>
      <c r="K344" s="27" t="n"/>
      <c r="L344" s="36" t="n"/>
      <c r="M344" s="37">
        <f>IF(L344="","",L344-TIME(9,0,0))</f>
        <v/>
      </c>
      <c r="N344" s="38" t="n"/>
      <c r="O344" s="38" t="n"/>
      <c r="P344" s="38" t="n"/>
      <c r="Q344" s="34">
        <f>IF(COUNT(N344:P344)=0,"",MEDIAN(N344:P344))</f>
        <v/>
      </c>
      <c r="R344" s="27" t="n"/>
    </row>
    <row r="345">
      <c r="A345" s="27" t="n"/>
      <c r="B345" s="27" t="n"/>
      <c r="C345" s="27" t="n"/>
      <c r="D345" s="27" t="n"/>
      <c r="E345" s="27" t="n"/>
      <c r="F345" s="27" t="n"/>
      <c r="G345" s="28" t="n"/>
      <c r="H345" s="28" t="n"/>
      <c r="I345" s="28" t="n"/>
      <c r="J345" s="27" t="n"/>
      <c r="K345" s="27" t="n"/>
      <c r="L345" s="36" t="n"/>
      <c r="M345" s="37">
        <f>IF(L345="","",L345-TIME(9,0,0))</f>
        <v/>
      </c>
      <c r="N345" s="38" t="n"/>
      <c r="O345" s="38" t="n"/>
      <c r="P345" s="38" t="n"/>
      <c r="Q345" s="34">
        <f>IF(COUNT(N345:P345)=0,"",MEDIAN(N345:P345))</f>
        <v/>
      </c>
      <c r="R345" s="27" t="n"/>
    </row>
    <row r="346">
      <c r="A346" s="27" t="n"/>
      <c r="B346" s="27" t="n"/>
      <c r="C346" s="27" t="n"/>
      <c r="D346" s="27" t="n"/>
      <c r="E346" s="27" t="n"/>
      <c r="F346" s="27" t="n"/>
      <c r="G346" s="28" t="n"/>
      <c r="H346" s="28" t="n"/>
      <c r="I346" s="28" t="n"/>
      <c r="J346" s="27" t="n"/>
      <c r="K346" s="27" t="n"/>
      <c r="L346" s="36" t="n"/>
      <c r="M346" s="37">
        <f>IF(L346="","",L346-TIME(9,0,0))</f>
        <v/>
      </c>
      <c r="N346" s="38" t="n"/>
      <c r="O346" s="38" t="n"/>
      <c r="P346" s="38" t="n"/>
      <c r="Q346" s="34">
        <f>IF(COUNT(N346:P346)=0,"",MEDIAN(N346:P346))</f>
        <v/>
      </c>
      <c r="R346" s="27" t="n"/>
    </row>
    <row r="347">
      <c r="A347" s="27" t="n"/>
      <c r="B347" s="27" t="n"/>
      <c r="C347" s="27" t="n"/>
      <c r="D347" s="27" t="n"/>
      <c r="E347" s="27" t="n"/>
      <c r="F347" s="27" t="n"/>
      <c r="G347" s="28" t="n"/>
      <c r="H347" s="28" t="n"/>
      <c r="I347" s="28" t="n"/>
      <c r="J347" s="27" t="n"/>
      <c r="K347" s="27" t="n"/>
      <c r="L347" s="36" t="n"/>
      <c r="M347" s="37">
        <f>IF(L347="","",L347-TIME(9,0,0))</f>
        <v/>
      </c>
      <c r="N347" s="38" t="n"/>
      <c r="O347" s="38" t="n"/>
      <c r="P347" s="38" t="n"/>
      <c r="Q347" s="34">
        <f>IF(COUNT(N347:P347)=0,"",MEDIAN(N347:P347))</f>
        <v/>
      </c>
      <c r="R347" s="27" t="n"/>
    </row>
    <row r="348">
      <c r="A348" s="27" t="n"/>
      <c r="B348" s="27" t="n"/>
      <c r="C348" s="27" t="n"/>
      <c r="D348" s="27" t="n"/>
      <c r="E348" s="27" t="n"/>
      <c r="F348" s="27" t="n"/>
      <c r="G348" s="28" t="n"/>
      <c r="H348" s="28" t="n"/>
      <c r="I348" s="28" t="n"/>
      <c r="J348" s="27" t="n"/>
      <c r="K348" s="27" t="n"/>
      <c r="L348" s="36" t="n"/>
      <c r="M348" s="37">
        <f>IF(L348="","",L348-TIME(9,0,0))</f>
        <v/>
      </c>
      <c r="N348" s="38" t="n"/>
      <c r="O348" s="38" t="n"/>
      <c r="P348" s="38" t="n"/>
      <c r="Q348" s="34">
        <f>IF(COUNT(N348:P348)=0,"",MEDIAN(N348:P348))</f>
        <v/>
      </c>
      <c r="R348" s="27" t="n"/>
    </row>
    <row r="349">
      <c r="A349" s="27" t="n"/>
      <c r="B349" s="27" t="n"/>
      <c r="C349" s="27" t="n"/>
      <c r="D349" s="27" t="n"/>
      <c r="E349" s="27" t="n"/>
      <c r="F349" s="27" t="n"/>
      <c r="G349" s="28" t="n"/>
      <c r="H349" s="28" t="n"/>
      <c r="I349" s="28" t="n"/>
      <c r="J349" s="27" t="n"/>
      <c r="K349" s="27" t="n"/>
      <c r="L349" s="36" t="n"/>
      <c r="M349" s="37">
        <f>IF(L349="","",L349-TIME(9,0,0))</f>
        <v/>
      </c>
      <c r="N349" s="38" t="n"/>
      <c r="O349" s="38" t="n"/>
      <c r="P349" s="38" t="n"/>
      <c r="Q349" s="34">
        <f>IF(COUNT(N349:P349)=0,"",MEDIAN(N349:P349))</f>
        <v/>
      </c>
      <c r="R349" s="27" t="n"/>
    </row>
    <row r="350">
      <c r="A350" s="27" t="n"/>
      <c r="B350" s="27" t="n"/>
      <c r="C350" s="27" t="n"/>
      <c r="D350" s="27" t="n"/>
      <c r="E350" s="27" t="n"/>
      <c r="F350" s="27" t="n"/>
      <c r="G350" s="28" t="n"/>
      <c r="H350" s="28" t="n"/>
      <c r="I350" s="28" t="n"/>
      <c r="J350" s="27" t="n"/>
      <c r="K350" s="27" t="n"/>
      <c r="L350" s="36" t="n"/>
      <c r="M350" s="37">
        <f>IF(L350="","",L350-TIME(9,0,0))</f>
        <v/>
      </c>
      <c r="N350" s="38" t="n"/>
      <c r="O350" s="38" t="n"/>
      <c r="P350" s="38" t="n"/>
      <c r="Q350" s="34">
        <f>IF(COUNT(N350:P350)=0,"",MEDIAN(N350:P350))</f>
        <v/>
      </c>
      <c r="R350" s="27" t="n"/>
    </row>
    <row r="351">
      <c r="A351" s="27" t="n"/>
      <c r="B351" s="27" t="n"/>
      <c r="C351" s="27" t="n"/>
      <c r="D351" s="27" t="n"/>
      <c r="E351" s="27" t="n"/>
      <c r="F351" s="27" t="n"/>
      <c r="G351" s="28" t="n"/>
      <c r="H351" s="28" t="n"/>
      <c r="I351" s="28" t="n"/>
      <c r="J351" s="27" t="n"/>
      <c r="K351" s="27" t="n"/>
      <c r="L351" s="36" t="n"/>
      <c r="M351" s="37">
        <f>IF(L351="","",L351-TIME(9,0,0))</f>
        <v/>
      </c>
      <c r="N351" s="38" t="n"/>
      <c r="O351" s="38" t="n"/>
      <c r="P351" s="38" t="n"/>
      <c r="Q351" s="34">
        <f>IF(COUNT(N351:P351)=0,"",MEDIAN(N351:P351))</f>
        <v/>
      </c>
      <c r="R351" s="27" t="n"/>
    </row>
    <row r="352">
      <c r="A352" s="27" t="n"/>
      <c r="B352" s="27" t="n"/>
      <c r="C352" s="27" t="n"/>
      <c r="D352" s="27" t="n"/>
      <c r="E352" s="27" t="n"/>
      <c r="F352" s="27" t="n"/>
      <c r="G352" s="28" t="n"/>
      <c r="H352" s="28" t="n"/>
      <c r="I352" s="28" t="n"/>
      <c r="J352" s="27" t="n"/>
      <c r="K352" s="27" t="n"/>
      <c r="L352" s="36" t="n"/>
      <c r="M352" s="37">
        <f>IF(L352="","",L352-TIME(9,0,0))</f>
        <v/>
      </c>
      <c r="N352" s="38" t="n"/>
      <c r="O352" s="38" t="n"/>
      <c r="P352" s="38" t="n"/>
      <c r="Q352" s="34">
        <f>IF(COUNT(N352:P352)=0,"",MEDIAN(N352:P352))</f>
        <v/>
      </c>
      <c r="R352" s="27" t="n"/>
    </row>
    <row r="353">
      <c r="A353" s="27" t="n"/>
      <c r="B353" s="27" t="n"/>
      <c r="C353" s="27" t="n"/>
      <c r="D353" s="27" t="n"/>
      <c r="E353" s="27" t="n"/>
      <c r="F353" s="27" t="n"/>
      <c r="G353" s="28" t="n"/>
      <c r="H353" s="28" t="n"/>
      <c r="I353" s="28" t="n"/>
      <c r="J353" s="27" t="n"/>
      <c r="K353" s="27" t="n"/>
      <c r="L353" s="36" t="n"/>
      <c r="M353" s="37">
        <f>IF(L353="","",L353-TIME(9,0,0))</f>
        <v/>
      </c>
      <c r="N353" s="38" t="n"/>
      <c r="O353" s="38" t="n"/>
      <c r="P353" s="38" t="n"/>
      <c r="Q353" s="34">
        <f>IF(COUNT(N353:P353)=0,"",MEDIAN(N353:P353))</f>
        <v/>
      </c>
      <c r="R353" s="27" t="n"/>
    </row>
    <row r="354">
      <c r="A354" s="27" t="n"/>
      <c r="B354" s="27" t="n"/>
      <c r="C354" s="27" t="n"/>
      <c r="D354" s="27" t="n"/>
      <c r="E354" s="27" t="n"/>
      <c r="F354" s="27" t="n"/>
      <c r="G354" s="28" t="n"/>
      <c r="H354" s="28" t="n"/>
      <c r="I354" s="28" t="n"/>
      <c r="J354" s="27" t="n"/>
      <c r="K354" s="27" t="n"/>
      <c r="L354" s="36" t="n"/>
      <c r="M354" s="37">
        <f>IF(L354="","",L354-TIME(9,0,0))</f>
        <v/>
      </c>
      <c r="N354" s="38" t="n"/>
      <c r="O354" s="38" t="n"/>
      <c r="P354" s="38" t="n"/>
      <c r="Q354" s="34">
        <f>IF(COUNT(N354:P354)=0,"",MEDIAN(N354:P354))</f>
        <v/>
      </c>
      <c r="R354" s="27" t="n"/>
    </row>
    <row r="355">
      <c r="A355" s="27" t="n"/>
      <c r="B355" s="27" t="n"/>
      <c r="C355" s="27" t="n"/>
      <c r="D355" s="27" t="n"/>
      <c r="E355" s="27" t="n"/>
      <c r="F355" s="27" t="n"/>
      <c r="G355" s="28" t="n"/>
      <c r="H355" s="28" t="n"/>
      <c r="I355" s="28" t="n"/>
      <c r="J355" s="27" t="n"/>
      <c r="K355" s="27" t="n"/>
      <c r="L355" s="36" t="n"/>
      <c r="M355" s="37">
        <f>IF(L355="","",L355-TIME(9,0,0))</f>
        <v/>
      </c>
      <c r="N355" s="38" t="n"/>
      <c r="O355" s="38" t="n"/>
      <c r="P355" s="38" t="n"/>
      <c r="Q355" s="34">
        <f>IF(COUNT(N355:P355)=0,"",MEDIAN(N355:P355))</f>
        <v/>
      </c>
      <c r="R355" s="27" t="n"/>
    </row>
    <row r="356">
      <c r="A356" s="27" t="n"/>
      <c r="B356" s="27" t="n"/>
      <c r="C356" s="27" t="n"/>
      <c r="D356" s="27" t="n"/>
      <c r="E356" s="27" t="n"/>
      <c r="F356" s="27" t="n"/>
      <c r="G356" s="28" t="n"/>
      <c r="H356" s="28" t="n"/>
      <c r="I356" s="28" t="n"/>
      <c r="J356" s="27" t="n"/>
      <c r="K356" s="27" t="n"/>
      <c r="L356" s="36" t="n"/>
      <c r="M356" s="37">
        <f>IF(L356="","",L356-TIME(9,0,0))</f>
        <v/>
      </c>
      <c r="N356" s="38" t="n"/>
      <c r="O356" s="38" t="n"/>
      <c r="P356" s="38" t="n"/>
      <c r="Q356" s="34">
        <f>IF(COUNT(N356:P356)=0,"",MEDIAN(N356:P356))</f>
        <v/>
      </c>
      <c r="R356" s="27" t="n"/>
    </row>
    <row r="357">
      <c r="A357" s="27" t="n"/>
      <c r="B357" s="27" t="n"/>
      <c r="C357" s="27" t="n"/>
      <c r="D357" s="27" t="n"/>
      <c r="E357" s="27" t="n"/>
      <c r="F357" s="27" t="n"/>
      <c r="G357" s="28" t="n"/>
      <c r="H357" s="28" t="n"/>
      <c r="I357" s="28" t="n"/>
      <c r="J357" s="27" t="n"/>
      <c r="K357" s="27" t="n"/>
      <c r="L357" s="36" t="n"/>
      <c r="M357" s="37">
        <f>IF(L357="","",L357-TIME(9,0,0))</f>
        <v/>
      </c>
      <c r="N357" s="38" t="n"/>
      <c r="O357" s="38" t="n"/>
      <c r="P357" s="38" t="n"/>
      <c r="Q357" s="34">
        <f>IF(COUNT(N357:P357)=0,"",MEDIAN(N357:P357))</f>
        <v/>
      </c>
      <c r="R357" s="27" t="n"/>
    </row>
    <row r="358">
      <c r="A358" s="27" t="n"/>
      <c r="B358" s="27" t="n"/>
      <c r="C358" s="27" t="n"/>
      <c r="D358" s="27" t="n"/>
      <c r="E358" s="27" t="n"/>
      <c r="F358" s="27" t="n"/>
      <c r="G358" s="28" t="n"/>
      <c r="H358" s="28" t="n"/>
      <c r="I358" s="28" t="n"/>
      <c r="J358" s="27" t="n"/>
      <c r="K358" s="27" t="n"/>
      <c r="L358" s="36" t="n"/>
      <c r="M358" s="37">
        <f>IF(L358="","",L358-TIME(9,0,0))</f>
        <v/>
      </c>
      <c r="N358" s="38" t="n"/>
      <c r="O358" s="38" t="n"/>
      <c r="P358" s="38" t="n"/>
      <c r="Q358" s="34">
        <f>IF(COUNT(N358:P358)=0,"",MEDIAN(N358:P358))</f>
        <v/>
      </c>
      <c r="R358" s="27" t="n"/>
    </row>
    <row r="359">
      <c r="A359" s="27" t="n"/>
      <c r="B359" s="27" t="n"/>
      <c r="C359" s="27" t="n"/>
      <c r="D359" s="27" t="n"/>
      <c r="E359" s="27" t="n"/>
      <c r="F359" s="27" t="n"/>
      <c r="G359" s="28" t="n"/>
      <c r="H359" s="28" t="n"/>
      <c r="I359" s="28" t="n"/>
      <c r="J359" s="27" t="n"/>
      <c r="K359" s="27" t="n"/>
      <c r="L359" s="36" t="n"/>
      <c r="M359" s="37">
        <f>IF(L359="","",L359-TIME(9,0,0))</f>
        <v/>
      </c>
      <c r="N359" s="38" t="n"/>
      <c r="O359" s="38" t="n"/>
      <c r="P359" s="38" t="n"/>
      <c r="Q359" s="34">
        <f>IF(COUNT(N359:P359)=0,"",MEDIAN(N359:P359))</f>
        <v/>
      </c>
      <c r="R359" s="27" t="n"/>
    </row>
    <row r="360">
      <c r="A360" s="27" t="n"/>
      <c r="B360" s="27" t="n"/>
      <c r="C360" s="27" t="n"/>
      <c r="D360" s="27" t="n"/>
      <c r="E360" s="27" t="n"/>
      <c r="F360" s="27" t="n"/>
      <c r="G360" s="28" t="n"/>
      <c r="H360" s="28" t="n"/>
      <c r="I360" s="28" t="n"/>
      <c r="J360" s="27" t="n"/>
      <c r="K360" s="27" t="n"/>
      <c r="L360" s="36" t="n"/>
      <c r="M360" s="37">
        <f>IF(L360="","",L360-TIME(9,0,0))</f>
        <v/>
      </c>
      <c r="N360" s="38" t="n"/>
      <c r="O360" s="38" t="n"/>
      <c r="P360" s="38" t="n"/>
      <c r="Q360" s="34">
        <f>IF(COUNT(N360:P360)=0,"",MEDIAN(N360:P360))</f>
        <v/>
      </c>
      <c r="R360" s="27" t="n"/>
    </row>
    <row r="361">
      <c r="A361" s="27" t="n"/>
      <c r="B361" s="27" t="n"/>
      <c r="C361" s="27" t="n"/>
      <c r="D361" s="27" t="n"/>
      <c r="E361" s="27" t="n"/>
      <c r="F361" s="27" t="n"/>
      <c r="G361" s="28" t="n"/>
      <c r="H361" s="28" t="n"/>
      <c r="I361" s="28" t="n"/>
      <c r="J361" s="27" t="n"/>
      <c r="K361" s="27" t="n"/>
      <c r="L361" s="36" t="n"/>
      <c r="M361" s="37">
        <f>IF(L361="","",L361-TIME(9,0,0))</f>
        <v/>
      </c>
      <c r="N361" s="38" t="n"/>
      <c r="O361" s="38" t="n"/>
      <c r="P361" s="38" t="n"/>
      <c r="Q361" s="34">
        <f>IF(COUNT(N361:P361)=0,"",MEDIAN(N361:P361))</f>
        <v/>
      </c>
      <c r="R361" s="27" t="n"/>
    </row>
    <row r="362">
      <c r="A362" s="27" t="n"/>
      <c r="B362" s="27" t="n"/>
      <c r="C362" s="27" t="n"/>
      <c r="D362" s="27" t="n"/>
      <c r="E362" s="27" t="n"/>
      <c r="F362" s="27" t="n"/>
      <c r="G362" s="28" t="n"/>
      <c r="H362" s="28" t="n"/>
      <c r="I362" s="28" t="n"/>
      <c r="J362" s="27" t="n"/>
      <c r="K362" s="27" t="n"/>
      <c r="L362" s="36" t="n"/>
      <c r="M362" s="37">
        <f>IF(L362="","",L362-TIME(9,0,0))</f>
        <v/>
      </c>
      <c r="N362" s="38" t="n"/>
      <c r="O362" s="38" t="n"/>
      <c r="P362" s="38" t="n"/>
      <c r="Q362" s="34">
        <f>IF(COUNT(N362:P362)=0,"",MEDIAN(N362:P362))</f>
        <v/>
      </c>
      <c r="R362" s="27" t="n"/>
    </row>
    <row r="363">
      <c r="A363" s="27" t="n"/>
      <c r="B363" s="27" t="n"/>
      <c r="C363" s="27" t="n"/>
      <c r="D363" s="27" t="n"/>
      <c r="E363" s="27" t="n"/>
      <c r="F363" s="27" t="n"/>
      <c r="G363" s="28" t="n"/>
      <c r="H363" s="28" t="n"/>
      <c r="I363" s="28" t="n"/>
      <c r="J363" s="27" t="n"/>
      <c r="K363" s="27" t="n"/>
      <c r="L363" s="36" t="n"/>
      <c r="M363" s="37">
        <f>IF(L363="","",L363-TIME(9,0,0))</f>
        <v/>
      </c>
      <c r="N363" s="38" t="n"/>
      <c r="O363" s="38" t="n"/>
      <c r="P363" s="38" t="n"/>
      <c r="Q363" s="34">
        <f>IF(COUNT(N363:P363)=0,"",MEDIAN(N363:P363))</f>
        <v/>
      </c>
      <c r="R363" s="27" t="n"/>
    </row>
    <row r="364">
      <c r="A364" s="27" t="n"/>
      <c r="B364" s="27" t="n"/>
      <c r="C364" s="27" t="n"/>
      <c r="D364" s="27" t="n"/>
      <c r="E364" s="27" t="n"/>
      <c r="F364" s="27" t="n"/>
      <c r="G364" s="28" t="n"/>
      <c r="H364" s="28" t="n"/>
      <c r="I364" s="28" t="n"/>
      <c r="J364" s="27" t="n"/>
      <c r="K364" s="27" t="n"/>
      <c r="L364" s="36" t="n"/>
      <c r="M364" s="37">
        <f>IF(L364="","",L364-TIME(9,0,0))</f>
        <v/>
      </c>
      <c r="N364" s="38" t="n"/>
      <c r="O364" s="38" t="n"/>
      <c r="P364" s="38" t="n"/>
      <c r="Q364" s="34">
        <f>IF(COUNT(N364:P364)=0,"",MEDIAN(N364:P364))</f>
        <v/>
      </c>
      <c r="R364" s="27" t="n"/>
    </row>
    <row r="365">
      <c r="A365" s="27" t="n"/>
      <c r="B365" s="27" t="n"/>
      <c r="C365" s="27" t="n"/>
      <c r="D365" s="27" t="n"/>
      <c r="E365" s="27" t="n"/>
      <c r="F365" s="27" t="n"/>
      <c r="G365" s="28" t="n"/>
      <c r="H365" s="28" t="n"/>
      <c r="I365" s="28" t="n"/>
      <c r="J365" s="27" t="n"/>
      <c r="K365" s="27" t="n"/>
      <c r="L365" s="36" t="n"/>
      <c r="M365" s="37">
        <f>IF(L365="","",L365-TIME(9,0,0))</f>
        <v/>
      </c>
      <c r="N365" s="38" t="n"/>
      <c r="O365" s="38" t="n"/>
      <c r="P365" s="38" t="n"/>
      <c r="Q365" s="34">
        <f>IF(COUNT(N365:P365)=0,"",MEDIAN(N365:P365))</f>
        <v/>
      </c>
      <c r="R365" s="27" t="n"/>
    </row>
    <row r="366">
      <c r="A366" s="27" t="n"/>
      <c r="B366" s="27" t="n"/>
      <c r="C366" s="27" t="n"/>
      <c r="D366" s="27" t="n"/>
      <c r="E366" s="27" t="n"/>
      <c r="F366" s="27" t="n"/>
      <c r="G366" s="28" t="n"/>
      <c r="H366" s="28" t="n"/>
      <c r="I366" s="28" t="n"/>
      <c r="J366" s="27" t="n"/>
      <c r="K366" s="27" t="n"/>
      <c r="L366" s="36" t="n"/>
      <c r="M366" s="37">
        <f>IF(L366="","",L366-TIME(9,0,0))</f>
        <v/>
      </c>
      <c r="N366" s="38" t="n"/>
      <c r="O366" s="38" t="n"/>
      <c r="P366" s="38" t="n"/>
      <c r="Q366" s="34">
        <f>IF(COUNT(N366:P366)=0,"",MEDIAN(N366:P366))</f>
        <v/>
      </c>
      <c r="R366" s="27" t="n"/>
    </row>
    <row r="367">
      <c r="A367" s="27" t="n"/>
      <c r="B367" s="27" t="n"/>
      <c r="C367" s="27" t="n"/>
      <c r="D367" s="27" t="n"/>
      <c r="E367" s="27" t="n"/>
      <c r="F367" s="27" t="n"/>
      <c r="G367" s="28" t="n"/>
      <c r="H367" s="28" t="n"/>
      <c r="I367" s="28" t="n"/>
      <c r="J367" s="27" t="n"/>
      <c r="K367" s="27" t="n"/>
      <c r="L367" s="36" t="n"/>
      <c r="M367" s="37">
        <f>IF(L367="","",L367-TIME(9,0,0))</f>
        <v/>
      </c>
      <c r="N367" s="38" t="n"/>
      <c r="O367" s="38" t="n"/>
      <c r="P367" s="38" t="n"/>
      <c r="Q367" s="34">
        <f>IF(COUNT(N367:P367)=0,"",MEDIAN(N367:P367))</f>
        <v/>
      </c>
      <c r="R367" s="27" t="n"/>
    </row>
    <row r="368">
      <c r="A368" s="27" t="n"/>
      <c r="B368" s="27" t="n"/>
      <c r="C368" s="27" t="n"/>
      <c r="D368" s="27" t="n"/>
      <c r="E368" s="27" t="n"/>
      <c r="F368" s="27" t="n"/>
      <c r="G368" s="28" t="n"/>
      <c r="H368" s="28" t="n"/>
      <c r="I368" s="28" t="n"/>
      <c r="J368" s="27" t="n"/>
      <c r="K368" s="27" t="n"/>
      <c r="L368" s="36" t="n"/>
      <c r="M368" s="37">
        <f>IF(L368="","",L368-TIME(9,0,0))</f>
        <v/>
      </c>
      <c r="N368" s="38" t="n"/>
      <c r="O368" s="38" t="n"/>
      <c r="P368" s="38" t="n"/>
      <c r="Q368" s="34">
        <f>IF(COUNT(N368:P368)=0,"",MEDIAN(N368:P368))</f>
        <v/>
      </c>
      <c r="R368" s="27" t="n"/>
    </row>
    <row r="369">
      <c r="A369" s="27" t="n"/>
      <c r="B369" s="27" t="n"/>
      <c r="C369" s="27" t="n"/>
      <c r="D369" s="27" t="n"/>
      <c r="E369" s="27" t="n"/>
      <c r="F369" s="27" t="n"/>
      <c r="G369" s="28" t="n"/>
      <c r="H369" s="28" t="n"/>
      <c r="I369" s="28" t="n"/>
      <c r="J369" s="27" t="n"/>
      <c r="K369" s="27" t="n"/>
      <c r="L369" s="36" t="n"/>
      <c r="M369" s="37">
        <f>IF(L369="","",L369-TIME(9,0,0))</f>
        <v/>
      </c>
      <c r="N369" s="38" t="n"/>
      <c r="O369" s="38" t="n"/>
      <c r="P369" s="38" t="n"/>
      <c r="Q369" s="34">
        <f>IF(COUNT(N369:P369)=0,"",MEDIAN(N369:P369))</f>
        <v/>
      </c>
      <c r="R369" s="27" t="n"/>
    </row>
    <row r="370">
      <c r="A370" s="27" t="n"/>
      <c r="B370" s="27" t="n"/>
      <c r="C370" s="27" t="n"/>
      <c r="D370" s="27" t="n"/>
      <c r="E370" s="27" t="n"/>
      <c r="F370" s="27" t="n"/>
      <c r="G370" s="28" t="n"/>
      <c r="H370" s="28" t="n"/>
      <c r="I370" s="28" t="n"/>
      <c r="J370" s="27" t="n"/>
      <c r="K370" s="27" t="n"/>
      <c r="L370" s="36" t="n"/>
      <c r="M370" s="37">
        <f>IF(L370="","",L370-TIME(9,0,0))</f>
        <v/>
      </c>
      <c r="N370" s="38" t="n"/>
      <c r="O370" s="38" t="n"/>
      <c r="P370" s="38" t="n"/>
      <c r="Q370" s="34">
        <f>IF(COUNT(N370:P370)=0,"",MEDIAN(N370:P370))</f>
        <v/>
      </c>
      <c r="R370" s="27" t="n"/>
    </row>
    <row r="371">
      <c r="A371" s="27" t="n"/>
      <c r="B371" s="27" t="n"/>
      <c r="C371" s="27" t="n"/>
      <c r="D371" s="27" t="n"/>
      <c r="E371" s="27" t="n"/>
      <c r="F371" s="27" t="n"/>
      <c r="G371" s="28" t="n"/>
      <c r="H371" s="28" t="n"/>
      <c r="I371" s="28" t="n"/>
      <c r="J371" s="27" t="n"/>
      <c r="K371" s="27" t="n"/>
      <c r="L371" s="36" t="n"/>
      <c r="M371" s="37">
        <f>IF(L371="","",L371-TIME(9,0,0))</f>
        <v/>
      </c>
      <c r="N371" s="38" t="n"/>
      <c r="O371" s="38" t="n"/>
      <c r="P371" s="38" t="n"/>
      <c r="Q371" s="34">
        <f>IF(COUNT(N371:P371)=0,"",MEDIAN(N371:P371))</f>
        <v/>
      </c>
      <c r="R371" s="27" t="n"/>
    </row>
    <row r="372">
      <c r="A372" s="27" t="n"/>
      <c r="B372" s="27" t="n"/>
      <c r="C372" s="27" t="n"/>
      <c r="D372" s="27" t="n"/>
      <c r="E372" s="27" t="n"/>
      <c r="F372" s="27" t="n"/>
      <c r="G372" s="28" t="n"/>
      <c r="H372" s="28" t="n"/>
      <c r="I372" s="28" t="n"/>
      <c r="J372" s="27" t="n"/>
      <c r="K372" s="27" t="n"/>
      <c r="L372" s="36" t="n"/>
      <c r="M372" s="37">
        <f>IF(L372="","",L372-TIME(9,0,0))</f>
        <v/>
      </c>
      <c r="N372" s="38" t="n"/>
      <c r="O372" s="38" t="n"/>
      <c r="P372" s="38" t="n"/>
      <c r="Q372" s="34">
        <f>IF(COUNT(N372:P372)=0,"",MEDIAN(N372:P372))</f>
        <v/>
      </c>
      <c r="R372" s="27" t="n"/>
    </row>
    <row r="373">
      <c r="A373" s="27" t="n"/>
      <c r="B373" s="27" t="n"/>
      <c r="C373" s="27" t="n"/>
      <c r="D373" s="27" t="n"/>
      <c r="E373" s="27" t="n"/>
      <c r="F373" s="27" t="n"/>
      <c r="G373" s="28" t="n"/>
      <c r="H373" s="28" t="n"/>
      <c r="I373" s="28" t="n"/>
      <c r="J373" s="27" t="n"/>
      <c r="K373" s="27" t="n"/>
      <c r="L373" s="36" t="n"/>
      <c r="M373" s="37">
        <f>IF(L373="","",L373-TIME(9,0,0))</f>
        <v/>
      </c>
      <c r="N373" s="38" t="n"/>
      <c r="O373" s="38" t="n"/>
      <c r="P373" s="38" t="n"/>
      <c r="Q373" s="34">
        <f>IF(COUNT(N373:P373)=0,"",MEDIAN(N373:P373))</f>
        <v/>
      </c>
      <c r="R373" s="27" t="n"/>
    </row>
    <row r="374">
      <c r="A374" s="27" t="n"/>
      <c r="B374" s="27" t="n"/>
      <c r="C374" s="27" t="n"/>
      <c r="D374" s="27" t="n"/>
      <c r="E374" s="27" t="n"/>
      <c r="F374" s="27" t="n"/>
      <c r="G374" s="28" t="n"/>
      <c r="H374" s="28" t="n"/>
      <c r="I374" s="28" t="n"/>
      <c r="J374" s="27" t="n"/>
      <c r="K374" s="27" t="n"/>
      <c r="L374" s="36" t="n"/>
      <c r="M374" s="37">
        <f>IF(L374="","",L374-TIME(9,0,0))</f>
        <v/>
      </c>
      <c r="N374" s="38" t="n"/>
      <c r="O374" s="38" t="n"/>
      <c r="P374" s="38" t="n"/>
      <c r="Q374" s="34">
        <f>IF(COUNT(N374:P374)=0,"",MEDIAN(N374:P374))</f>
        <v/>
      </c>
      <c r="R374" s="27" t="n"/>
    </row>
    <row r="375">
      <c r="A375" s="27" t="n"/>
      <c r="B375" s="27" t="n"/>
      <c r="C375" s="27" t="n"/>
      <c r="D375" s="27" t="n"/>
      <c r="E375" s="27" t="n"/>
      <c r="F375" s="27" t="n"/>
      <c r="G375" s="28" t="n"/>
      <c r="H375" s="28" t="n"/>
      <c r="I375" s="28" t="n"/>
      <c r="J375" s="27" t="n"/>
      <c r="K375" s="27" t="n"/>
      <c r="L375" s="36" t="n"/>
      <c r="M375" s="37">
        <f>IF(L375="","",L375-TIME(9,0,0))</f>
        <v/>
      </c>
      <c r="N375" s="38" t="n"/>
      <c r="O375" s="38" t="n"/>
      <c r="P375" s="38" t="n"/>
      <c r="Q375" s="34">
        <f>IF(COUNT(N375:P375)=0,"",MEDIAN(N375:P375))</f>
        <v/>
      </c>
      <c r="R375" s="27" t="n"/>
    </row>
    <row r="376">
      <c r="A376" s="27" t="n"/>
      <c r="B376" s="27" t="n"/>
      <c r="C376" s="27" t="n"/>
      <c r="D376" s="27" t="n"/>
      <c r="E376" s="27" t="n"/>
      <c r="F376" s="27" t="n"/>
      <c r="G376" s="28" t="n"/>
      <c r="H376" s="28" t="n"/>
      <c r="I376" s="28" t="n"/>
      <c r="J376" s="27" t="n"/>
      <c r="K376" s="27" t="n"/>
      <c r="L376" s="36" t="n"/>
      <c r="M376" s="37">
        <f>IF(L376="","",L376-TIME(9,0,0))</f>
        <v/>
      </c>
      <c r="N376" s="38" t="n"/>
      <c r="O376" s="38" t="n"/>
      <c r="P376" s="38" t="n"/>
      <c r="Q376" s="34">
        <f>IF(COUNT(N376:P376)=0,"",MEDIAN(N376:P376))</f>
        <v/>
      </c>
      <c r="R376" s="27" t="n"/>
    </row>
    <row r="377">
      <c r="A377" s="27" t="n"/>
      <c r="B377" s="27" t="n"/>
      <c r="C377" s="27" t="n"/>
      <c r="D377" s="27" t="n"/>
      <c r="E377" s="27" t="n"/>
      <c r="F377" s="27" t="n"/>
      <c r="G377" s="28" t="n"/>
      <c r="H377" s="28" t="n"/>
      <c r="I377" s="28" t="n"/>
      <c r="J377" s="27" t="n"/>
      <c r="K377" s="27" t="n"/>
      <c r="L377" s="36" t="n"/>
      <c r="M377" s="37">
        <f>IF(L377="","",L377-TIME(9,0,0))</f>
        <v/>
      </c>
      <c r="N377" s="38" t="n"/>
      <c r="O377" s="38" t="n"/>
      <c r="P377" s="38" t="n"/>
      <c r="Q377" s="34">
        <f>IF(COUNT(N377:P377)=0,"",MEDIAN(N377:P377))</f>
        <v/>
      </c>
      <c r="R377" s="27" t="n"/>
    </row>
    <row r="378">
      <c r="A378" s="27" t="n"/>
      <c r="B378" s="27" t="n"/>
      <c r="C378" s="27" t="n"/>
      <c r="D378" s="27" t="n"/>
      <c r="E378" s="27" t="n"/>
      <c r="F378" s="27" t="n"/>
      <c r="G378" s="28" t="n"/>
      <c r="H378" s="28" t="n"/>
      <c r="I378" s="28" t="n"/>
      <c r="J378" s="27" t="n"/>
      <c r="K378" s="27" t="n"/>
      <c r="L378" s="36" t="n"/>
      <c r="M378" s="37">
        <f>IF(L378="","",L378-TIME(9,0,0))</f>
        <v/>
      </c>
      <c r="N378" s="38" t="n"/>
      <c r="O378" s="38" t="n"/>
      <c r="P378" s="38" t="n"/>
      <c r="Q378" s="34">
        <f>IF(COUNT(N378:P378)=0,"",MEDIAN(N378:P378))</f>
        <v/>
      </c>
      <c r="R378" s="27" t="n"/>
    </row>
    <row r="379">
      <c r="A379" s="27" t="n"/>
      <c r="B379" s="27" t="n"/>
      <c r="C379" s="27" t="n"/>
      <c r="D379" s="27" t="n"/>
      <c r="E379" s="27" t="n"/>
      <c r="F379" s="27" t="n"/>
      <c r="G379" s="28" t="n"/>
      <c r="H379" s="28" t="n"/>
      <c r="I379" s="28" t="n"/>
      <c r="J379" s="27" t="n"/>
      <c r="K379" s="27" t="n"/>
      <c r="L379" s="36" t="n"/>
      <c r="M379" s="37">
        <f>IF(L379="","",L379-TIME(9,0,0))</f>
        <v/>
      </c>
      <c r="N379" s="38" t="n"/>
      <c r="O379" s="38" t="n"/>
      <c r="P379" s="38" t="n"/>
      <c r="Q379" s="34">
        <f>IF(COUNT(N379:P379)=0,"",MEDIAN(N379:P379))</f>
        <v/>
      </c>
      <c r="R379" s="27" t="n"/>
    </row>
    <row r="380">
      <c r="A380" s="27" t="n"/>
      <c r="B380" s="27" t="n"/>
      <c r="C380" s="27" t="n"/>
      <c r="D380" s="27" t="n"/>
      <c r="E380" s="27" t="n"/>
      <c r="F380" s="27" t="n"/>
      <c r="G380" s="28" t="n"/>
      <c r="H380" s="28" t="n"/>
      <c r="I380" s="28" t="n"/>
      <c r="J380" s="27" t="n"/>
      <c r="K380" s="27" t="n"/>
      <c r="L380" s="36" t="n"/>
      <c r="M380" s="37">
        <f>IF(L380="","",L380-TIME(9,0,0))</f>
        <v/>
      </c>
      <c r="N380" s="38" t="n"/>
      <c r="O380" s="38" t="n"/>
      <c r="P380" s="38" t="n"/>
      <c r="Q380" s="34">
        <f>IF(COUNT(N380:P380)=0,"",MEDIAN(N380:P380))</f>
        <v/>
      </c>
      <c r="R380" s="27" t="n"/>
    </row>
    <row r="381">
      <c r="A381" s="27" t="n"/>
      <c r="B381" s="27" t="n"/>
      <c r="C381" s="27" t="n"/>
      <c r="D381" s="27" t="n"/>
      <c r="E381" s="27" t="n"/>
      <c r="F381" s="27" t="n"/>
      <c r="G381" s="28" t="n"/>
      <c r="H381" s="28" t="n"/>
      <c r="I381" s="28" t="n"/>
      <c r="J381" s="27" t="n"/>
      <c r="K381" s="27" t="n"/>
      <c r="L381" s="36" t="n"/>
      <c r="M381" s="37">
        <f>IF(L381="","",L381-TIME(9,0,0))</f>
        <v/>
      </c>
      <c r="N381" s="38" t="n"/>
      <c r="O381" s="38" t="n"/>
      <c r="P381" s="38" t="n"/>
      <c r="Q381" s="34">
        <f>IF(COUNT(N381:P381)=0,"",MEDIAN(N381:P381))</f>
        <v/>
      </c>
      <c r="R381" s="27" t="n"/>
    </row>
    <row r="382">
      <c r="A382" s="27" t="n"/>
      <c r="B382" s="27" t="n"/>
      <c r="C382" s="27" t="n"/>
      <c r="D382" s="27" t="n"/>
      <c r="E382" s="27" t="n"/>
      <c r="F382" s="27" t="n"/>
      <c r="G382" s="28" t="n"/>
      <c r="H382" s="28" t="n"/>
      <c r="I382" s="28" t="n"/>
      <c r="J382" s="27" t="n"/>
      <c r="K382" s="27" t="n"/>
      <c r="L382" s="36" t="n"/>
      <c r="M382" s="37">
        <f>IF(L382="","",L382-TIME(9,0,0))</f>
        <v/>
      </c>
      <c r="N382" s="38" t="n"/>
      <c r="O382" s="38" t="n"/>
      <c r="P382" s="38" t="n"/>
      <c r="Q382" s="34">
        <f>IF(COUNT(N382:P382)=0,"",MEDIAN(N382:P382))</f>
        <v/>
      </c>
      <c r="R382" s="27" t="n"/>
    </row>
    <row r="383">
      <c r="A383" s="27" t="n"/>
      <c r="B383" s="27" t="n"/>
      <c r="C383" s="27" t="n"/>
      <c r="D383" s="27" t="n"/>
      <c r="E383" s="27" t="n"/>
      <c r="F383" s="27" t="n"/>
      <c r="G383" s="28" t="n"/>
      <c r="H383" s="28" t="n"/>
      <c r="I383" s="28" t="n"/>
      <c r="J383" s="27" t="n"/>
      <c r="K383" s="27" t="n"/>
      <c r="L383" s="36" t="n"/>
      <c r="M383" s="37">
        <f>IF(L383="","",L383-TIME(9,0,0))</f>
        <v/>
      </c>
      <c r="N383" s="38" t="n"/>
      <c r="O383" s="38" t="n"/>
      <c r="P383" s="38" t="n"/>
      <c r="Q383" s="34">
        <f>IF(COUNT(N383:P383)=0,"",MEDIAN(N383:P383))</f>
        <v/>
      </c>
      <c r="R383" s="27" t="n"/>
    </row>
    <row r="384">
      <c r="A384" s="27" t="n"/>
      <c r="B384" s="27" t="n"/>
      <c r="C384" s="27" t="n"/>
      <c r="D384" s="27" t="n"/>
      <c r="E384" s="27" t="n"/>
      <c r="F384" s="27" t="n"/>
      <c r="G384" s="28" t="n"/>
      <c r="H384" s="28" t="n"/>
      <c r="I384" s="28" t="n"/>
      <c r="J384" s="27" t="n"/>
      <c r="K384" s="27" t="n"/>
      <c r="L384" s="36" t="n"/>
      <c r="M384" s="37">
        <f>IF(L384="","",L384-TIME(9,0,0))</f>
        <v/>
      </c>
      <c r="N384" s="38" t="n"/>
      <c r="O384" s="38" t="n"/>
      <c r="P384" s="38" t="n"/>
      <c r="Q384" s="34">
        <f>IF(COUNT(N384:P384)=0,"",MEDIAN(N384:P384))</f>
        <v/>
      </c>
      <c r="R384" s="27" t="n"/>
    </row>
    <row r="385">
      <c r="A385" s="27" t="n"/>
      <c r="B385" s="27" t="n"/>
      <c r="C385" s="27" t="n"/>
      <c r="D385" s="27" t="n"/>
      <c r="E385" s="27" t="n"/>
      <c r="F385" s="27" t="n"/>
      <c r="G385" s="28" t="n"/>
      <c r="H385" s="28" t="n"/>
      <c r="I385" s="28" t="n"/>
      <c r="J385" s="27" t="n"/>
      <c r="K385" s="27" t="n"/>
      <c r="L385" s="36" t="n"/>
      <c r="M385" s="37">
        <f>IF(L385="","",L385-TIME(9,0,0))</f>
        <v/>
      </c>
      <c r="N385" s="38" t="n"/>
      <c r="O385" s="38" t="n"/>
      <c r="P385" s="38" t="n"/>
      <c r="Q385" s="34">
        <f>IF(COUNT(N385:P385)=0,"",MEDIAN(N385:P385))</f>
        <v/>
      </c>
      <c r="R385" s="27" t="n"/>
    </row>
    <row r="386">
      <c r="A386" s="27" t="n"/>
      <c r="B386" s="27" t="n"/>
      <c r="C386" s="27" t="n"/>
      <c r="D386" s="27" t="n"/>
      <c r="E386" s="27" t="n"/>
      <c r="F386" s="27" t="n"/>
      <c r="G386" s="28" t="n"/>
      <c r="H386" s="28" t="n"/>
      <c r="I386" s="28" t="n"/>
      <c r="J386" s="27" t="n"/>
      <c r="K386" s="27" t="n"/>
      <c r="L386" s="36" t="n"/>
      <c r="M386" s="37">
        <f>IF(L386="","",L386-TIME(9,0,0))</f>
        <v/>
      </c>
      <c r="N386" s="38" t="n"/>
      <c r="O386" s="38" t="n"/>
      <c r="P386" s="38" t="n"/>
      <c r="Q386" s="34">
        <f>IF(COUNT(N386:P386)=0,"",MEDIAN(N386:P386))</f>
        <v/>
      </c>
      <c r="R386" s="27" t="n"/>
    </row>
    <row r="387">
      <c r="A387" s="27" t="n"/>
      <c r="B387" s="27" t="n"/>
      <c r="C387" s="27" t="n"/>
      <c r="D387" s="27" t="n"/>
      <c r="E387" s="27" t="n"/>
      <c r="F387" s="27" t="n"/>
      <c r="G387" s="28" t="n"/>
      <c r="H387" s="28" t="n"/>
      <c r="I387" s="28" t="n"/>
      <c r="J387" s="27" t="n"/>
      <c r="K387" s="27" t="n"/>
      <c r="L387" s="36" t="n"/>
      <c r="M387" s="37">
        <f>IF(L387="","",L387-TIME(9,0,0))</f>
        <v/>
      </c>
      <c r="N387" s="38" t="n"/>
      <c r="O387" s="38" t="n"/>
      <c r="P387" s="38" t="n"/>
      <c r="Q387" s="34">
        <f>IF(COUNT(N387:P387)=0,"",MEDIAN(N387:P387))</f>
        <v/>
      </c>
      <c r="R387" s="27" t="n"/>
    </row>
    <row r="388">
      <c r="A388" s="27" t="n"/>
      <c r="B388" s="27" t="n"/>
      <c r="C388" s="27" t="n"/>
      <c r="D388" s="27" t="n"/>
      <c r="E388" s="27" t="n"/>
      <c r="F388" s="27" t="n"/>
      <c r="G388" s="28" t="n"/>
      <c r="H388" s="28" t="n"/>
      <c r="I388" s="28" t="n"/>
      <c r="J388" s="27" t="n"/>
      <c r="K388" s="27" t="n"/>
      <c r="L388" s="36" t="n"/>
      <c r="M388" s="37">
        <f>IF(L388="","",L388-TIME(9,0,0))</f>
        <v/>
      </c>
      <c r="N388" s="38" t="n"/>
      <c r="O388" s="38" t="n"/>
      <c r="P388" s="38" t="n"/>
      <c r="Q388" s="34">
        <f>IF(COUNT(N388:P388)=0,"",MEDIAN(N388:P388))</f>
        <v/>
      </c>
      <c r="R388" s="27" t="n"/>
    </row>
    <row r="389">
      <c r="A389" s="27" t="n"/>
      <c r="B389" s="27" t="n"/>
      <c r="C389" s="27" t="n"/>
      <c r="D389" s="27" t="n"/>
      <c r="E389" s="27" t="n"/>
      <c r="F389" s="27" t="n"/>
      <c r="G389" s="28" t="n"/>
      <c r="H389" s="28" t="n"/>
      <c r="I389" s="28" t="n"/>
      <c r="J389" s="27" t="n"/>
      <c r="K389" s="27" t="n"/>
      <c r="L389" s="36" t="n"/>
      <c r="M389" s="37">
        <f>IF(L389="","",L389-TIME(9,0,0))</f>
        <v/>
      </c>
      <c r="N389" s="38" t="n"/>
      <c r="O389" s="38" t="n"/>
      <c r="P389" s="38" t="n"/>
      <c r="Q389" s="34">
        <f>IF(COUNT(N389:P389)=0,"",MEDIAN(N389:P389))</f>
        <v/>
      </c>
      <c r="R389" s="27" t="n"/>
    </row>
    <row r="390">
      <c r="A390" s="27" t="n"/>
      <c r="B390" s="27" t="n"/>
      <c r="C390" s="27" t="n"/>
      <c r="D390" s="27" t="n"/>
      <c r="E390" s="27" t="n"/>
      <c r="F390" s="27" t="n"/>
      <c r="G390" s="28" t="n"/>
      <c r="H390" s="28" t="n"/>
      <c r="I390" s="28" t="n"/>
      <c r="J390" s="27" t="n"/>
      <c r="K390" s="27" t="n"/>
      <c r="L390" s="36" t="n"/>
      <c r="M390" s="37">
        <f>IF(L390="","",L390-TIME(9,0,0))</f>
        <v/>
      </c>
      <c r="N390" s="38" t="n"/>
      <c r="O390" s="38" t="n"/>
      <c r="P390" s="38" t="n"/>
      <c r="Q390" s="34">
        <f>IF(COUNT(N390:P390)=0,"",MEDIAN(N390:P390))</f>
        <v/>
      </c>
      <c r="R390" s="27" t="n"/>
    </row>
    <row r="391">
      <c r="A391" s="27" t="n"/>
      <c r="B391" s="27" t="n"/>
      <c r="C391" s="27" t="n"/>
      <c r="D391" s="27" t="n"/>
      <c r="E391" s="27" t="n"/>
      <c r="F391" s="27" t="n"/>
      <c r="G391" s="28" t="n"/>
      <c r="H391" s="28" t="n"/>
      <c r="I391" s="28" t="n"/>
      <c r="J391" s="27" t="n"/>
      <c r="K391" s="27" t="n"/>
      <c r="L391" s="36" t="n"/>
      <c r="M391" s="37">
        <f>IF(L391="","",L391-TIME(9,0,0))</f>
        <v/>
      </c>
      <c r="N391" s="38" t="n"/>
      <c r="O391" s="38" t="n"/>
      <c r="P391" s="38" t="n"/>
      <c r="Q391" s="34">
        <f>IF(COUNT(N391:P391)=0,"",MEDIAN(N391:P391))</f>
        <v/>
      </c>
      <c r="R391" s="27" t="n"/>
    </row>
    <row r="392">
      <c r="A392" s="27" t="n"/>
      <c r="B392" s="27" t="n"/>
      <c r="C392" s="27" t="n"/>
      <c r="D392" s="27" t="n"/>
      <c r="E392" s="27" t="n"/>
      <c r="F392" s="27" t="n"/>
      <c r="G392" s="28" t="n"/>
      <c r="H392" s="28" t="n"/>
      <c r="I392" s="28" t="n"/>
      <c r="J392" s="27" t="n"/>
      <c r="K392" s="27" t="n"/>
      <c r="L392" s="36" t="n"/>
      <c r="M392" s="37">
        <f>IF(L392="","",L392-TIME(9,0,0))</f>
        <v/>
      </c>
      <c r="N392" s="38" t="n"/>
      <c r="O392" s="38" t="n"/>
      <c r="P392" s="38" t="n"/>
      <c r="Q392" s="34">
        <f>IF(COUNT(N392:P392)=0,"",MEDIAN(N392:P392))</f>
        <v/>
      </c>
      <c r="R392" s="27" t="n"/>
    </row>
    <row r="393">
      <c r="A393" s="27" t="n"/>
      <c r="B393" s="27" t="n"/>
      <c r="C393" s="27" t="n"/>
      <c r="D393" s="27" t="n"/>
      <c r="E393" s="27" t="n"/>
      <c r="F393" s="27" t="n"/>
      <c r="G393" s="28" t="n"/>
      <c r="H393" s="28" t="n"/>
      <c r="I393" s="28" t="n"/>
      <c r="J393" s="27" t="n"/>
      <c r="K393" s="27" t="n"/>
      <c r="L393" s="36" t="n"/>
      <c r="M393" s="37">
        <f>IF(L393="","",L393-TIME(9,0,0))</f>
        <v/>
      </c>
      <c r="N393" s="38" t="n"/>
      <c r="O393" s="38" t="n"/>
      <c r="P393" s="38" t="n"/>
      <c r="Q393" s="34">
        <f>IF(COUNT(N393:P393)=0,"",MEDIAN(N393:P393))</f>
        <v/>
      </c>
      <c r="R393" s="27" t="n"/>
    </row>
    <row r="394">
      <c r="A394" s="27" t="n"/>
      <c r="B394" s="27" t="n"/>
      <c r="C394" s="27" t="n"/>
      <c r="D394" s="27" t="n"/>
      <c r="E394" s="27" t="n"/>
      <c r="F394" s="27" t="n"/>
      <c r="G394" s="28" t="n"/>
      <c r="H394" s="28" t="n"/>
      <c r="I394" s="28" t="n"/>
      <c r="J394" s="27" t="n"/>
      <c r="K394" s="27" t="n"/>
      <c r="L394" s="36" t="n"/>
      <c r="M394" s="37">
        <f>IF(L394="","",L394-TIME(9,0,0))</f>
        <v/>
      </c>
      <c r="N394" s="38" t="n"/>
      <c r="O394" s="38" t="n"/>
      <c r="P394" s="38" t="n"/>
      <c r="Q394" s="34">
        <f>IF(COUNT(N394:P394)=0,"",MEDIAN(N394:P394))</f>
        <v/>
      </c>
      <c r="R394" s="27" t="n"/>
    </row>
    <row r="395">
      <c r="A395" s="27" t="n"/>
      <c r="B395" s="27" t="n"/>
      <c r="C395" s="27" t="n"/>
      <c r="D395" s="27" t="n"/>
      <c r="E395" s="27" t="n"/>
      <c r="F395" s="27" t="n"/>
      <c r="G395" s="28" t="n"/>
      <c r="H395" s="28" t="n"/>
      <c r="I395" s="28" t="n"/>
      <c r="J395" s="27" t="n"/>
      <c r="K395" s="27" t="n"/>
      <c r="L395" s="36" t="n"/>
      <c r="M395" s="37">
        <f>IF(L395="","",L395-TIME(9,0,0))</f>
        <v/>
      </c>
      <c r="N395" s="38" t="n"/>
      <c r="O395" s="38" t="n"/>
      <c r="P395" s="38" t="n"/>
      <c r="Q395" s="34">
        <f>IF(COUNT(N395:P395)=0,"",MEDIAN(N395:P395))</f>
        <v/>
      </c>
      <c r="R395" s="27" t="n"/>
    </row>
    <row r="396">
      <c r="A396" s="27" t="n"/>
      <c r="B396" s="27" t="n"/>
      <c r="C396" s="27" t="n"/>
      <c r="D396" s="27" t="n"/>
      <c r="E396" s="27" t="n"/>
      <c r="F396" s="27" t="n"/>
      <c r="G396" s="28" t="n"/>
      <c r="H396" s="28" t="n"/>
      <c r="I396" s="28" t="n"/>
      <c r="J396" s="27" t="n"/>
      <c r="K396" s="27" t="n"/>
      <c r="L396" s="36" t="n"/>
      <c r="M396" s="37">
        <f>IF(L396="","",L396-TIME(9,0,0))</f>
        <v/>
      </c>
      <c r="N396" s="38" t="n"/>
      <c r="O396" s="38" t="n"/>
      <c r="P396" s="38" t="n"/>
      <c r="Q396" s="34">
        <f>IF(COUNT(N396:P396)=0,"",MEDIAN(N396:P396))</f>
        <v/>
      </c>
      <c r="R396" s="27" t="n"/>
    </row>
    <row r="397">
      <c r="A397" s="27" t="n"/>
      <c r="B397" s="27" t="n"/>
      <c r="C397" s="27" t="n"/>
      <c r="D397" s="27" t="n"/>
      <c r="E397" s="27" t="n"/>
      <c r="F397" s="27" t="n"/>
      <c r="G397" s="28" t="n"/>
      <c r="H397" s="28" t="n"/>
      <c r="I397" s="28" t="n"/>
      <c r="J397" s="27" t="n"/>
      <c r="K397" s="27" t="n"/>
      <c r="L397" s="36" t="n"/>
      <c r="M397" s="37">
        <f>IF(L397="","",L397-TIME(9,0,0))</f>
        <v/>
      </c>
      <c r="N397" s="38" t="n"/>
      <c r="O397" s="38" t="n"/>
      <c r="P397" s="38" t="n"/>
      <c r="Q397" s="34">
        <f>IF(COUNT(N397:P397)=0,"",MEDIAN(N397:P397))</f>
        <v/>
      </c>
      <c r="R397" s="27" t="n"/>
    </row>
    <row r="398">
      <c r="A398" s="27" t="n"/>
      <c r="B398" s="27" t="n"/>
      <c r="C398" s="27" t="n"/>
      <c r="D398" s="27" t="n"/>
      <c r="E398" s="27" t="n"/>
      <c r="F398" s="27" t="n"/>
      <c r="G398" s="28" t="n"/>
      <c r="H398" s="28" t="n"/>
      <c r="I398" s="28" t="n"/>
      <c r="J398" s="27" t="n"/>
      <c r="K398" s="27" t="n"/>
      <c r="L398" s="36" t="n"/>
      <c r="M398" s="37">
        <f>IF(L398="","",L398-TIME(9,0,0))</f>
        <v/>
      </c>
      <c r="N398" s="38" t="n"/>
      <c r="O398" s="38" t="n"/>
      <c r="P398" s="38" t="n"/>
      <c r="Q398" s="34">
        <f>IF(COUNT(N398:P398)=0,"",MEDIAN(N398:P398))</f>
        <v/>
      </c>
      <c r="R398" s="27" t="n"/>
    </row>
    <row r="399">
      <c r="A399" s="27" t="n"/>
      <c r="B399" s="27" t="n"/>
      <c r="C399" s="27" t="n"/>
      <c r="D399" s="27" t="n"/>
      <c r="E399" s="27" t="n"/>
      <c r="F399" s="27" t="n"/>
      <c r="G399" s="28" t="n"/>
      <c r="H399" s="28" t="n"/>
      <c r="I399" s="28" t="n"/>
      <c r="J399" s="27" t="n"/>
      <c r="K399" s="27" t="n"/>
      <c r="L399" s="36" t="n"/>
      <c r="M399" s="37">
        <f>IF(L399="","",L399-TIME(9,0,0))</f>
        <v/>
      </c>
      <c r="N399" s="38" t="n"/>
      <c r="O399" s="38" t="n"/>
      <c r="P399" s="38" t="n"/>
      <c r="Q399" s="34">
        <f>IF(COUNT(N399:P399)=0,"",MEDIAN(N399:P399))</f>
        <v/>
      </c>
      <c r="R399" s="27" t="n"/>
    </row>
    <row r="400">
      <c r="A400" s="27" t="n"/>
      <c r="B400" s="27" t="n"/>
      <c r="C400" s="27" t="n"/>
      <c r="D400" s="27" t="n"/>
      <c r="E400" s="27" t="n"/>
      <c r="F400" s="27" t="n"/>
      <c r="G400" s="28" t="n"/>
      <c r="H400" s="28" t="n"/>
      <c r="I400" s="28" t="n"/>
      <c r="J400" s="27" t="n"/>
      <c r="K400" s="27" t="n"/>
      <c r="L400" s="36" t="n"/>
      <c r="M400" s="37">
        <f>IF(L400="","",L400-TIME(9,0,0))</f>
        <v/>
      </c>
      <c r="N400" s="38" t="n"/>
      <c r="O400" s="38" t="n"/>
      <c r="P400" s="38" t="n"/>
      <c r="Q400" s="34">
        <f>IF(COUNT(N400:P400)=0,"",MEDIAN(N400:P400))</f>
        <v/>
      </c>
      <c r="R400" s="27" t="n"/>
    </row>
    <row r="401">
      <c r="A401" s="27" t="n"/>
      <c r="B401" s="27" t="n"/>
      <c r="C401" s="27" t="n"/>
      <c r="D401" s="27" t="n"/>
      <c r="E401" s="27" t="n"/>
      <c r="F401" s="27" t="n"/>
      <c r="G401" s="28" t="n"/>
      <c r="H401" s="28" t="n"/>
      <c r="I401" s="28" t="n"/>
      <c r="J401" s="27" t="n"/>
      <c r="K401" s="27" t="n"/>
      <c r="L401" s="36" t="n"/>
      <c r="M401" s="37">
        <f>IF(L401="","",L401-TIME(9,0,0))</f>
        <v/>
      </c>
      <c r="N401" s="38" t="n"/>
      <c r="O401" s="38" t="n"/>
      <c r="P401" s="38" t="n"/>
      <c r="Q401" s="34">
        <f>IF(COUNT(N401:P401)=0,"",MEDIAN(N401:P401))</f>
        <v/>
      </c>
      <c r="R401" s="27" t="n"/>
    </row>
    <row r="402">
      <c r="A402" s="27" t="n"/>
      <c r="B402" s="27" t="n"/>
      <c r="C402" s="27" t="n"/>
      <c r="D402" s="27" t="n"/>
      <c r="E402" s="27" t="n"/>
      <c r="F402" s="27" t="n"/>
      <c r="G402" s="28" t="n"/>
      <c r="H402" s="28" t="n"/>
      <c r="I402" s="28" t="n"/>
      <c r="J402" s="27" t="n"/>
      <c r="K402" s="27" t="n"/>
      <c r="L402" s="36" t="n"/>
      <c r="M402" s="37">
        <f>IF(L402="","",L402-TIME(9,0,0))</f>
        <v/>
      </c>
      <c r="N402" s="38" t="n"/>
      <c r="O402" s="38" t="n"/>
      <c r="P402" s="38" t="n"/>
      <c r="Q402" s="34">
        <f>IF(COUNT(N402:P402)=0,"",MEDIAN(N402:P402))</f>
        <v/>
      </c>
      <c r="R402" s="27" t="n"/>
    </row>
    <row r="403">
      <c r="A403" s="27" t="n"/>
      <c r="B403" s="27" t="n"/>
      <c r="C403" s="27" t="n"/>
      <c r="D403" s="27" t="n"/>
      <c r="E403" s="27" t="n"/>
      <c r="F403" s="27" t="n"/>
      <c r="G403" s="28" t="n"/>
      <c r="H403" s="28" t="n"/>
      <c r="I403" s="28" t="n"/>
      <c r="J403" s="27" t="n"/>
      <c r="K403" s="27" t="n"/>
      <c r="L403" s="36" t="n"/>
      <c r="M403" s="37">
        <f>IF(L403="","",L403-TIME(9,0,0))</f>
        <v/>
      </c>
      <c r="N403" s="38" t="n"/>
      <c r="O403" s="38" t="n"/>
      <c r="P403" s="38" t="n"/>
      <c r="Q403" s="34">
        <f>IF(COUNT(N403:P403)=0,"",MEDIAN(N403:P403))</f>
        <v/>
      </c>
      <c r="R403" s="27" t="n"/>
    </row>
    <row r="404">
      <c r="A404" s="27" t="n"/>
      <c r="B404" s="27" t="n"/>
      <c r="C404" s="27" t="n"/>
      <c r="D404" s="27" t="n"/>
      <c r="E404" s="27" t="n"/>
      <c r="F404" s="27" t="n"/>
      <c r="G404" s="28" t="n"/>
      <c r="H404" s="28" t="n"/>
      <c r="I404" s="28" t="n"/>
      <c r="J404" s="27" t="n"/>
      <c r="K404" s="27" t="n"/>
      <c r="L404" s="36" t="n"/>
      <c r="M404" s="37">
        <f>IF(L404="","",L404-TIME(9,0,0))</f>
        <v/>
      </c>
      <c r="N404" s="38" t="n"/>
      <c r="O404" s="38" t="n"/>
      <c r="P404" s="38" t="n"/>
      <c r="Q404" s="34">
        <f>IF(COUNT(N404:P404)=0,"",MEDIAN(N404:P404))</f>
        <v/>
      </c>
      <c r="R404" s="27" t="n"/>
    </row>
  </sheetData>
  <mergeCells count="3">
    <mergeCell ref="A3:R3"/>
    <mergeCell ref="A2:R2"/>
    <mergeCell ref="A1:R1"/>
  </mergeCells>
  <dataValidations count="3">
    <dataValidation sqref="F5:F404" showDropDown="0" showInputMessage="0" showErrorMessage="0" allowBlank="1" type="list">
      <formula1>"정,역"</formula1>
    </dataValidation>
    <dataValidation sqref="J5:J404" showDropDown="0" showInputMessage="0" showErrorMessage="0" allowBlank="1" type="list">
      <formula1>"지면,표석 상면,PENDING"</formula1>
    </dataValidation>
    <dataValidation sqref="N5:P404" showDropDown="0" showInputMessage="0" showErrorMessage="1" allowBlank="1" errorTitle="예상 범위 밖" error="한반도 총자력 범위(30,000~60,000 nT) 밖이다. 실제 이상일 수 있으니 지우지 말고 「상태·비고」에 사유를 적을 것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9" customWidth="1" min="4" max="4"/>
    <col width="6" customWidth="1" min="5" max="5"/>
    <col width="12" customWidth="1" min="6" max="6"/>
    <col width="13" customWidth="1" min="7" max="7"/>
    <col width="12" customWidth="1" min="8" max="8"/>
    <col width="19" customWidth="1" min="9" max="9"/>
    <col width="19" customWidth="1" min="10" max="10"/>
    <col width="10" customWidth="1" min="11" max="11"/>
    <col width="19" customWidth="1" min="12" max="12"/>
    <col width="14" customWidth="1" min="13" max="13"/>
    <col width="13" customWidth="1" min="14" max="14"/>
    <col width="12" customWidth="1" min="15" max="15"/>
    <col width="11" customWidth="1" min="16" max="16"/>
    <col width="11" customWidth="1" min="17" max="17"/>
    <col width="12" customWidth="1" min="18" max="18"/>
    <col width="11" customWidth="1" min="19" max="19"/>
    <col width="11" customWidth="1" min="20" max="20"/>
    <col width="13" customWidth="1" min="21" max="21"/>
    <col width="28" customWidth="1" min="22" max="22"/>
  </cols>
  <sheetData>
    <row r="1" ht="26" customHeight="1">
      <c r="A1" s="1" t="inlineStr">
        <is>
          <t>절대측정 — 세션 아래 «관측행». 이 시트가 이 야장의 중심이다</t>
        </is>
      </c>
    </row>
    <row r="2" ht="33" customHeight="1">
      <c r="A2" s="2" t="inlineStr">
        <is>
          <t>연결키: Site — Visit — Date — Session — Seq — Component — Location — Instrument. 이 여덟 중 하나만 비어도 D·I·F 를 다시 묶을 수 없다. 과거에 F 시각이 사라진 것이 정확히 이 결합의 실패였다.</t>
        </is>
      </c>
    </row>
    <row r="3" ht="33" customHeight="1">
      <c r="A3" s="3" t="inlineStr">
        <is>
          <t>⚠ F 는 «판독마다» 초 단위 시각을 적는다(§19①6 총자기장·시간 동시 측정). D·I 는 시작·종료 시각을 각각 적는다(§20 20분 이내 판정 근거). 원시 판독값을 남기고 최종값만 적지 않는다.</t>
        </is>
      </c>
    </row>
    <row r="4" ht="34" customHeight="1">
      <c r="A4" s="7" t="inlineStr">
        <is>
          <t>Site ID</t>
        </is>
      </c>
      <c r="B4" s="7" t="inlineStr">
        <is>
          <t>Visit ID</t>
        </is>
      </c>
      <c r="C4" s="7" t="inlineStr">
        <is>
          <t>관측일자</t>
        </is>
      </c>
      <c r="D4" s="7" t="inlineStr">
        <is>
          <t>Session</t>
        </is>
      </c>
      <c r="E4" s="7" t="inlineStr">
        <is>
          <t>Seq</t>
        </is>
      </c>
      <c r="F4" s="7" t="inlineStr">
        <is>
          <t>Component</t>
        </is>
      </c>
      <c r="G4" s="7" t="inlineStr">
        <is>
          <t>Location ID</t>
        </is>
      </c>
      <c r="H4" s="7" t="inlineStr">
        <is>
          <t>Instrument</t>
        </is>
      </c>
      <c r="I4" s="8" t="inlineStr">
        <is>
          <t>시작 시각(KST)</t>
        </is>
      </c>
      <c r="J4" s="8" t="inlineStr">
        <is>
          <t>종료 시각(KST)</t>
        </is>
      </c>
      <c r="K4" s="8" t="inlineStr">
        <is>
          <t>소요(분)
계산</t>
        </is>
      </c>
      <c r="L4" s="8" t="inlineStr">
        <is>
          <t>UTC 시작
계산</t>
        </is>
      </c>
      <c r="M4" s="8" t="inlineStr">
        <is>
          <t>원시 판독(gon)</t>
        </is>
      </c>
      <c r="N4" s="8" t="inlineStr">
        <is>
          <t>원시 판독 단위</t>
        </is>
      </c>
      <c r="O4" s="8" t="inlineStr">
        <is>
          <t>산출값</t>
        </is>
      </c>
      <c r="P4" s="8" t="inlineStr">
        <is>
          <t>D(°)</t>
        </is>
      </c>
      <c r="Q4" s="8" t="inlineStr">
        <is>
          <t>I(°)</t>
        </is>
      </c>
      <c r="R4" s="8" t="inlineStr">
        <is>
          <t>F(nT)</t>
        </is>
      </c>
      <c r="S4" s="8" t="inlineStr">
        <is>
          <t>센서 높이(m)</t>
        </is>
      </c>
      <c r="T4" s="8" t="inlineStr">
        <is>
          <t>관측자</t>
        </is>
      </c>
      <c r="U4" s="8" t="inlineStr">
        <is>
          <t>상태</t>
        </is>
      </c>
      <c r="V4" s="8" t="inlineStr">
        <is>
          <t>비고</t>
        </is>
      </c>
    </row>
    <row r="5">
      <c r="A5" s="27" t="n"/>
      <c r="B5" s="27" t="n"/>
      <c r="C5" s="39" t="n"/>
      <c r="D5" s="27" t="n"/>
      <c r="E5" s="27" t="n"/>
      <c r="F5" s="27" t="n"/>
      <c r="G5" s="27" t="n"/>
      <c r="H5" s="27" t="n"/>
      <c r="I5" s="36" t="n"/>
      <c r="J5" s="36" t="n"/>
      <c r="K5" s="34">
        <f>IF(OR(I5="",J5=""),"",(J5-I5)*1440)</f>
        <v/>
      </c>
      <c r="L5" s="37">
        <f>IF(I5="","",I5-TIME(9,0,0))</f>
        <v/>
      </c>
      <c r="M5" s="33" t="n"/>
      <c r="N5" s="32" t="inlineStr">
        <is>
          <t>gon</t>
        </is>
      </c>
      <c r="O5" s="27" t="n"/>
      <c r="P5" s="33" t="n"/>
      <c r="Q5" s="33" t="n"/>
      <c r="R5" s="38" t="n"/>
      <c r="S5" s="28" t="n"/>
      <c r="T5" s="27" t="n"/>
      <c r="U5" s="27" t="n"/>
      <c r="V5" s="27" t="n"/>
    </row>
    <row r="6">
      <c r="A6" s="27" t="n"/>
      <c r="B6" s="27" t="n"/>
      <c r="C6" s="39" t="n"/>
      <c r="D6" s="27" t="n"/>
      <c r="E6" s="27" t="n"/>
      <c r="F6" s="27" t="n"/>
      <c r="G6" s="27" t="n"/>
      <c r="H6" s="27" t="n"/>
      <c r="I6" s="36" t="n"/>
      <c r="J6" s="36" t="n"/>
      <c r="K6" s="34">
        <f>IF(OR(I6="",J6=""),"",(J6-I6)*1440)</f>
        <v/>
      </c>
      <c r="L6" s="37">
        <f>IF(I6="","",I6-TIME(9,0,0))</f>
        <v/>
      </c>
      <c r="M6" s="33" t="n"/>
      <c r="N6" s="32" t="inlineStr">
        <is>
          <t>gon</t>
        </is>
      </c>
      <c r="O6" s="27" t="n"/>
      <c r="P6" s="33" t="n"/>
      <c r="Q6" s="33" t="n"/>
      <c r="R6" s="38" t="n"/>
      <c r="S6" s="28" t="n"/>
      <c r="T6" s="27" t="n"/>
      <c r="U6" s="27" t="n"/>
      <c r="V6" s="27" t="n"/>
    </row>
    <row r="7">
      <c r="A7" s="27" t="n"/>
      <c r="B7" s="27" t="n"/>
      <c r="C7" s="39" t="n"/>
      <c r="D7" s="27" t="n"/>
      <c r="E7" s="27" t="n"/>
      <c r="F7" s="27" t="n"/>
      <c r="G7" s="27" t="n"/>
      <c r="H7" s="27" t="n"/>
      <c r="I7" s="36" t="n"/>
      <c r="J7" s="36" t="n"/>
      <c r="K7" s="34">
        <f>IF(OR(I7="",J7=""),"",(J7-I7)*1440)</f>
        <v/>
      </c>
      <c r="L7" s="37">
        <f>IF(I7="","",I7-TIME(9,0,0))</f>
        <v/>
      </c>
      <c r="M7" s="33" t="n"/>
      <c r="N7" s="32" t="inlineStr">
        <is>
          <t>gon</t>
        </is>
      </c>
      <c r="O7" s="27" t="n"/>
      <c r="P7" s="33" t="n"/>
      <c r="Q7" s="33" t="n"/>
      <c r="R7" s="38" t="n"/>
      <c r="S7" s="28" t="n"/>
      <c r="T7" s="27" t="n"/>
      <c r="U7" s="27" t="n"/>
      <c r="V7" s="27" t="n"/>
    </row>
    <row r="8">
      <c r="A8" s="27" t="n"/>
      <c r="B8" s="27" t="n"/>
      <c r="C8" s="39" t="n"/>
      <c r="D8" s="27" t="n"/>
      <c r="E8" s="27" t="n"/>
      <c r="F8" s="27" t="n"/>
      <c r="G8" s="27" t="n"/>
      <c r="H8" s="27" t="n"/>
      <c r="I8" s="36" t="n"/>
      <c r="J8" s="36" t="n"/>
      <c r="K8" s="34">
        <f>IF(OR(I8="",J8=""),"",(J8-I8)*1440)</f>
        <v/>
      </c>
      <c r="L8" s="37">
        <f>IF(I8="","",I8-TIME(9,0,0))</f>
        <v/>
      </c>
      <c r="M8" s="33" t="n"/>
      <c r="N8" s="32" t="inlineStr">
        <is>
          <t>gon</t>
        </is>
      </c>
      <c r="O8" s="27" t="n"/>
      <c r="P8" s="33" t="n"/>
      <c r="Q8" s="33" t="n"/>
      <c r="R8" s="38" t="n"/>
      <c r="S8" s="28" t="n"/>
      <c r="T8" s="27" t="n"/>
      <c r="U8" s="27" t="n"/>
      <c r="V8" s="27" t="n"/>
    </row>
    <row r="9">
      <c r="A9" s="27" t="n"/>
      <c r="B9" s="27" t="n"/>
      <c r="C9" s="39" t="n"/>
      <c r="D9" s="27" t="n"/>
      <c r="E9" s="27" t="n"/>
      <c r="F9" s="27" t="n"/>
      <c r="G9" s="27" t="n"/>
      <c r="H9" s="27" t="n"/>
      <c r="I9" s="36" t="n"/>
      <c r="J9" s="36" t="n"/>
      <c r="K9" s="34">
        <f>IF(OR(I9="",J9=""),"",(J9-I9)*1440)</f>
        <v/>
      </c>
      <c r="L9" s="37">
        <f>IF(I9="","",I9-TIME(9,0,0))</f>
        <v/>
      </c>
      <c r="M9" s="33" t="n"/>
      <c r="N9" s="32" t="inlineStr">
        <is>
          <t>gon</t>
        </is>
      </c>
      <c r="O9" s="27" t="n"/>
      <c r="P9" s="33" t="n"/>
      <c r="Q9" s="33" t="n"/>
      <c r="R9" s="38" t="n"/>
      <c r="S9" s="28" t="n"/>
      <c r="T9" s="27" t="n"/>
      <c r="U9" s="27" t="n"/>
      <c r="V9" s="27" t="n"/>
    </row>
    <row r="10">
      <c r="A10" s="27" t="n"/>
      <c r="B10" s="27" t="n"/>
      <c r="C10" s="39" t="n"/>
      <c r="D10" s="27" t="n"/>
      <c r="E10" s="27" t="n"/>
      <c r="F10" s="27" t="n"/>
      <c r="G10" s="27" t="n"/>
      <c r="H10" s="27" t="n"/>
      <c r="I10" s="36" t="n"/>
      <c r="J10" s="36" t="n"/>
      <c r="K10" s="34">
        <f>IF(OR(I10="",J10=""),"",(J10-I10)*1440)</f>
        <v/>
      </c>
      <c r="L10" s="37">
        <f>IF(I10="","",I10-TIME(9,0,0))</f>
        <v/>
      </c>
      <c r="M10" s="33" t="n"/>
      <c r="N10" s="32" t="inlineStr">
        <is>
          <t>gon</t>
        </is>
      </c>
      <c r="O10" s="27" t="n"/>
      <c r="P10" s="33" t="n"/>
      <c r="Q10" s="33" t="n"/>
      <c r="R10" s="38" t="n"/>
      <c r="S10" s="28" t="n"/>
      <c r="T10" s="27" t="n"/>
      <c r="U10" s="27" t="n"/>
      <c r="V10" s="27" t="n"/>
    </row>
    <row r="11">
      <c r="A11" s="27" t="n"/>
      <c r="B11" s="27" t="n"/>
      <c r="C11" s="39" t="n"/>
      <c r="D11" s="27" t="n"/>
      <c r="E11" s="27" t="n"/>
      <c r="F11" s="27" t="n"/>
      <c r="G11" s="27" t="n"/>
      <c r="H11" s="27" t="n"/>
      <c r="I11" s="36" t="n"/>
      <c r="J11" s="36" t="n"/>
      <c r="K11" s="34">
        <f>IF(OR(I11="",J11=""),"",(J11-I11)*1440)</f>
        <v/>
      </c>
      <c r="L11" s="37">
        <f>IF(I11="","",I11-TIME(9,0,0))</f>
        <v/>
      </c>
      <c r="M11" s="33" t="n"/>
      <c r="N11" s="32" t="inlineStr">
        <is>
          <t>gon</t>
        </is>
      </c>
      <c r="O11" s="27" t="n"/>
      <c r="P11" s="33" t="n"/>
      <c r="Q11" s="33" t="n"/>
      <c r="R11" s="38" t="n"/>
      <c r="S11" s="28" t="n"/>
      <c r="T11" s="27" t="n"/>
      <c r="U11" s="27" t="n"/>
      <c r="V11" s="27" t="n"/>
    </row>
    <row r="12">
      <c r="A12" s="27" t="n"/>
      <c r="B12" s="27" t="n"/>
      <c r="C12" s="39" t="n"/>
      <c r="D12" s="27" t="n"/>
      <c r="E12" s="27" t="n"/>
      <c r="F12" s="27" t="n"/>
      <c r="G12" s="27" t="n"/>
      <c r="H12" s="27" t="n"/>
      <c r="I12" s="36" t="n"/>
      <c r="J12" s="36" t="n"/>
      <c r="K12" s="34">
        <f>IF(OR(I12="",J12=""),"",(J12-I12)*1440)</f>
        <v/>
      </c>
      <c r="L12" s="37">
        <f>IF(I12="","",I12-TIME(9,0,0))</f>
        <v/>
      </c>
      <c r="M12" s="33" t="n"/>
      <c r="N12" s="32" t="inlineStr">
        <is>
          <t>gon</t>
        </is>
      </c>
      <c r="O12" s="27" t="n"/>
      <c r="P12" s="33" t="n"/>
      <c r="Q12" s="33" t="n"/>
      <c r="R12" s="38" t="n"/>
      <c r="S12" s="28" t="n"/>
      <c r="T12" s="27" t="n"/>
      <c r="U12" s="27" t="n"/>
      <c r="V12" s="27" t="n"/>
    </row>
    <row r="13">
      <c r="A13" s="27" t="n"/>
      <c r="B13" s="27" t="n"/>
      <c r="C13" s="39" t="n"/>
      <c r="D13" s="27" t="n"/>
      <c r="E13" s="27" t="n"/>
      <c r="F13" s="27" t="n"/>
      <c r="G13" s="27" t="n"/>
      <c r="H13" s="27" t="n"/>
      <c r="I13" s="36" t="n"/>
      <c r="J13" s="36" t="n"/>
      <c r="K13" s="34">
        <f>IF(OR(I13="",J13=""),"",(J13-I13)*1440)</f>
        <v/>
      </c>
      <c r="L13" s="37">
        <f>IF(I13="","",I13-TIME(9,0,0))</f>
        <v/>
      </c>
      <c r="M13" s="33" t="n"/>
      <c r="N13" s="32" t="inlineStr">
        <is>
          <t>gon</t>
        </is>
      </c>
      <c r="O13" s="27" t="n"/>
      <c r="P13" s="33" t="n"/>
      <c r="Q13" s="33" t="n"/>
      <c r="R13" s="38" t="n"/>
      <c r="S13" s="28" t="n"/>
      <c r="T13" s="27" t="n"/>
      <c r="U13" s="27" t="n"/>
      <c r="V13" s="27" t="n"/>
    </row>
    <row r="14">
      <c r="A14" s="27" t="n"/>
      <c r="B14" s="27" t="n"/>
      <c r="C14" s="39" t="n"/>
      <c r="D14" s="27" t="n"/>
      <c r="E14" s="27" t="n"/>
      <c r="F14" s="27" t="n"/>
      <c r="G14" s="27" t="n"/>
      <c r="H14" s="27" t="n"/>
      <c r="I14" s="36" t="n"/>
      <c r="J14" s="36" t="n"/>
      <c r="K14" s="34">
        <f>IF(OR(I14="",J14=""),"",(J14-I14)*1440)</f>
        <v/>
      </c>
      <c r="L14" s="37">
        <f>IF(I14="","",I14-TIME(9,0,0))</f>
        <v/>
      </c>
      <c r="M14" s="33" t="n"/>
      <c r="N14" s="32" t="inlineStr">
        <is>
          <t>gon</t>
        </is>
      </c>
      <c r="O14" s="27" t="n"/>
      <c r="P14" s="33" t="n"/>
      <c r="Q14" s="33" t="n"/>
      <c r="R14" s="38" t="n"/>
      <c r="S14" s="28" t="n"/>
      <c r="T14" s="27" t="n"/>
      <c r="U14" s="27" t="n"/>
      <c r="V14" s="27" t="n"/>
    </row>
    <row r="15">
      <c r="A15" s="27" t="n"/>
      <c r="B15" s="27" t="n"/>
      <c r="C15" s="39" t="n"/>
      <c r="D15" s="27" t="n"/>
      <c r="E15" s="27" t="n"/>
      <c r="F15" s="27" t="n"/>
      <c r="G15" s="27" t="n"/>
      <c r="H15" s="27" t="n"/>
      <c r="I15" s="36" t="n"/>
      <c r="J15" s="36" t="n"/>
      <c r="K15" s="34">
        <f>IF(OR(I15="",J15=""),"",(J15-I15)*1440)</f>
        <v/>
      </c>
      <c r="L15" s="37">
        <f>IF(I15="","",I15-TIME(9,0,0))</f>
        <v/>
      </c>
      <c r="M15" s="33" t="n"/>
      <c r="N15" s="32" t="inlineStr">
        <is>
          <t>gon</t>
        </is>
      </c>
      <c r="O15" s="27" t="n"/>
      <c r="P15" s="33" t="n"/>
      <c r="Q15" s="33" t="n"/>
      <c r="R15" s="38" t="n"/>
      <c r="S15" s="28" t="n"/>
      <c r="T15" s="27" t="n"/>
      <c r="U15" s="27" t="n"/>
      <c r="V15" s="27" t="n"/>
    </row>
    <row r="16">
      <c r="A16" s="27" t="n"/>
      <c r="B16" s="27" t="n"/>
      <c r="C16" s="39" t="n"/>
      <c r="D16" s="27" t="n"/>
      <c r="E16" s="27" t="n"/>
      <c r="F16" s="27" t="n"/>
      <c r="G16" s="27" t="n"/>
      <c r="H16" s="27" t="n"/>
      <c r="I16" s="36" t="n"/>
      <c r="J16" s="36" t="n"/>
      <c r="K16" s="34">
        <f>IF(OR(I16="",J16=""),"",(J16-I16)*1440)</f>
        <v/>
      </c>
      <c r="L16" s="37">
        <f>IF(I16="","",I16-TIME(9,0,0))</f>
        <v/>
      </c>
      <c r="M16" s="33" t="n"/>
      <c r="N16" s="32" t="inlineStr">
        <is>
          <t>gon</t>
        </is>
      </c>
      <c r="O16" s="27" t="n"/>
      <c r="P16" s="33" t="n"/>
      <c r="Q16" s="33" t="n"/>
      <c r="R16" s="38" t="n"/>
      <c r="S16" s="28" t="n"/>
      <c r="T16" s="27" t="n"/>
      <c r="U16" s="27" t="n"/>
      <c r="V16" s="27" t="n"/>
    </row>
    <row r="17">
      <c r="A17" s="27" t="n"/>
      <c r="B17" s="27" t="n"/>
      <c r="C17" s="39" t="n"/>
      <c r="D17" s="27" t="n"/>
      <c r="E17" s="27" t="n"/>
      <c r="F17" s="27" t="n"/>
      <c r="G17" s="27" t="n"/>
      <c r="H17" s="27" t="n"/>
      <c r="I17" s="36" t="n"/>
      <c r="J17" s="36" t="n"/>
      <c r="K17" s="34">
        <f>IF(OR(I17="",J17=""),"",(J17-I17)*1440)</f>
        <v/>
      </c>
      <c r="L17" s="37">
        <f>IF(I17="","",I17-TIME(9,0,0))</f>
        <v/>
      </c>
      <c r="M17" s="33" t="n"/>
      <c r="N17" s="32" t="inlineStr">
        <is>
          <t>gon</t>
        </is>
      </c>
      <c r="O17" s="27" t="n"/>
      <c r="P17" s="33" t="n"/>
      <c r="Q17" s="33" t="n"/>
      <c r="R17" s="38" t="n"/>
      <c r="S17" s="28" t="n"/>
      <c r="T17" s="27" t="n"/>
      <c r="U17" s="27" t="n"/>
      <c r="V17" s="27" t="n"/>
    </row>
    <row r="18">
      <c r="A18" s="27" t="n"/>
      <c r="B18" s="27" t="n"/>
      <c r="C18" s="39" t="n"/>
      <c r="D18" s="27" t="n"/>
      <c r="E18" s="27" t="n"/>
      <c r="F18" s="27" t="n"/>
      <c r="G18" s="27" t="n"/>
      <c r="H18" s="27" t="n"/>
      <c r="I18" s="36" t="n"/>
      <c r="J18" s="36" t="n"/>
      <c r="K18" s="34">
        <f>IF(OR(I18="",J18=""),"",(J18-I18)*1440)</f>
        <v/>
      </c>
      <c r="L18" s="37">
        <f>IF(I18="","",I18-TIME(9,0,0))</f>
        <v/>
      </c>
      <c r="M18" s="33" t="n"/>
      <c r="N18" s="32" t="inlineStr">
        <is>
          <t>gon</t>
        </is>
      </c>
      <c r="O18" s="27" t="n"/>
      <c r="P18" s="33" t="n"/>
      <c r="Q18" s="33" t="n"/>
      <c r="R18" s="38" t="n"/>
      <c r="S18" s="28" t="n"/>
      <c r="T18" s="27" t="n"/>
      <c r="U18" s="27" t="n"/>
      <c r="V18" s="27" t="n"/>
    </row>
    <row r="19">
      <c r="A19" s="27" t="n"/>
      <c r="B19" s="27" t="n"/>
      <c r="C19" s="39" t="n"/>
      <c r="D19" s="27" t="n"/>
      <c r="E19" s="27" t="n"/>
      <c r="F19" s="27" t="n"/>
      <c r="G19" s="27" t="n"/>
      <c r="H19" s="27" t="n"/>
      <c r="I19" s="36" t="n"/>
      <c r="J19" s="36" t="n"/>
      <c r="K19" s="34">
        <f>IF(OR(I19="",J19=""),"",(J19-I19)*1440)</f>
        <v/>
      </c>
      <c r="L19" s="37">
        <f>IF(I19="","",I19-TIME(9,0,0))</f>
        <v/>
      </c>
      <c r="M19" s="33" t="n"/>
      <c r="N19" s="32" t="inlineStr">
        <is>
          <t>gon</t>
        </is>
      </c>
      <c r="O19" s="27" t="n"/>
      <c r="P19" s="33" t="n"/>
      <c r="Q19" s="33" t="n"/>
      <c r="R19" s="38" t="n"/>
      <c r="S19" s="28" t="n"/>
      <c r="T19" s="27" t="n"/>
      <c r="U19" s="27" t="n"/>
      <c r="V19" s="27" t="n"/>
    </row>
    <row r="20">
      <c r="A20" s="27" t="n"/>
      <c r="B20" s="27" t="n"/>
      <c r="C20" s="39" t="n"/>
      <c r="D20" s="27" t="n"/>
      <c r="E20" s="27" t="n"/>
      <c r="F20" s="27" t="n"/>
      <c r="G20" s="27" t="n"/>
      <c r="H20" s="27" t="n"/>
      <c r="I20" s="36" t="n"/>
      <c r="J20" s="36" t="n"/>
      <c r="K20" s="34">
        <f>IF(OR(I20="",J20=""),"",(J20-I20)*1440)</f>
        <v/>
      </c>
      <c r="L20" s="37">
        <f>IF(I20="","",I20-TIME(9,0,0))</f>
        <v/>
      </c>
      <c r="M20" s="33" t="n"/>
      <c r="N20" s="32" t="inlineStr">
        <is>
          <t>gon</t>
        </is>
      </c>
      <c r="O20" s="27" t="n"/>
      <c r="P20" s="33" t="n"/>
      <c r="Q20" s="33" t="n"/>
      <c r="R20" s="38" t="n"/>
      <c r="S20" s="28" t="n"/>
      <c r="T20" s="27" t="n"/>
      <c r="U20" s="27" t="n"/>
      <c r="V20" s="27" t="n"/>
    </row>
    <row r="21">
      <c r="A21" s="27" t="n"/>
      <c r="B21" s="27" t="n"/>
      <c r="C21" s="39" t="n"/>
      <c r="D21" s="27" t="n"/>
      <c r="E21" s="27" t="n"/>
      <c r="F21" s="27" t="n"/>
      <c r="G21" s="27" t="n"/>
      <c r="H21" s="27" t="n"/>
      <c r="I21" s="36" t="n"/>
      <c r="J21" s="36" t="n"/>
      <c r="K21" s="34">
        <f>IF(OR(I21="",J21=""),"",(J21-I21)*1440)</f>
        <v/>
      </c>
      <c r="L21" s="37">
        <f>IF(I21="","",I21-TIME(9,0,0))</f>
        <v/>
      </c>
      <c r="M21" s="33" t="n"/>
      <c r="N21" s="32" t="inlineStr">
        <is>
          <t>gon</t>
        </is>
      </c>
      <c r="O21" s="27" t="n"/>
      <c r="P21" s="33" t="n"/>
      <c r="Q21" s="33" t="n"/>
      <c r="R21" s="38" t="n"/>
      <c r="S21" s="28" t="n"/>
      <c r="T21" s="27" t="n"/>
      <c r="U21" s="27" t="n"/>
      <c r="V21" s="27" t="n"/>
    </row>
    <row r="22">
      <c r="A22" s="27" t="n"/>
      <c r="B22" s="27" t="n"/>
      <c r="C22" s="39" t="n"/>
      <c r="D22" s="27" t="n"/>
      <c r="E22" s="27" t="n"/>
      <c r="F22" s="27" t="n"/>
      <c r="G22" s="27" t="n"/>
      <c r="H22" s="27" t="n"/>
      <c r="I22" s="36" t="n"/>
      <c r="J22" s="36" t="n"/>
      <c r="K22" s="34">
        <f>IF(OR(I22="",J22=""),"",(J22-I22)*1440)</f>
        <v/>
      </c>
      <c r="L22" s="37">
        <f>IF(I22="","",I22-TIME(9,0,0))</f>
        <v/>
      </c>
      <c r="M22" s="33" t="n"/>
      <c r="N22" s="32" t="inlineStr">
        <is>
          <t>gon</t>
        </is>
      </c>
      <c r="O22" s="27" t="n"/>
      <c r="P22" s="33" t="n"/>
      <c r="Q22" s="33" t="n"/>
      <c r="R22" s="38" t="n"/>
      <c r="S22" s="28" t="n"/>
      <c r="T22" s="27" t="n"/>
      <c r="U22" s="27" t="n"/>
      <c r="V22" s="27" t="n"/>
    </row>
    <row r="23">
      <c r="A23" s="27" t="n"/>
      <c r="B23" s="27" t="n"/>
      <c r="C23" s="39" t="n"/>
      <c r="D23" s="27" t="n"/>
      <c r="E23" s="27" t="n"/>
      <c r="F23" s="27" t="n"/>
      <c r="G23" s="27" t="n"/>
      <c r="H23" s="27" t="n"/>
      <c r="I23" s="36" t="n"/>
      <c r="J23" s="36" t="n"/>
      <c r="K23" s="34">
        <f>IF(OR(I23="",J23=""),"",(J23-I23)*1440)</f>
        <v/>
      </c>
      <c r="L23" s="37">
        <f>IF(I23="","",I23-TIME(9,0,0))</f>
        <v/>
      </c>
      <c r="M23" s="33" t="n"/>
      <c r="N23" s="32" t="inlineStr">
        <is>
          <t>gon</t>
        </is>
      </c>
      <c r="O23" s="27" t="n"/>
      <c r="P23" s="33" t="n"/>
      <c r="Q23" s="33" t="n"/>
      <c r="R23" s="38" t="n"/>
      <c r="S23" s="28" t="n"/>
      <c r="T23" s="27" t="n"/>
      <c r="U23" s="27" t="n"/>
      <c r="V23" s="27" t="n"/>
    </row>
    <row r="24">
      <c r="A24" s="27" t="n"/>
      <c r="B24" s="27" t="n"/>
      <c r="C24" s="39" t="n"/>
      <c r="D24" s="27" t="n"/>
      <c r="E24" s="27" t="n"/>
      <c r="F24" s="27" t="n"/>
      <c r="G24" s="27" t="n"/>
      <c r="H24" s="27" t="n"/>
      <c r="I24" s="36" t="n"/>
      <c r="J24" s="36" t="n"/>
      <c r="K24" s="34">
        <f>IF(OR(I24="",J24=""),"",(J24-I24)*1440)</f>
        <v/>
      </c>
      <c r="L24" s="37">
        <f>IF(I24="","",I24-TIME(9,0,0))</f>
        <v/>
      </c>
      <c r="M24" s="33" t="n"/>
      <c r="N24" s="32" t="inlineStr">
        <is>
          <t>gon</t>
        </is>
      </c>
      <c r="O24" s="27" t="n"/>
      <c r="P24" s="33" t="n"/>
      <c r="Q24" s="33" t="n"/>
      <c r="R24" s="38" t="n"/>
      <c r="S24" s="28" t="n"/>
      <c r="T24" s="27" t="n"/>
      <c r="U24" s="27" t="n"/>
      <c r="V24" s="27" t="n"/>
    </row>
    <row r="25">
      <c r="A25" s="27" t="n"/>
      <c r="B25" s="27" t="n"/>
      <c r="C25" s="39" t="n"/>
      <c r="D25" s="27" t="n"/>
      <c r="E25" s="27" t="n"/>
      <c r="F25" s="27" t="n"/>
      <c r="G25" s="27" t="n"/>
      <c r="H25" s="27" t="n"/>
      <c r="I25" s="36" t="n"/>
      <c r="J25" s="36" t="n"/>
      <c r="K25" s="34">
        <f>IF(OR(I25="",J25=""),"",(J25-I25)*1440)</f>
        <v/>
      </c>
      <c r="L25" s="37">
        <f>IF(I25="","",I25-TIME(9,0,0))</f>
        <v/>
      </c>
      <c r="M25" s="33" t="n"/>
      <c r="N25" s="32" t="inlineStr">
        <is>
          <t>gon</t>
        </is>
      </c>
      <c r="O25" s="27" t="n"/>
      <c r="P25" s="33" t="n"/>
      <c r="Q25" s="33" t="n"/>
      <c r="R25" s="38" t="n"/>
      <c r="S25" s="28" t="n"/>
      <c r="T25" s="27" t="n"/>
      <c r="U25" s="27" t="n"/>
      <c r="V25" s="27" t="n"/>
    </row>
    <row r="26">
      <c r="A26" s="27" t="n"/>
      <c r="B26" s="27" t="n"/>
      <c r="C26" s="39" t="n"/>
      <c r="D26" s="27" t="n"/>
      <c r="E26" s="27" t="n"/>
      <c r="F26" s="27" t="n"/>
      <c r="G26" s="27" t="n"/>
      <c r="H26" s="27" t="n"/>
      <c r="I26" s="36" t="n"/>
      <c r="J26" s="36" t="n"/>
      <c r="K26" s="34">
        <f>IF(OR(I26="",J26=""),"",(J26-I26)*1440)</f>
        <v/>
      </c>
      <c r="L26" s="37">
        <f>IF(I26="","",I26-TIME(9,0,0))</f>
        <v/>
      </c>
      <c r="M26" s="33" t="n"/>
      <c r="N26" s="32" t="inlineStr">
        <is>
          <t>gon</t>
        </is>
      </c>
      <c r="O26" s="27" t="n"/>
      <c r="P26" s="33" t="n"/>
      <c r="Q26" s="33" t="n"/>
      <c r="R26" s="38" t="n"/>
      <c r="S26" s="28" t="n"/>
      <c r="T26" s="27" t="n"/>
      <c r="U26" s="27" t="n"/>
      <c r="V26" s="27" t="n"/>
    </row>
    <row r="27">
      <c r="A27" s="27" t="n"/>
      <c r="B27" s="27" t="n"/>
      <c r="C27" s="39" t="n"/>
      <c r="D27" s="27" t="n"/>
      <c r="E27" s="27" t="n"/>
      <c r="F27" s="27" t="n"/>
      <c r="G27" s="27" t="n"/>
      <c r="H27" s="27" t="n"/>
      <c r="I27" s="36" t="n"/>
      <c r="J27" s="36" t="n"/>
      <c r="K27" s="34">
        <f>IF(OR(I27="",J27=""),"",(J27-I27)*1440)</f>
        <v/>
      </c>
      <c r="L27" s="37">
        <f>IF(I27="","",I27-TIME(9,0,0))</f>
        <v/>
      </c>
      <c r="M27" s="33" t="n"/>
      <c r="N27" s="32" t="inlineStr">
        <is>
          <t>gon</t>
        </is>
      </c>
      <c r="O27" s="27" t="n"/>
      <c r="P27" s="33" t="n"/>
      <c r="Q27" s="33" t="n"/>
      <c r="R27" s="38" t="n"/>
      <c r="S27" s="28" t="n"/>
      <c r="T27" s="27" t="n"/>
      <c r="U27" s="27" t="n"/>
      <c r="V27" s="27" t="n"/>
    </row>
    <row r="28">
      <c r="A28" s="27" t="n"/>
      <c r="B28" s="27" t="n"/>
      <c r="C28" s="39" t="n"/>
      <c r="D28" s="27" t="n"/>
      <c r="E28" s="27" t="n"/>
      <c r="F28" s="27" t="n"/>
      <c r="G28" s="27" t="n"/>
      <c r="H28" s="27" t="n"/>
      <c r="I28" s="36" t="n"/>
      <c r="J28" s="36" t="n"/>
      <c r="K28" s="34">
        <f>IF(OR(I28="",J28=""),"",(J28-I28)*1440)</f>
        <v/>
      </c>
      <c r="L28" s="37">
        <f>IF(I28="","",I28-TIME(9,0,0))</f>
        <v/>
      </c>
      <c r="M28" s="33" t="n"/>
      <c r="N28" s="32" t="inlineStr">
        <is>
          <t>gon</t>
        </is>
      </c>
      <c r="O28" s="27" t="n"/>
      <c r="P28" s="33" t="n"/>
      <c r="Q28" s="33" t="n"/>
      <c r="R28" s="38" t="n"/>
      <c r="S28" s="28" t="n"/>
      <c r="T28" s="27" t="n"/>
      <c r="U28" s="27" t="n"/>
      <c r="V28" s="27" t="n"/>
    </row>
    <row r="29">
      <c r="A29" s="27" t="n"/>
      <c r="B29" s="27" t="n"/>
      <c r="C29" s="39" t="n"/>
      <c r="D29" s="27" t="n"/>
      <c r="E29" s="27" t="n"/>
      <c r="F29" s="27" t="n"/>
      <c r="G29" s="27" t="n"/>
      <c r="H29" s="27" t="n"/>
      <c r="I29" s="36" t="n"/>
      <c r="J29" s="36" t="n"/>
      <c r="K29" s="34">
        <f>IF(OR(I29="",J29=""),"",(J29-I29)*1440)</f>
        <v/>
      </c>
      <c r="L29" s="37">
        <f>IF(I29="","",I29-TIME(9,0,0))</f>
        <v/>
      </c>
      <c r="M29" s="33" t="n"/>
      <c r="N29" s="32" t="inlineStr">
        <is>
          <t>gon</t>
        </is>
      </c>
      <c r="O29" s="27" t="n"/>
      <c r="P29" s="33" t="n"/>
      <c r="Q29" s="33" t="n"/>
      <c r="R29" s="38" t="n"/>
      <c r="S29" s="28" t="n"/>
      <c r="T29" s="27" t="n"/>
      <c r="U29" s="27" t="n"/>
      <c r="V29" s="27" t="n"/>
    </row>
    <row r="30">
      <c r="A30" s="27" t="n"/>
      <c r="B30" s="27" t="n"/>
      <c r="C30" s="39" t="n"/>
      <c r="D30" s="27" t="n"/>
      <c r="E30" s="27" t="n"/>
      <c r="F30" s="27" t="n"/>
      <c r="G30" s="27" t="n"/>
      <c r="H30" s="27" t="n"/>
      <c r="I30" s="36" t="n"/>
      <c r="J30" s="36" t="n"/>
      <c r="K30" s="34">
        <f>IF(OR(I30="",J30=""),"",(J30-I30)*1440)</f>
        <v/>
      </c>
      <c r="L30" s="37">
        <f>IF(I30="","",I30-TIME(9,0,0))</f>
        <v/>
      </c>
      <c r="M30" s="33" t="n"/>
      <c r="N30" s="32" t="inlineStr">
        <is>
          <t>gon</t>
        </is>
      </c>
      <c r="O30" s="27" t="n"/>
      <c r="P30" s="33" t="n"/>
      <c r="Q30" s="33" t="n"/>
      <c r="R30" s="38" t="n"/>
      <c r="S30" s="28" t="n"/>
      <c r="T30" s="27" t="n"/>
      <c r="U30" s="27" t="n"/>
      <c r="V30" s="27" t="n"/>
    </row>
    <row r="31">
      <c r="A31" s="27" t="n"/>
      <c r="B31" s="27" t="n"/>
      <c r="C31" s="39" t="n"/>
      <c r="D31" s="27" t="n"/>
      <c r="E31" s="27" t="n"/>
      <c r="F31" s="27" t="n"/>
      <c r="G31" s="27" t="n"/>
      <c r="H31" s="27" t="n"/>
      <c r="I31" s="36" t="n"/>
      <c r="J31" s="36" t="n"/>
      <c r="K31" s="34">
        <f>IF(OR(I31="",J31=""),"",(J31-I31)*1440)</f>
        <v/>
      </c>
      <c r="L31" s="37">
        <f>IF(I31="","",I31-TIME(9,0,0))</f>
        <v/>
      </c>
      <c r="M31" s="33" t="n"/>
      <c r="N31" s="32" t="inlineStr">
        <is>
          <t>gon</t>
        </is>
      </c>
      <c r="O31" s="27" t="n"/>
      <c r="P31" s="33" t="n"/>
      <c r="Q31" s="33" t="n"/>
      <c r="R31" s="38" t="n"/>
      <c r="S31" s="28" t="n"/>
      <c r="T31" s="27" t="n"/>
      <c r="U31" s="27" t="n"/>
      <c r="V31" s="27" t="n"/>
    </row>
    <row r="32">
      <c r="A32" s="27" t="n"/>
      <c r="B32" s="27" t="n"/>
      <c r="C32" s="39" t="n"/>
      <c r="D32" s="27" t="n"/>
      <c r="E32" s="27" t="n"/>
      <c r="F32" s="27" t="n"/>
      <c r="G32" s="27" t="n"/>
      <c r="H32" s="27" t="n"/>
      <c r="I32" s="36" t="n"/>
      <c r="J32" s="36" t="n"/>
      <c r="K32" s="34">
        <f>IF(OR(I32="",J32=""),"",(J32-I32)*1440)</f>
        <v/>
      </c>
      <c r="L32" s="37">
        <f>IF(I32="","",I32-TIME(9,0,0))</f>
        <v/>
      </c>
      <c r="M32" s="33" t="n"/>
      <c r="N32" s="32" t="inlineStr">
        <is>
          <t>gon</t>
        </is>
      </c>
      <c r="O32" s="27" t="n"/>
      <c r="P32" s="33" t="n"/>
      <c r="Q32" s="33" t="n"/>
      <c r="R32" s="38" t="n"/>
      <c r="S32" s="28" t="n"/>
      <c r="T32" s="27" t="n"/>
      <c r="U32" s="27" t="n"/>
      <c r="V32" s="27" t="n"/>
    </row>
    <row r="33">
      <c r="A33" s="27" t="n"/>
      <c r="B33" s="27" t="n"/>
      <c r="C33" s="39" t="n"/>
      <c r="D33" s="27" t="n"/>
      <c r="E33" s="27" t="n"/>
      <c r="F33" s="27" t="n"/>
      <c r="G33" s="27" t="n"/>
      <c r="H33" s="27" t="n"/>
      <c r="I33" s="36" t="n"/>
      <c r="J33" s="36" t="n"/>
      <c r="K33" s="34">
        <f>IF(OR(I33="",J33=""),"",(J33-I33)*1440)</f>
        <v/>
      </c>
      <c r="L33" s="37">
        <f>IF(I33="","",I33-TIME(9,0,0))</f>
        <v/>
      </c>
      <c r="M33" s="33" t="n"/>
      <c r="N33" s="32" t="inlineStr">
        <is>
          <t>gon</t>
        </is>
      </c>
      <c r="O33" s="27" t="n"/>
      <c r="P33" s="33" t="n"/>
      <c r="Q33" s="33" t="n"/>
      <c r="R33" s="38" t="n"/>
      <c r="S33" s="28" t="n"/>
      <c r="T33" s="27" t="n"/>
      <c r="U33" s="27" t="n"/>
      <c r="V33" s="27" t="n"/>
    </row>
    <row r="34">
      <c r="A34" s="27" t="n"/>
      <c r="B34" s="27" t="n"/>
      <c r="C34" s="39" t="n"/>
      <c r="D34" s="27" t="n"/>
      <c r="E34" s="27" t="n"/>
      <c r="F34" s="27" t="n"/>
      <c r="G34" s="27" t="n"/>
      <c r="H34" s="27" t="n"/>
      <c r="I34" s="36" t="n"/>
      <c r="J34" s="36" t="n"/>
      <c r="K34" s="34">
        <f>IF(OR(I34="",J34=""),"",(J34-I34)*1440)</f>
        <v/>
      </c>
      <c r="L34" s="37">
        <f>IF(I34="","",I34-TIME(9,0,0))</f>
        <v/>
      </c>
      <c r="M34" s="33" t="n"/>
      <c r="N34" s="32" t="inlineStr">
        <is>
          <t>gon</t>
        </is>
      </c>
      <c r="O34" s="27" t="n"/>
      <c r="P34" s="33" t="n"/>
      <c r="Q34" s="33" t="n"/>
      <c r="R34" s="38" t="n"/>
      <c r="S34" s="28" t="n"/>
      <c r="T34" s="27" t="n"/>
      <c r="U34" s="27" t="n"/>
      <c r="V34" s="27" t="n"/>
    </row>
    <row r="35">
      <c r="A35" s="27" t="n"/>
      <c r="B35" s="27" t="n"/>
      <c r="C35" s="39" t="n"/>
      <c r="D35" s="27" t="n"/>
      <c r="E35" s="27" t="n"/>
      <c r="F35" s="27" t="n"/>
      <c r="G35" s="27" t="n"/>
      <c r="H35" s="27" t="n"/>
      <c r="I35" s="36" t="n"/>
      <c r="J35" s="36" t="n"/>
      <c r="K35" s="34">
        <f>IF(OR(I35="",J35=""),"",(J35-I35)*1440)</f>
        <v/>
      </c>
      <c r="L35" s="37">
        <f>IF(I35="","",I35-TIME(9,0,0))</f>
        <v/>
      </c>
      <c r="M35" s="33" t="n"/>
      <c r="N35" s="32" t="inlineStr">
        <is>
          <t>gon</t>
        </is>
      </c>
      <c r="O35" s="27" t="n"/>
      <c r="P35" s="33" t="n"/>
      <c r="Q35" s="33" t="n"/>
      <c r="R35" s="38" t="n"/>
      <c r="S35" s="28" t="n"/>
      <c r="T35" s="27" t="n"/>
      <c r="U35" s="27" t="n"/>
      <c r="V35" s="27" t="n"/>
    </row>
    <row r="36">
      <c r="A36" s="27" t="n"/>
      <c r="B36" s="27" t="n"/>
      <c r="C36" s="39" t="n"/>
      <c r="D36" s="27" t="n"/>
      <c r="E36" s="27" t="n"/>
      <c r="F36" s="27" t="n"/>
      <c r="G36" s="27" t="n"/>
      <c r="H36" s="27" t="n"/>
      <c r="I36" s="36" t="n"/>
      <c r="J36" s="36" t="n"/>
      <c r="K36" s="34">
        <f>IF(OR(I36="",J36=""),"",(J36-I36)*1440)</f>
        <v/>
      </c>
      <c r="L36" s="37">
        <f>IF(I36="","",I36-TIME(9,0,0))</f>
        <v/>
      </c>
      <c r="M36" s="33" t="n"/>
      <c r="N36" s="32" t="inlineStr">
        <is>
          <t>gon</t>
        </is>
      </c>
      <c r="O36" s="27" t="n"/>
      <c r="P36" s="33" t="n"/>
      <c r="Q36" s="33" t="n"/>
      <c r="R36" s="38" t="n"/>
      <c r="S36" s="28" t="n"/>
      <c r="T36" s="27" t="n"/>
      <c r="U36" s="27" t="n"/>
      <c r="V36" s="27" t="n"/>
    </row>
    <row r="37">
      <c r="A37" s="27" t="n"/>
      <c r="B37" s="27" t="n"/>
      <c r="C37" s="39" t="n"/>
      <c r="D37" s="27" t="n"/>
      <c r="E37" s="27" t="n"/>
      <c r="F37" s="27" t="n"/>
      <c r="G37" s="27" t="n"/>
      <c r="H37" s="27" t="n"/>
      <c r="I37" s="36" t="n"/>
      <c r="J37" s="36" t="n"/>
      <c r="K37" s="34">
        <f>IF(OR(I37="",J37=""),"",(J37-I37)*1440)</f>
        <v/>
      </c>
      <c r="L37" s="37">
        <f>IF(I37="","",I37-TIME(9,0,0))</f>
        <v/>
      </c>
      <c r="M37" s="33" t="n"/>
      <c r="N37" s="32" t="inlineStr">
        <is>
          <t>gon</t>
        </is>
      </c>
      <c r="O37" s="27" t="n"/>
      <c r="P37" s="33" t="n"/>
      <c r="Q37" s="33" t="n"/>
      <c r="R37" s="38" t="n"/>
      <c r="S37" s="28" t="n"/>
      <c r="T37" s="27" t="n"/>
      <c r="U37" s="27" t="n"/>
      <c r="V37" s="27" t="n"/>
    </row>
    <row r="38">
      <c r="A38" s="27" t="n"/>
      <c r="B38" s="27" t="n"/>
      <c r="C38" s="39" t="n"/>
      <c r="D38" s="27" t="n"/>
      <c r="E38" s="27" t="n"/>
      <c r="F38" s="27" t="n"/>
      <c r="G38" s="27" t="n"/>
      <c r="H38" s="27" t="n"/>
      <c r="I38" s="36" t="n"/>
      <c r="J38" s="36" t="n"/>
      <c r="K38" s="34">
        <f>IF(OR(I38="",J38=""),"",(J38-I38)*1440)</f>
        <v/>
      </c>
      <c r="L38" s="37">
        <f>IF(I38="","",I38-TIME(9,0,0))</f>
        <v/>
      </c>
      <c r="M38" s="33" t="n"/>
      <c r="N38" s="32" t="inlineStr">
        <is>
          <t>gon</t>
        </is>
      </c>
      <c r="O38" s="27" t="n"/>
      <c r="P38" s="33" t="n"/>
      <c r="Q38" s="33" t="n"/>
      <c r="R38" s="38" t="n"/>
      <c r="S38" s="28" t="n"/>
      <c r="T38" s="27" t="n"/>
      <c r="U38" s="27" t="n"/>
      <c r="V38" s="27" t="n"/>
    </row>
    <row r="39">
      <c r="A39" s="27" t="n"/>
      <c r="B39" s="27" t="n"/>
      <c r="C39" s="39" t="n"/>
      <c r="D39" s="27" t="n"/>
      <c r="E39" s="27" t="n"/>
      <c r="F39" s="27" t="n"/>
      <c r="G39" s="27" t="n"/>
      <c r="H39" s="27" t="n"/>
      <c r="I39" s="36" t="n"/>
      <c r="J39" s="36" t="n"/>
      <c r="K39" s="34">
        <f>IF(OR(I39="",J39=""),"",(J39-I39)*1440)</f>
        <v/>
      </c>
      <c r="L39" s="37">
        <f>IF(I39="","",I39-TIME(9,0,0))</f>
        <v/>
      </c>
      <c r="M39" s="33" t="n"/>
      <c r="N39" s="32" t="inlineStr">
        <is>
          <t>gon</t>
        </is>
      </c>
      <c r="O39" s="27" t="n"/>
      <c r="P39" s="33" t="n"/>
      <c r="Q39" s="33" t="n"/>
      <c r="R39" s="38" t="n"/>
      <c r="S39" s="28" t="n"/>
      <c r="T39" s="27" t="n"/>
      <c r="U39" s="27" t="n"/>
      <c r="V39" s="27" t="n"/>
    </row>
    <row r="40">
      <c r="A40" s="27" t="n"/>
      <c r="B40" s="27" t="n"/>
      <c r="C40" s="39" t="n"/>
      <c r="D40" s="27" t="n"/>
      <c r="E40" s="27" t="n"/>
      <c r="F40" s="27" t="n"/>
      <c r="G40" s="27" t="n"/>
      <c r="H40" s="27" t="n"/>
      <c r="I40" s="36" t="n"/>
      <c r="J40" s="36" t="n"/>
      <c r="K40" s="34">
        <f>IF(OR(I40="",J40=""),"",(J40-I40)*1440)</f>
        <v/>
      </c>
      <c r="L40" s="37">
        <f>IF(I40="","",I40-TIME(9,0,0))</f>
        <v/>
      </c>
      <c r="M40" s="33" t="n"/>
      <c r="N40" s="32" t="inlineStr">
        <is>
          <t>gon</t>
        </is>
      </c>
      <c r="O40" s="27" t="n"/>
      <c r="P40" s="33" t="n"/>
      <c r="Q40" s="33" t="n"/>
      <c r="R40" s="38" t="n"/>
      <c r="S40" s="28" t="n"/>
      <c r="T40" s="27" t="n"/>
      <c r="U40" s="27" t="n"/>
      <c r="V40" s="27" t="n"/>
    </row>
    <row r="41">
      <c r="A41" s="27" t="n"/>
      <c r="B41" s="27" t="n"/>
      <c r="C41" s="39" t="n"/>
      <c r="D41" s="27" t="n"/>
      <c r="E41" s="27" t="n"/>
      <c r="F41" s="27" t="n"/>
      <c r="G41" s="27" t="n"/>
      <c r="H41" s="27" t="n"/>
      <c r="I41" s="36" t="n"/>
      <c r="J41" s="36" t="n"/>
      <c r="K41" s="34">
        <f>IF(OR(I41="",J41=""),"",(J41-I41)*1440)</f>
        <v/>
      </c>
      <c r="L41" s="37">
        <f>IF(I41="","",I41-TIME(9,0,0))</f>
        <v/>
      </c>
      <c r="M41" s="33" t="n"/>
      <c r="N41" s="32" t="inlineStr">
        <is>
          <t>gon</t>
        </is>
      </c>
      <c r="O41" s="27" t="n"/>
      <c r="P41" s="33" t="n"/>
      <c r="Q41" s="33" t="n"/>
      <c r="R41" s="38" t="n"/>
      <c r="S41" s="28" t="n"/>
      <c r="T41" s="27" t="n"/>
      <c r="U41" s="27" t="n"/>
      <c r="V41" s="27" t="n"/>
    </row>
    <row r="42">
      <c r="A42" s="27" t="n"/>
      <c r="B42" s="27" t="n"/>
      <c r="C42" s="39" t="n"/>
      <c r="D42" s="27" t="n"/>
      <c r="E42" s="27" t="n"/>
      <c r="F42" s="27" t="n"/>
      <c r="G42" s="27" t="n"/>
      <c r="H42" s="27" t="n"/>
      <c r="I42" s="36" t="n"/>
      <c r="J42" s="36" t="n"/>
      <c r="K42" s="34">
        <f>IF(OR(I42="",J42=""),"",(J42-I42)*1440)</f>
        <v/>
      </c>
      <c r="L42" s="37">
        <f>IF(I42="","",I42-TIME(9,0,0))</f>
        <v/>
      </c>
      <c r="M42" s="33" t="n"/>
      <c r="N42" s="32" t="inlineStr">
        <is>
          <t>gon</t>
        </is>
      </c>
      <c r="O42" s="27" t="n"/>
      <c r="P42" s="33" t="n"/>
      <c r="Q42" s="33" t="n"/>
      <c r="R42" s="38" t="n"/>
      <c r="S42" s="28" t="n"/>
      <c r="T42" s="27" t="n"/>
      <c r="U42" s="27" t="n"/>
      <c r="V42" s="27" t="n"/>
    </row>
    <row r="43">
      <c r="A43" s="27" t="n"/>
      <c r="B43" s="27" t="n"/>
      <c r="C43" s="39" t="n"/>
      <c r="D43" s="27" t="n"/>
      <c r="E43" s="27" t="n"/>
      <c r="F43" s="27" t="n"/>
      <c r="G43" s="27" t="n"/>
      <c r="H43" s="27" t="n"/>
      <c r="I43" s="36" t="n"/>
      <c r="J43" s="36" t="n"/>
      <c r="K43" s="34">
        <f>IF(OR(I43="",J43=""),"",(J43-I43)*1440)</f>
        <v/>
      </c>
      <c r="L43" s="37">
        <f>IF(I43="","",I43-TIME(9,0,0))</f>
        <v/>
      </c>
      <c r="M43" s="33" t="n"/>
      <c r="N43" s="32" t="inlineStr">
        <is>
          <t>gon</t>
        </is>
      </c>
      <c r="O43" s="27" t="n"/>
      <c r="P43" s="33" t="n"/>
      <c r="Q43" s="33" t="n"/>
      <c r="R43" s="38" t="n"/>
      <c r="S43" s="28" t="n"/>
      <c r="T43" s="27" t="n"/>
      <c r="U43" s="27" t="n"/>
      <c r="V43" s="27" t="n"/>
    </row>
    <row r="44">
      <c r="A44" s="27" t="n"/>
      <c r="B44" s="27" t="n"/>
      <c r="C44" s="39" t="n"/>
      <c r="D44" s="27" t="n"/>
      <c r="E44" s="27" t="n"/>
      <c r="F44" s="27" t="n"/>
      <c r="G44" s="27" t="n"/>
      <c r="H44" s="27" t="n"/>
      <c r="I44" s="36" t="n"/>
      <c r="J44" s="36" t="n"/>
      <c r="K44" s="34">
        <f>IF(OR(I44="",J44=""),"",(J44-I44)*1440)</f>
        <v/>
      </c>
      <c r="L44" s="37">
        <f>IF(I44="","",I44-TIME(9,0,0))</f>
        <v/>
      </c>
      <c r="M44" s="33" t="n"/>
      <c r="N44" s="32" t="inlineStr">
        <is>
          <t>gon</t>
        </is>
      </c>
      <c r="O44" s="27" t="n"/>
      <c r="P44" s="33" t="n"/>
      <c r="Q44" s="33" t="n"/>
      <c r="R44" s="38" t="n"/>
      <c r="S44" s="28" t="n"/>
      <c r="T44" s="27" t="n"/>
      <c r="U44" s="27" t="n"/>
      <c r="V44" s="27" t="n"/>
    </row>
    <row r="45">
      <c r="A45" s="27" t="n"/>
      <c r="B45" s="27" t="n"/>
      <c r="C45" s="39" t="n"/>
      <c r="D45" s="27" t="n"/>
      <c r="E45" s="27" t="n"/>
      <c r="F45" s="27" t="n"/>
      <c r="G45" s="27" t="n"/>
      <c r="H45" s="27" t="n"/>
      <c r="I45" s="36" t="n"/>
      <c r="J45" s="36" t="n"/>
      <c r="K45" s="34">
        <f>IF(OR(I45="",J45=""),"",(J45-I45)*1440)</f>
        <v/>
      </c>
      <c r="L45" s="37">
        <f>IF(I45="","",I45-TIME(9,0,0))</f>
        <v/>
      </c>
      <c r="M45" s="33" t="n"/>
      <c r="N45" s="32" t="inlineStr">
        <is>
          <t>gon</t>
        </is>
      </c>
      <c r="O45" s="27" t="n"/>
      <c r="P45" s="33" t="n"/>
      <c r="Q45" s="33" t="n"/>
      <c r="R45" s="38" t="n"/>
      <c r="S45" s="28" t="n"/>
      <c r="T45" s="27" t="n"/>
      <c r="U45" s="27" t="n"/>
      <c r="V45" s="27" t="n"/>
    </row>
    <row r="46">
      <c r="A46" s="27" t="n"/>
      <c r="B46" s="27" t="n"/>
      <c r="C46" s="39" t="n"/>
      <c r="D46" s="27" t="n"/>
      <c r="E46" s="27" t="n"/>
      <c r="F46" s="27" t="n"/>
      <c r="G46" s="27" t="n"/>
      <c r="H46" s="27" t="n"/>
      <c r="I46" s="36" t="n"/>
      <c r="J46" s="36" t="n"/>
      <c r="K46" s="34">
        <f>IF(OR(I46="",J46=""),"",(J46-I46)*1440)</f>
        <v/>
      </c>
      <c r="L46" s="37">
        <f>IF(I46="","",I46-TIME(9,0,0))</f>
        <v/>
      </c>
      <c r="M46" s="33" t="n"/>
      <c r="N46" s="32" t="inlineStr">
        <is>
          <t>gon</t>
        </is>
      </c>
      <c r="O46" s="27" t="n"/>
      <c r="P46" s="33" t="n"/>
      <c r="Q46" s="33" t="n"/>
      <c r="R46" s="38" t="n"/>
      <c r="S46" s="28" t="n"/>
      <c r="T46" s="27" t="n"/>
      <c r="U46" s="27" t="n"/>
      <c r="V46" s="27" t="n"/>
    </row>
    <row r="47">
      <c r="A47" s="27" t="n"/>
      <c r="B47" s="27" t="n"/>
      <c r="C47" s="39" t="n"/>
      <c r="D47" s="27" t="n"/>
      <c r="E47" s="27" t="n"/>
      <c r="F47" s="27" t="n"/>
      <c r="G47" s="27" t="n"/>
      <c r="H47" s="27" t="n"/>
      <c r="I47" s="36" t="n"/>
      <c r="J47" s="36" t="n"/>
      <c r="K47" s="34">
        <f>IF(OR(I47="",J47=""),"",(J47-I47)*1440)</f>
        <v/>
      </c>
      <c r="L47" s="37">
        <f>IF(I47="","",I47-TIME(9,0,0))</f>
        <v/>
      </c>
      <c r="M47" s="33" t="n"/>
      <c r="N47" s="32" t="inlineStr">
        <is>
          <t>gon</t>
        </is>
      </c>
      <c r="O47" s="27" t="n"/>
      <c r="P47" s="33" t="n"/>
      <c r="Q47" s="33" t="n"/>
      <c r="R47" s="38" t="n"/>
      <c r="S47" s="28" t="n"/>
      <c r="T47" s="27" t="n"/>
      <c r="U47" s="27" t="n"/>
      <c r="V47" s="27" t="n"/>
    </row>
    <row r="48">
      <c r="A48" s="27" t="n"/>
      <c r="B48" s="27" t="n"/>
      <c r="C48" s="39" t="n"/>
      <c r="D48" s="27" t="n"/>
      <c r="E48" s="27" t="n"/>
      <c r="F48" s="27" t="n"/>
      <c r="G48" s="27" t="n"/>
      <c r="H48" s="27" t="n"/>
      <c r="I48" s="36" t="n"/>
      <c r="J48" s="36" t="n"/>
      <c r="K48" s="34">
        <f>IF(OR(I48="",J48=""),"",(J48-I48)*1440)</f>
        <v/>
      </c>
      <c r="L48" s="37">
        <f>IF(I48="","",I48-TIME(9,0,0))</f>
        <v/>
      </c>
      <c r="M48" s="33" t="n"/>
      <c r="N48" s="32" t="inlineStr">
        <is>
          <t>gon</t>
        </is>
      </c>
      <c r="O48" s="27" t="n"/>
      <c r="P48" s="33" t="n"/>
      <c r="Q48" s="33" t="n"/>
      <c r="R48" s="38" t="n"/>
      <c r="S48" s="28" t="n"/>
      <c r="T48" s="27" t="n"/>
      <c r="U48" s="27" t="n"/>
      <c r="V48" s="27" t="n"/>
    </row>
    <row r="49">
      <c r="A49" s="27" t="n"/>
      <c r="B49" s="27" t="n"/>
      <c r="C49" s="39" t="n"/>
      <c r="D49" s="27" t="n"/>
      <c r="E49" s="27" t="n"/>
      <c r="F49" s="27" t="n"/>
      <c r="G49" s="27" t="n"/>
      <c r="H49" s="27" t="n"/>
      <c r="I49" s="36" t="n"/>
      <c r="J49" s="36" t="n"/>
      <c r="K49" s="34">
        <f>IF(OR(I49="",J49=""),"",(J49-I49)*1440)</f>
        <v/>
      </c>
      <c r="L49" s="37">
        <f>IF(I49="","",I49-TIME(9,0,0))</f>
        <v/>
      </c>
      <c r="M49" s="33" t="n"/>
      <c r="N49" s="32" t="inlineStr">
        <is>
          <t>gon</t>
        </is>
      </c>
      <c r="O49" s="27" t="n"/>
      <c r="P49" s="33" t="n"/>
      <c r="Q49" s="33" t="n"/>
      <c r="R49" s="38" t="n"/>
      <c r="S49" s="28" t="n"/>
      <c r="T49" s="27" t="n"/>
      <c r="U49" s="27" t="n"/>
      <c r="V49" s="27" t="n"/>
    </row>
    <row r="50">
      <c r="A50" s="27" t="n"/>
      <c r="B50" s="27" t="n"/>
      <c r="C50" s="39" t="n"/>
      <c r="D50" s="27" t="n"/>
      <c r="E50" s="27" t="n"/>
      <c r="F50" s="27" t="n"/>
      <c r="G50" s="27" t="n"/>
      <c r="H50" s="27" t="n"/>
      <c r="I50" s="36" t="n"/>
      <c r="J50" s="36" t="n"/>
      <c r="K50" s="34">
        <f>IF(OR(I50="",J50=""),"",(J50-I50)*1440)</f>
        <v/>
      </c>
      <c r="L50" s="37">
        <f>IF(I50="","",I50-TIME(9,0,0))</f>
        <v/>
      </c>
      <c r="M50" s="33" t="n"/>
      <c r="N50" s="32" t="inlineStr">
        <is>
          <t>gon</t>
        </is>
      </c>
      <c r="O50" s="27" t="n"/>
      <c r="P50" s="33" t="n"/>
      <c r="Q50" s="33" t="n"/>
      <c r="R50" s="38" t="n"/>
      <c r="S50" s="28" t="n"/>
      <c r="T50" s="27" t="n"/>
      <c r="U50" s="27" t="n"/>
      <c r="V50" s="27" t="n"/>
    </row>
    <row r="51">
      <c r="A51" s="27" t="n"/>
      <c r="B51" s="27" t="n"/>
      <c r="C51" s="39" t="n"/>
      <c r="D51" s="27" t="n"/>
      <c r="E51" s="27" t="n"/>
      <c r="F51" s="27" t="n"/>
      <c r="G51" s="27" t="n"/>
      <c r="H51" s="27" t="n"/>
      <c r="I51" s="36" t="n"/>
      <c r="J51" s="36" t="n"/>
      <c r="K51" s="34">
        <f>IF(OR(I51="",J51=""),"",(J51-I51)*1440)</f>
        <v/>
      </c>
      <c r="L51" s="37">
        <f>IF(I51="","",I51-TIME(9,0,0))</f>
        <v/>
      </c>
      <c r="M51" s="33" t="n"/>
      <c r="N51" s="32" t="inlineStr">
        <is>
          <t>gon</t>
        </is>
      </c>
      <c r="O51" s="27" t="n"/>
      <c r="P51" s="33" t="n"/>
      <c r="Q51" s="33" t="n"/>
      <c r="R51" s="38" t="n"/>
      <c r="S51" s="28" t="n"/>
      <c r="T51" s="27" t="n"/>
      <c r="U51" s="27" t="n"/>
      <c r="V51" s="27" t="n"/>
    </row>
    <row r="52">
      <c r="A52" s="27" t="n"/>
      <c r="B52" s="27" t="n"/>
      <c r="C52" s="39" t="n"/>
      <c r="D52" s="27" t="n"/>
      <c r="E52" s="27" t="n"/>
      <c r="F52" s="27" t="n"/>
      <c r="G52" s="27" t="n"/>
      <c r="H52" s="27" t="n"/>
      <c r="I52" s="36" t="n"/>
      <c r="J52" s="36" t="n"/>
      <c r="K52" s="34">
        <f>IF(OR(I52="",J52=""),"",(J52-I52)*1440)</f>
        <v/>
      </c>
      <c r="L52" s="37">
        <f>IF(I52="","",I52-TIME(9,0,0))</f>
        <v/>
      </c>
      <c r="M52" s="33" t="n"/>
      <c r="N52" s="32" t="inlineStr">
        <is>
          <t>gon</t>
        </is>
      </c>
      <c r="O52" s="27" t="n"/>
      <c r="P52" s="33" t="n"/>
      <c r="Q52" s="33" t="n"/>
      <c r="R52" s="38" t="n"/>
      <c r="S52" s="28" t="n"/>
      <c r="T52" s="27" t="n"/>
      <c r="U52" s="27" t="n"/>
      <c r="V52" s="27" t="n"/>
    </row>
    <row r="53">
      <c r="A53" s="27" t="n"/>
      <c r="B53" s="27" t="n"/>
      <c r="C53" s="39" t="n"/>
      <c r="D53" s="27" t="n"/>
      <c r="E53" s="27" t="n"/>
      <c r="F53" s="27" t="n"/>
      <c r="G53" s="27" t="n"/>
      <c r="H53" s="27" t="n"/>
      <c r="I53" s="36" t="n"/>
      <c r="J53" s="36" t="n"/>
      <c r="K53" s="34">
        <f>IF(OR(I53="",J53=""),"",(J53-I53)*1440)</f>
        <v/>
      </c>
      <c r="L53" s="37">
        <f>IF(I53="","",I53-TIME(9,0,0))</f>
        <v/>
      </c>
      <c r="M53" s="33" t="n"/>
      <c r="N53" s="32" t="inlineStr">
        <is>
          <t>gon</t>
        </is>
      </c>
      <c r="O53" s="27" t="n"/>
      <c r="P53" s="33" t="n"/>
      <c r="Q53" s="33" t="n"/>
      <c r="R53" s="38" t="n"/>
      <c r="S53" s="28" t="n"/>
      <c r="T53" s="27" t="n"/>
      <c r="U53" s="27" t="n"/>
      <c r="V53" s="27" t="n"/>
    </row>
    <row r="54">
      <c r="A54" s="27" t="n"/>
      <c r="B54" s="27" t="n"/>
      <c r="C54" s="39" t="n"/>
      <c r="D54" s="27" t="n"/>
      <c r="E54" s="27" t="n"/>
      <c r="F54" s="27" t="n"/>
      <c r="G54" s="27" t="n"/>
      <c r="H54" s="27" t="n"/>
      <c r="I54" s="36" t="n"/>
      <c r="J54" s="36" t="n"/>
      <c r="K54" s="34">
        <f>IF(OR(I54="",J54=""),"",(J54-I54)*1440)</f>
        <v/>
      </c>
      <c r="L54" s="37">
        <f>IF(I54="","",I54-TIME(9,0,0))</f>
        <v/>
      </c>
      <c r="M54" s="33" t="n"/>
      <c r="N54" s="32" t="inlineStr">
        <is>
          <t>gon</t>
        </is>
      </c>
      <c r="O54" s="27" t="n"/>
      <c r="P54" s="33" t="n"/>
      <c r="Q54" s="33" t="n"/>
      <c r="R54" s="38" t="n"/>
      <c r="S54" s="28" t="n"/>
      <c r="T54" s="27" t="n"/>
      <c r="U54" s="27" t="n"/>
      <c r="V54" s="27" t="n"/>
    </row>
    <row r="55">
      <c r="A55" s="27" t="n"/>
      <c r="B55" s="27" t="n"/>
      <c r="C55" s="39" t="n"/>
      <c r="D55" s="27" t="n"/>
      <c r="E55" s="27" t="n"/>
      <c r="F55" s="27" t="n"/>
      <c r="G55" s="27" t="n"/>
      <c r="H55" s="27" t="n"/>
      <c r="I55" s="36" t="n"/>
      <c r="J55" s="36" t="n"/>
      <c r="K55" s="34">
        <f>IF(OR(I55="",J55=""),"",(J55-I55)*1440)</f>
        <v/>
      </c>
      <c r="L55" s="37">
        <f>IF(I55="","",I55-TIME(9,0,0))</f>
        <v/>
      </c>
      <c r="M55" s="33" t="n"/>
      <c r="N55" s="32" t="inlineStr">
        <is>
          <t>gon</t>
        </is>
      </c>
      <c r="O55" s="27" t="n"/>
      <c r="P55" s="33" t="n"/>
      <c r="Q55" s="33" t="n"/>
      <c r="R55" s="38" t="n"/>
      <c r="S55" s="28" t="n"/>
      <c r="T55" s="27" t="n"/>
      <c r="U55" s="27" t="n"/>
      <c r="V55" s="27" t="n"/>
    </row>
    <row r="56">
      <c r="A56" s="27" t="n"/>
      <c r="B56" s="27" t="n"/>
      <c r="C56" s="39" t="n"/>
      <c r="D56" s="27" t="n"/>
      <c r="E56" s="27" t="n"/>
      <c r="F56" s="27" t="n"/>
      <c r="G56" s="27" t="n"/>
      <c r="H56" s="27" t="n"/>
      <c r="I56" s="36" t="n"/>
      <c r="J56" s="36" t="n"/>
      <c r="K56" s="34">
        <f>IF(OR(I56="",J56=""),"",(J56-I56)*1440)</f>
        <v/>
      </c>
      <c r="L56" s="37">
        <f>IF(I56="","",I56-TIME(9,0,0))</f>
        <v/>
      </c>
      <c r="M56" s="33" t="n"/>
      <c r="N56" s="32" t="inlineStr">
        <is>
          <t>gon</t>
        </is>
      </c>
      <c r="O56" s="27" t="n"/>
      <c r="P56" s="33" t="n"/>
      <c r="Q56" s="33" t="n"/>
      <c r="R56" s="38" t="n"/>
      <c r="S56" s="28" t="n"/>
      <c r="T56" s="27" t="n"/>
      <c r="U56" s="27" t="n"/>
      <c r="V56" s="27" t="n"/>
    </row>
    <row r="57">
      <c r="A57" s="27" t="n"/>
      <c r="B57" s="27" t="n"/>
      <c r="C57" s="39" t="n"/>
      <c r="D57" s="27" t="n"/>
      <c r="E57" s="27" t="n"/>
      <c r="F57" s="27" t="n"/>
      <c r="G57" s="27" t="n"/>
      <c r="H57" s="27" t="n"/>
      <c r="I57" s="36" t="n"/>
      <c r="J57" s="36" t="n"/>
      <c r="K57" s="34">
        <f>IF(OR(I57="",J57=""),"",(J57-I57)*1440)</f>
        <v/>
      </c>
      <c r="L57" s="37">
        <f>IF(I57="","",I57-TIME(9,0,0))</f>
        <v/>
      </c>
      <c r="M57" s="33" t="n"/>
      <c r="N57" s="32" t="inlineStr">
        <is>
          <t>gon</t>
        </is>
      </c>
      <c r="O57" s="27" t="n"/>
      <c r="P57" s="33" t="n"/>
      <c r="Q57" s="33" t="n"/>
      <c r="R57" s="38" t="n"/>
      <c r="S57" s="28" t="n"/>
      <c r="T57" s="27" t="n"/>
      <c r="U57" s="27" t="n"/>
      <c r="V57" s="27" t="n"/>
    </row>
    <row r="58">
      <c r="A58" s="27" t="n"/>
      <c r="B58" s="27" t="n"/>
      <c r="C58" s="39" t="n"/>
      <c r="D58" s="27" t="n"/>
      <c r="E58" s="27" t="n"/>
      <c r="F58" s="27" t="n"/>
      <c r="G58" s="27" t="n"/>
      <c r="H58" s="27" t="n"/>
      <c r="I58" s="36" t="n"/>
      <c r="J58" s="36" t="n"/>
      <c r="K58" s="34">
        <f>IF(OR(I58="",J58=""),"",(J58-I58)*1440)</f>
        <v/>
      </c>
      <c r="L58" s="37">
        <f>IF(I58="","",I58-TIME(9,0,0))</f>
        <v/>
      </c>
      <c r="M58" s="33" t="n"/>
      <c r="N58" s="32" t="inlineStr">
        <is>
          <t>gon</t>
        </is>
      </c>
      <c r="O58" s="27" t="n"/>
      <c r="P58" s="33" t="n"/>
      <c r="Q58" s="33" t="n"/>
      <c r="R58" s="38" t="n"/>
      <c r="S58" s="28" t="n"/>
      <c r="T58" s="27" t="n"/>
      <c r="U58" s="27" t="n"/>
      <c r="V58" s="27" t="n"/>
    </row>
    <row r="59">
      <c r="A59" s="27" t="n"/>
      <c r="B59" s="27" t="n"/>
      <c r="C59" s="39" t="n"/>
      <c r="D59" s="27" t="n"/>
      <c r="E59" s="27" t="n"/>
      <c r="F59" s="27" t="n"/>
      <c r="G59" s="27" t="n"/>
      <c r="H59" s="27" t="n"/>
      <c r="I59" s="36" t="n"/>
      <c r="J59" s="36" t="n"/>
      <c r="K59" s="34">
        <f>IF(OR(I59="",J59=""),"",(J59-I59)*1440)</f>
        <v/>
      </c>
      <c r="L59" s="37">
        <f>IF(I59="","",I59-TIME(9,0,0))</f>
        <v/>
      </c>
      <c r="M59" s="33" t="n"/>
      <c r="N59" s="32" t="inlineStr">
        <is>
          <t>gon</t>
        </is>
      </c>
      <c r="O59" s="27" t="n"/>
      <c r="P59" s="33" t="n"/>
      <c r="Q59" s="33" t="n"/>
      <c r="R59" s="38" t="n"/>
      <c r="S59" s="28" t="n"/>
      <c r="T59" s="27" t="n"/>
      <c r="U59" s="27" t="n"/>
      <c r="V59" s="27" t="n"/>
    </row>
    <row r="60">
      <c r="A60" s="27" t="n"/>
      <c r="B60" s="27" t="n"/>
      <c r="C60" s="39" t="n"/>
      <c r="D60" s="27" t="n"/>
      <c r="E60" s="27" t="n"/>
      <c r="F60" s="27" t="n"/>
      <c r="G60" s="27" t="n"/>
      <c r="H60" s="27" t="n"/>
      <c r="I60" s="36" t="n"/>
      <c r="J60" s="36" t="n"/>
      <c r="K60" s="34">
        <f>IF(OR(I60="",J60=""),"",(J60-I60)*1440)</f>
        <v/>
      </c>
      <c r="L60" s="37">
        <f>IF(I60="","",I60-TIME(9,0,0))</f>
        <v/>
      </c>
      <c r="M60" s="33" t="n"/>
      <c r="N60" s="32" t="inlineStr">
        <is>
          <t>gon</t>
        </is>
      </c>
      <c r="O60" s="27" t="n"/>
      <c r="P60" s="33" t="n"/>
      <c r="Q60" s="33" t="n"/>
      <c r="R60" s="38" t="n"/>
      <c r="S60" s="28" t="n"/>
      <c r="T60" s="27" t="n"/>
      <c r="U60" s="27" t="n"/>
      <c r="V60" s="27" t="n"/>
    </row>
    <row r="61">
      <c r="A61" s="27" t="n"/>
      <c r="B61" s="27" t="n"/>
      <c r="C61" s="39" t="n"/>
      <c r="D61" s="27" t="n"/>
      <c r="E61" s="27" t="n"/>
      <c r="F61" s="27" t="n"/>
      <c r="G61" s="27" t="n"/>
      <c r="H61" s="27" t="n"/>
      <c r="I61" s="36" t="n"/>
      <c r="J61" s="36" t="n"/>
      <c r="K61" s="34">
        <f>IF(OR(I61="",J61=""),"",(J61-I61)*1440)</f>
        <v/>
      </c>
      <c r="L61" s="37">
        <f>IF(I61="","",I61-TIME(9,0,0))</f>
        <v/>
      </c>
      <c r="M61" s="33" t="n"/>
      <c r="N61" s="32" t="inlineStr">
        <is>
          <t>gon</t>
        </is>
      </c>
      <c r="O61" s="27" t="n"/>
      <c r="P61" s="33" t="n"/>
      <c r="Q61" s="33" t="n"/>
      <c r="R61" s="38" t="n"/>
      <c r="S61" s="28" t="n"/>
      <c r="T61" s="27" t="n"/>
      <c r="U61" s="27" t="n"/>
      <c r="V61" s="27" t="n"/>
    </row>
    <row r="62">
      <c r="A62" s="27" t="n"/>
      <c r="B62" s="27" t="n"/>
      <c r="C62" s="39" t="n"/>
      <c r="D62" s="27" t="n"/>
      <c r="E62" s="27" t="n"/>
      <c r="F62" s="27" t="n"/>
      <c r="G62" s="27" t="n"/>
      <c r="H62" s="27" t="n"/>
      <c r="I62" s="36" t="n"/>
      <c r="J62" s="36" t="n"/>
      <c r="K62" s="34">
        <f>IF(OR(I62="",J62=""),"",(J62-I62)*1440)</f>
        <v/>
      </c>
      <c r="L62" s="37">
        <f>IF(I62="","",I62-TIME(9,0,0))</f>
        <v/>
      </c>
      <c r="M62" s="33" t="n"/>
      <c r="N62" s="32" t="inlineStr">
        <is>
          <t>gon</t>
        </is>
      </c>
      <c r="O62" s="27" t="n"/>
      <c r="P62" s="33" t="n"/>
      <c r="Q62" s="33" t="n"/>
      <c r="R62" s="38" t="n"/>
      <c r="S62" s="28" t="n"/>
      <c r="T62" s="27" t="n"/>
      <c r="U62" s="27" t="n"/>
      <c r="V62" s="27" t="n"/>
    </row>
    <row r="63">
      <c r="A63" s="27" t="n"/>
      <c r="B63" s="27" t="n"/>
      <c r="C63" s="39" t="n"/>
      <c r="D63" s="27" t="n"/>
      <c r="E63" s="27" t="n"/>
      <c r="F63" s="27" t="n"/>
      <c r="G63" s="27" t="n"/>
      <c r="H63" s="27" t="n"/>
      <c r="I63" s="36" t="n"/>
      <c r="J63" s="36" t="n"/>
      <c r="K63" s="34">
        <f>IF(OR(I63="",J63=""),"",(J63-I63)*1440)</f>
        <v/>
      </c>
      <c r="L63" s="37">
        <f>IF(I63="","",I63-TIME(9,0,0))</f>
        <v/>
      </c>
      <c r="M63" s="33" t="n"/>
      <c r="N63" s="32" t="inlineStr">
        <is>
          <t>gon</t>
        </is>
      </c>
      <c r="O63" s="27" t="n"/>
      <c r="P63" s="33" t="n"/>
      <c r="Q63" s="33" t="n"/>
      <c r="R63" s="38" t="n"/>
      <c r="S63" s="28" t="n"/>
      <c r="T63" s="27" t="n"/>
      <c r="U63" s="27" t="n"/>
      <c r="V63" s="27" t="n"/>
    </row>
    <row r="64">
      <c r="A64" s="27" t="n"/>
      <c r="B64" s="27" t="n"/>
      <c r="C64" s="39" t="n"/>
      <c r="D64" s="27" t="n"/>
      <c r="E64" s="27" t="n"/>
      <c r="F64" s="27" t="n"/>
      <c r="G64" s="27" t="n"/>
      <c r="H64" s="27" t="n"/>
      <c r="I64" s="36" t="n"/>
      <c r="J64" s="36" t="n"/>
      <c r="K64" s="34">
        <f>IF(OR(I64="",J64=""),"",(J64-I64)*1440)</f>
        <v/>
      </c>
      <c r="L64" s="37">
        <f>IF(I64="","",I64-TIME(9,0,0))</f>
        <v/>
      </c>
      <c r="M64" s="33" t="n"/>
      <c r="N64" s="32" t="inlineStr">
        <is>
          <t>gon</t>
        </is>
      </c>
      <c r="O64" s="27" t="n"/>
      <c r="P64" s="33" t="n"/>
      <c r="Q64" s="33" t="n"/>
      <c r="R64" s="38" t="n"/>
      <c r="S64" s="28" t="n"/>
      <c r="T64" s="27" t="n"/>
      <c r="U64" s="27" t="n"/>
      <c r="V64" s="27" t="n"/>
    </row>
    <row r="65">
      <c r="A65" s="27" t="n"/>
      <c r="B65" s="27" t="n"/>
      <c r="C65" s="39" t="n"/>
      <c r="D65" s="27" t="n"/>
      <c r="E65" s="27" t="n"/>
      <c r="F65" s="27" t="n"/>
      <c r="G65" s="27" t="n"/>
      <c r="H65" s="27" t="n"/>
      <c r="I65" s="36" t="n"/>
      <c r="J65" s="36" t="n"/>
      <c r="K65" s="34">
        <f>IF(OR(I65="",J65=""),"",(J65-I65)*1440)</f>
        <v/>
      </c>
      <c r="L65" s="37">
        <f>IF(I65="","",I65-TIME(9,0,0))</f>
        <v/>
      </c>
      <c r="M65" s="33" t="n"/>
      <c r="N65" s="32" t="inlineStr">
        <is>
          <t>gon</t>
        </is>
      </c>
      <c r="O65" s="27" t="n"/>
      <c r="P65" s="33" t="n"/>
      <c r="Q65" s="33" t="n"/>
      <c r="R65" s="38" t="n"/>
      <c r="S65" s="28" t="n"/>
      <c r="T65" s="27" t="n"/>
      <c r="U65" s="27" t="n"/>
      <c r="V65" s="27" t="n"/>
    </row>
    <row r="66">
      <c r="A66" s="27" t="n"/>
      <c r="B66" s="27" t="n"/>
      <c r="C66" s="39" t="n"/>
      <c r="D66" s="27" t="n"/>
      <c r="E66" s="27" t="n"/>
      <c r="F66" s="27" t="n"/>
      <c r="G66" s="27" t="n"/>
      <c r="H66" s="27" t="n"/>
      <c r="I66" s="36" t="n"/>
      <c r="J66" s="36" t="n"/>
      <c r="K66" s="34">
        <f>IF(OR(I66="",J66=""),"",(J66-I66)*1440)</f>
        <v/>
      </c>
      <c r="L66" s="37">
        <f>IF(I66="","",I66-TIME(9,0,0))</f>
        <v/>
      </c>
      <c r="M66" s="33" t="n"/>
      <c r="N66" s="32" t="inlineStr">
        <is>
          <t>gon</t>
        </is>
      </c>
      <c r="O66" s="27" t="n"/>
      <c r="P66" s="33" t="n"/>
      <c r="Q66" s="33" t="n"/>
      <c r="R66" s="38" t="n"/>
      <c r="S66" s="28" t="n"/>
      <c r="T66" s="27" t="n"/>
      <c r="U66" s="27" t="n"/>
      <c r="V66" s="27" t="n"/>
    </row>
    <row r="67">
      <c r="A67" s="27" t="n"/>
      <c r="B67" s="27" t="n"/>
      <c r="C67" s="39" t="n"/>
      <c r="D67" s="27" t="n"/>
      <c r="E67" s="27" t="n"/>
      <c r="F67" s="27" t="n"/>
      <c r="G67" s="27" t="n"/>
      <c r="H67" s="27" t="n"/>
      <c r="I67" s="36" t="n"/>
      <c r="J67" s="36" t="n"/>
      <c r="K67" s="34">
        <f>IF(OR(I67="",J67=""),"",(J67-I67)*1440)</f>
        <v/>
      </c>
      <c r="L67" s="37">
        <f>IF(I67="","",I67-TIME(9,0,0))</f>
        <v/>
      </c>
      <c r="M67" s="33" t="n"/>
      <c r="N67" s="32" t="inlineStr">
        <is>
          <t>gon</t>
        </is>
      </c>
      <c r="O67" s="27" t="n"/>
      <c r="P67" s="33" t="n"/>
      <c r="Q67" s="33" t="n"/>
      <c r="R67" s="38" t="n"/>
      <c r="S67" s="28" t="n"/>
      <c r="T67" s="27" t="n"/>
      <c r="U67" s="27" t="n"/>
      <c r="V67" s="27" t="n"/>
    </row>
    <row r="68">
      <c r="A68" s="27" t="n"/>
      <c r="B68" s="27" t="n"/>
      <c r="C68" s="39" t="n"/>
      <c r="D68" s="27" t="n"/>
      <c r="E68" s="27" t="n"/>
      <c r="F68" s="27" t="n"/>
      <c r="G68" s="27" t="n"/>
      <c r="H68" s="27" t="n"/>
      <c r="I68" s="36" t="n"/>
      <c r="J68" s="36" t="n"/>
      <c r="K68" s="34">
        <f>IF(OR(I68="",J68=""),"",(J68-I68)*1440)</f>
        <v/>
      </c>
      <c r="L68" s="37">
        <f>IF(I68="","",I68-TIME(9,0,0))</f>
        <v/>
      </c>
      <c r="M68" s="33" t="n"/>
      <c r="N68" s="32" t="inlineStr">
        <is>
          <t>gon</t>
        </is>
      </c>
      <c r="O68" s="27" t="n"/>
      <c r="P68" s="33" t="n"/>
      <c r="Q68" s="33" t="n"/>
      <c r="R68" s="38" t="n"/>
      <c r="S68" s="28" t="n"/>
      <c r="T68" s="27" t="n"/>
      <c r="U68" s="27" t="n"/>
      <c r="V68" s="27" t="n"/>
    </row>
    <row r="69">
      <c r="A69" s="27" t="n"/>
      <c r="B69" s="27" t="n"/>
      <c r="C69" s="39" t="n"/>
      <c r="D69" s="27" t="n"/>
      <c r="E69" s="27" t="n"/>
      <c r="F69" s="27" t="n"/>
      <c r="G69" s="27" t="n"/>
      <c r="H69" s="27" t="n"/>
      <c r="I69" s="36" t="n"/>
      <c r="J69" s="36" t="n"/>
      <c r="K69" s="34">
        <f>IF(OR(I69="",J69=""),"",(J69-I69)*1440)</f>
        <v/>
      </c>
      <c r="L69" s="37">
        <f>IF(I69="","",I69-TIME(9,0,0))</f>
        <v/>
      </c>
      <c r="M69" s="33" t="n"/>
      <c r="N69" s="32" t="inlineStr">
        <is>
          <t>gon</t>
        </is>
      </c>
      <c r="O69" s="27" t="n"/>
      <c r="P69" s="33" t="n"/>
      <c r="Q69" s="33" t="n"/>
      <c r="R69" s="38" t="n"/>
      <c r="S69" s="28" t="n"/>
      <c r="T69" s="27" t="n"/>
      <c r="U69" s="27" t="n"/>
      <c r="V69" s="27" t="n"/>
    </row>
    <row r="70">
      <c r="A70" s="27" t="n"/>
      <c r="B70" s="27" t="n"/>
      <c r="C70" s="39" t="n"/>
      <c r="D70" s="27" t="n"/>
      <c r="E70" s="27" t="n"/>
      <c r="F70" s="27" t="n"/>
      <c r="G70" s="27" t="n"/>
      <c r="H70" s="27" t="n"/>
      <c r="I70" s="36" t="n"/>
      <c r="J70" s="36" t="n"/>
      <c r="K70" s="34">
        <f>IF(OR(I70="",J70=""),"",(J70-I70)*1440)</f>
        <v/>
      </c>
      <c r="L70" s="37">
        <f>IF(I70="","",I70-TIME(9,0,0))</f>
        <v/>
      </c>
      <c r="M70" s="33" t="n"/>
      <c r="N70" s="32" t="inlineStr">
        <is>
          <t>gon</t>
        </is>
      </c>
      <c r="O70" s="27" t="n"/>
      <c r="P70" s="33" t="n"/>
      <c r="Q70" s="33" t="n"/>
      <c r="R70" s="38" t="n"/>
      <c r="S70" s="28" t="n"/>
      <c r="T70" s="27" t="n"/>
      <c r="U70" s="27" t="n"/>
      <c r="V70" s="27" t="n"/>
    </row>
    <row r="71">
      <c r="A71" s="27" t="n"/>
      <c r="B71" s="27" t="n"/>
      <c r="C71" s="39" t="n"/>
      <c r="D71" s="27" t="n"/>
      <c r="E71" s="27" t="n"/>
      <c r="F71" s="27" t="n"/>
      <c r="G71" s="27" t="n"/>
      <c r="H71" s="27" t="n"/>
      <c r="I71" s="36" t="n"/>
      <c r="J71" s="36" t="n"/>
      <c r="K71" s="34">
        <f>IF(OR(I71="",J71=""),"",(J71-I71)*1440)</f>
        <v/>
      </c>
      <c r="L71" s="37">
        <f>IF(I71="","",I71-TIME(9,0,0))</f>
        <v/>
      </c>
      <c r="M71" s="33" t="n"/>
      <c r="N71" s="32" t="inlineStr">
        <is>
          <t>gon</t>
        </is>
      </c>
      <c r="O71" s="27" t="n"/>
      <c r="P71" s="33" t="n"/>
      <c r="Q71" s="33" t="n"/>
      <c r="R71" s="38" t="n"/>
      <c r="S71" s="28" t="n"/>
      <c r="T71" s="27" t="n"/>
      <c r="U71" s="27" t="n"/>
      <c r="V71" s="27" t="n"/>
    </row>
    <row r="72">
      <c r="A72" s="27" t="n"/>
      <c r="B72" s="27" t="n"/>
      <c r="C72" s="39" t="n"/>
      <c r="D72" s="27" t="n"/>
      <c r="E72" s="27" t="n"/>
      <c r="F72" s="27" t="n"/>
      <c r="G72" s="27" t="n"/>
      <c r="H72" s="27" t="n"/>
      <c r="I72" s="36" t="n"/>
      <c r="J72" s="36" t="n"/>
      <c r="K72" s="34">
        <f>IF(OR(I72="",J72=""),"",(J72-I72)*1440)</f>
        <v/>
      </c>
      <c r="L72" s="37">
        <f>IF(I72="","",I72-TIME(9,0,0))</f>
        <v/>
      </c>
      <c r="M72" s="33" t="n"/>
      <c r="N72" s="32" t="inlineStr">
        <is>
          <t>gon</t>
        </is>
      </c>
      <c r="O72" s="27" t="n"/>
      <c r="P72" s="33" t="n"/>
      <c r="Q72" s="33" t="n"/>
      <c r="R72" s="38" t="n"/>
      <c r="S72" s="28" t="n"/>
      <c r="T72" s="27" t="n"/>
      <c r="U72" s="27" t="n"/>
      <c r="V72" s="27" t="n"/>
    </row>
    <row r="73">
      <c r="A73" s="27" t="n"/>
      <c r="B73" s="27" t="n"/>
      <c r="C73" s="39" t="n"/>
      <c r="D73" s="27" t="n"/>
      <c r="E73" s="27" t="n"/>
      <c r="F73" s="27" t="n"/>
      <c r="G73" s="27" t="n"/>
      <c r="H73" s="27" t="n"/>
      <c r="I73" s="36" t="n"/>
      <c r="J73" s="36" t="n"/>
      <c r="K73" s="34">
        <f>IF(OR(I73="",J73=""),"",(J73-I73)*1440)</f>
        <v/>
      </c>
      <c r="L73" s="37">
        <f>IF(I73="","",I73-TIME(9,0,0))</f>
        <v/>
      </c>
      <c r="M73" s="33" t="n"/>
      <c r="N73" s="32" t="inlineStr">
        <is>
          <t>gon</t>
        </is>
      </c>
      <c r="O73" s="27" t="n"/>
      <c r="P73" s="33" t="n"/>
      <c r="Q73" s="33" t="n"/>
      <c r="R73" s="38" t="n"/>
      <c r="S73" s="28" t="n"/>
      <c r="T73" s="27" t="n"/>
      <c r="U73" s="27" t="n"/>
      <c r="V73" s="27" t="n"/>
    </row>
    <row r="74">
      <c r="A74" s="27" t="n"/>
      <c r="B74" s="27" t="n"/>
      <c r="C74" s="39" t="n"/>
      <c r="D74" s="27" t="n"/>
      <c r="E74" s="27" t="n"/>
      <c r="F74" s="27" t="n"/>
      <c r="G74" s="27" t="n"/>
      <c r="H74" s="27" t="n"/>
      <c r="I74" s="36" t="n"/>
      <c r="J74" s="36" t="n"/>
      <c r="K74" s="34">
        <f>IF(OR(I74="",J74=""),"",(J74-I74)*1440)</f>
        <v/>
      </c>
      <c r="L74" s="37">
        <f>IF(I74="","",I74-TIME(9,0,0))</f>
        <v/>
      </c>
      <c r="M74" s="33" t="n"/>
      <c r="N74" s="32" t="inlineStr">
        <is>
          <t>gon</t>
        </is>
      </c>
      <c r="O74" s="27" t="n"/>
      <c r="P74" s="33" t="n"/>
      <c r="Q74" s="33" t="n"/>
      <c r="R74" s="38" t="n"/>
      <c r="S74" s="28" t="n"/>
      <c r="T74" s="27" t="n"/>
      <c r="U74" s="27" t="n"/>
      <c r="V74" s="27" t="n"/>
    </row>
    <row r="75">
      <c r="A75" s="27" t="n"/>
      <c r="B75" s="27" t="n"/>
      <c r="C75" s="39" t="n"/>
      <c r="D75" s="27" t="n"/>
      <c r="E75" s="27" t="n"/>
      <c r="F75" s="27" t="n"/>
      <c r="G75" s="27" t="n"/>
      <c r="H75" s="27" t="n"/>
      <c r="I75" s="36" t="n"/>
      <c r="J75" s="36" t="n"/>
      <c r="K75" s="34">
        <f>IF(OR(I75="",J75=""),"",(J75-I75)*1440)</f>
        <v/>
      </c>
      <c r="L75" s="37">
        <f>IF(I75="","",I75-TIME(9,0,0))</f>
        <v/>
      </c>
      <c r="M75" s="33" t="n"/>
      <c r="N75" s="32" t="inlineStr">
        <is>
          <t>gon</t>
        </is>
      </c>
      <c r="O75" s="27" t="n"/>
      <c r="P75" s="33" t="n"/>
      <c r="Q75" s="33" t="n"/>
      <c r="R75" s="38" t="n"/>
      <c r="S75" s="28" t="n"/>
      <c r="T75" s="27" t="n"/>
      <c r="U75" s="27" t="n"/>
      <c r="V75" s="27" t="n"/>
    </row>
    <row r="76">
      <c r="A76" s="27" t="n"/>
      <c r="B76" s="27" t="n"/>
      <c r="C76" s="39" t="n"/>
      <c r="D76" s="27" t="n"/>
      <c r="E76" s="27" t="n"/>
      <c r="F76" s="27" t="n"/>
      <c r="G76" s="27" t="n"/>
      <c r="H76" s="27" t="n"/>
      <c r="I76" s="36" t="n"/>
      <c r="J76" s="36" t="n"/>
      <c r="K76" s="34">
        <f>IF(OR(I76="",J76=""),"",(J76-I76)*1440)</f>
        <v/>
      </c>
      <c r="L76" s="37">
        <f>IF(I76="","",I76-TIME(9,0,0))</f>
        <v/>
      </c>
      <c r="M76" s="33" t="n"/>
      <c r="N76" s="32" t="inlineStr">
        <is>
          <t>gon</t>
        </is>
      </c>
      <c r="O76" s="27" t="n"/>
      <c r="P76" s="33" t="n"/>
      <c r="Q76" s="33" t="n"/>
      <c r="R76" s="38" t="n"/>
      <c r="S76" s="28" t="n"/>
      <c r="T76" s="27" t="n"/>
      <c r="U76" s="27" t="n"/>
      <c r="V76" s="27" t="n"/>
    </row>
    <row r="77">
      <c r="A77" s="27" t="n"/>
      <c r="B77" s="27" t="n"/>
      <c r="C77" s="39" t="n"/>
      <c r="D77" s="27" t="n"/>
      <c r="E77" s="27" t="n"/>
      <c r="F77" s="27" t="n"/>
      <c r="G77" s="27" t="n"/>
      <c r="H77" s="27" t="n"/>
      <c r="I77" s="36" t="n"/>
      <c r="J77" s="36" t="n"/>
      <c r="K77" s="34">
        <f>IF(OR(I77="",J77=""),"",(J77-I77)*1440)</f>
        <v/>
      </c>
      <c r="L77" s="37">
        <f>IF(I77="","",I77-TIME(9,0,0))</f>
        <v/>
      </c>
      <c r="M77" s="33" t="n"/>
      <c r="N77" s="32" t="inlineStr">
        <is>
          <t>gon</t>
        </is>
      </c>
      <c r="O77" s="27" t="n"/>
      <c r="P77" s="33" t="n"/>
      <c r="Q77" s="33" t="n"/>
      <c r="R77" s="38" t="n"/>
      <c r="S77" s="28" t="n"/>
      <c r="T77" s="27" t="n"/>
      <c r="U77" s="27" t="n"/>
      <c r="V77" s="27" t="n"/>
    </row>
    <row r="78">
      <c r="A78" s="27" t="n"/>
      <c r="B78" s="27" t="n"/>
      <c r="C78" s="39" t="n"/>
      <c r="D78" s="27" t="n"/>
      <c r="E78" s="27" t="n"/>
      <c r="F78" s="27" t="n"/>
      <c r="G78" s="27" t="n"/>
      <c r="H78" s="27" t="n"/>
      <c r="I78" s="36" t="n"/>
      <c r="J78" s="36" t="n"/>
      <c r="K78" s="34">
        <f>IF(OR(I78="",J78=""),"",(J78-I78)*1440)</f>
        <v/>
      </c>
      <c r="L78" s="37">
        <f>IF(I78="","",I78-TIME(9,0,0))</f>
        <v/>
      </c>
      <c r="M78" s="33" t="n"/>
      <c r="N78" s="32" t="inlineStr">
        <is>
          <t>gon</t>
        </is>
      </c>
      <c r="O78" s="27" t="n"/>
      <c r="P78" s="33" t="n"/>
      <c r="Q78" s="33" t="n"/>
      <c r="R78" s="38" t="n"/>
      <c r="S78" s="28" t="n"/>
      <c r="T78" s="27" t="n"/>
      <c r="U78" s="27" t="n"/>
      <c r="V78" s="27" t="n"/>
    </row>
    <row r="79">
      <c r="A79" s="27" t="n"/>
      <c r="B79" s="27" t="n"/>
      <c r="C79" s="39" t="n"/>
      <c r="D79" s="27" t="n"/>
      <c r="E79" s="27" t="n"/>
      <c r="F79" s="27" t="n"/>
      <c r="G79" s="27" t="n"/>
      <c r="H79" s="27" t="n"/>
      <c r="I79" s="36" t="n"/>
      <c r="J79" s="36" t="n"/>
      <c r="K79" s="34">
        <f>IF(OR(I79="",J79=""),"",(J79-I79)*1440)</f>
        <v/>
      </c>
      <c r="L79" s="37">
        <f>IF(I79="","",I79-TIME(9,0,0))</f>
        <v/>
      </c>
      <c r="M79" s="33" t="n"/>
      <c r="N79" s="32" t="inlineStr">
        <is>
          <t>gon</t>
        </is>
      </c>
      <c r="O79" s="27" t="n"/>
      <c r="P79" s="33" t="n"/>
      <c r="Q79" s="33" t="n"/>
      <c r="R79" s="38" t="n"/>
      <c r="S79" s="28" t="n"/>
      <c r="T79" s="27" t="n"/>
      <c r="U79" s="27" t="n"/>
      <c r="V79" s="27" t="n"/>
    </row>
    <row r="80">
      <c r="A80" s="27" t="n"/>
      <c r="B80" s="27" t="n"/>
      <c r="C80" s="39" t="n"/>
      <c r="D80" s="27" t="n"/>
      <c r="E80" s="27" t="n"/>
      <c r="F80" s="27" t="n"/>
      <c r="G80" s="27" t="n"/>
      <c r="H80" s="27" t="n"/>
      <c r="I80" s="36" t="n"/>
      <c r="J80" s="36" t="n"/>
      <c r="K80" s="34">
        <f>IF(OR(I80="",J80=""),"",(J80-I80)*1440)</f>
        <v/>
      </c>
      <c r="L80" s="37">
        <f>IF(I80="","",I80-TIME(9,0,0))</f>
        <v/>
      </c>
      <c r="M80" s="33" t="n"/>
      <c r="N80" s="32" t="inlineStr">
        <is>
          <t>gon</t>
        </is>
      </c>
      <c r="O80" s="27" t="n"/>
      <c r="P80" s="33" t="n"/>
      <c r="Q80" s="33" t="n"/>
      <c r="R80" s="38" t="n"/>
      <c r="S80" s="28" t="n"/>
      <c r="T80" s="27" t="n"/>
      <c r="U80" s="27" t="n"/>
      <c r="V80" s="27" t="n"/>
    </row>
    <row r="81">
      <c r="A81" s="27" t="n"/>
      <c r="B81" s="27" t="n"/>
      <c r="C81" s="39" t="n"/>
      <c r="D81" s="27" t="n"/>
      <c r="E81" s="27" t="n"/>
      <c r="F81" s="27" t="n"/>
      <c r="G81" s="27" t="n"/>
      <c r="H81" s="27" t="n"/>
      <c r="I81" s="36" t="n"/>
      <c r="J81" s="36" t="n"/>
      <c r="K81" s="34">
        <f>IF(OR(I81="",J81=""),"",(J81-I81)*1440)</f>
        <v/>
      </c>
      <c r="L81" s="37">
        <f>IF(I81="","",I81-TIME(9,0,0))</f>
        <v/>
      </c>
      <c r="M81" s="33" t="n"/>
      <c r="N81" s="32" t="inlineStr">
        <is>
          <t>gon</t>
        </is>
      </c>
      <c r="O81" s="27" t="n"/>
      <c r="P81" s="33" t="n"/>
      <c r="Q81" s="33" t="n"/>
      <c r="R81" s="38" t="n"/>
      <c r="S81" s="28" t="n"/>
      <c r="T81" s="27" t="n"/>
      <c r="U81" s="27" t="n"/>
      <c r="V81" s="27" t="n"/>
    </row>
    <row r="82">
      <c r="A82" s="27" t="n"/>
      <c r="B82" s="27" t="n"/>
      <c r="C82" s="39" t="n"/>
      <c r="D82" s="27" t="n"/>
      <c r="E82" s="27" t="n"/>
      <c r="F82" s="27" t="n"/>
      <c r="G82" s="27" t="n"/>
      <c r="H82" s="27" t="n"/>
      <c r="I82" s="36" t="n"/>
      <c r="J82" s="36" t="n"/>
      <c r="K82" s="34">
        <f>IF(OR(I82="",J82=""),"",(J82-I82)*1440)</f>
        <v/>
      </c>
      <c r="L82" s="37">
        <f>IF(I82="","",I82-TIME(9,0,0))</f>
        <v/>
      </c>
      <c r="M82" s="33" t="n"/>
      <c r="N82" s="32" t="inlineStr">
        <is>
          <t>gon</t>
        </is>
      </c>
      <c r="O82" s="27" t="n"/>
      <c r="P82" s="33" t="n"/>
      <c r="Q82" s="33" t="n"/>
      <c r="R82" s="38" t="n"/>
      <c r="S82" s="28" t="n"/>
      <c r="T82" s="27" t="n"/>
      <c r="U82" s="27" t="n"/>
      <c r="V82" s="27" t="n"/>
    </row>
    <row r="83">
      <c r="A83" s="27" t="n"/>
      <c r="B83" s="27" t="n"/>
      <c r="C83" s="39" t="n"/>
      <c r="D83" s="27" t="n"/>
      <c r="E83" s="27" t="n"/>
      <c r="F83" s="27" t="n"/>
      <c r="G83" s="27" t="n"/>
      <c r="H83" s="27" t="n"/>
      <c r="I83" s="36" t="n"/>
      <c r="J83" s="36" t="n"/>
      <c r="K83" s="34">
        <f>IF(OR(I83="",J83=""),"",(J83-I83)*1440)</f>
        <v/>
      </c>
      <c r="L83" s="37">
        <f>IF(I83="","",I83-TIME(9,0,0))</f>
        <v/>
      </c>
      <c r="M83" s="33" t="n"/>
      <c r="N83" s="32" t="inlineStr">
        <is>
          <t>gon</t>
        </is>
      </c>
      <c r="O83" s="27" t="n"/>
      <c r="P83" s="33" t="n"/>
      <c r="Q83" s="33" t="n"/>
      <c r="R83" s="38" t="n"/>
      <c r="S83" s="28" t="n"/>
      <c r="T83" s="27" t="n"/>
      <c r="U83" s="27" t="n"/>
      <c r="V83" s="27" t="n"/>
    </row>
    <row r="84">
      <c r="A84" s="27" t="n"/>
      <c r="B84" s="27" t="n"/>
      <c r="C84" s="39" t="n"/>
      <c r="D84" s="27" t="n"/>
      <c r="E84" s="27" t="n"/>
      <c r="F84" s="27" t="n"/>
      <c r="G84" s="27" t="n"/>
      <c r="H84" s="27" t="n"/>
      <c r="I84" s="36" t="n"/>
      <c r="J84" s="36" t="n"/>
      <c r="K84" s="34">
        <f>IF(OR(I84="",J84=""),"",(J84-I84)*1440)</f>
        <v/>
      </c>
      <c r="L84" s="37">
        <f>IF(I84="","",I84-TIME(9,0,0))</f>
        <v/>
      </c>
      <c r="M84" s="33" t="n"/>
      <c r="N84" s="32" t="inlineStr">
        <is>
          <t>gon</t>
        </is>
      </c>
      <c r="O84" s="27" t="n"/>
      <c r="P84" s="33" t="n"/>
      <c r="Q84" s="33" t="n"/>
      <c r="R84" s="38" t="n"/>
      <c r="S84" s="28" t="n"/>
      <c r="T84" s="27" t="n"/>
      <c r="U84" s="27" t="n"/>
      <c r="V84" s="27" t="n"/>
    </row>
    <row r="85">
      <c r="A85" s="27" t="n"/>
      <c r="B85" s="27" t="n"/>
      <c r="C85" s="39" t="n"/>
      <c r="D85" s="27" t="n"/>
      <c r="E85" s="27" t="n"/>
      <c r="F85" s="27" t="n"/>
      <c r="G85" s="27" t="n"/>
      <c r="H85" s="27" t="n"/>
      <c r="I85" s="36" t="n"/>
      <c r="J85" s="36" t="n"/>
      <c r="K85" s="34">
        <f>IF(OR(I85="",J85=""),"",(J85-I85)*1440)</f>
        <v/>
      </c>
      <c r="L85" s="37">
        <f>IF(I85="","",I85-TIME(9,0,0))</f>
        <v/>
      </c>
      <c r="M85" s="33" t="n"/>
      <c r="N85" s="32" t="inlineStr">
        <is>
          <t>gon</t>
        </is>
      </c>
      <c r="O85" s="27" t="n"/>
      <c r="P85" s="33" t="n"/>
      <c r="Q85" s="33" t="n"/>
      <c r="R85" s="38" t="n"/>
      <c r="S85" s="28" t="n"/>
      <c r="T85" s="27" t="n"/>
      <c r="U85" s="27" t="n"/>
      <c r="V85" s="27" t="n"/>
    </row>
    <row r="86">
      <c r="A86" s="27" t="n"/>
      <c r="B86" s="27" t="n"/>
      <c r="C86" s="39" t="n"/>
      <c r="D86" s="27" t="n"/>
      <c r="E86" s="27" t="n"/>
      <c r="F86" s="27" t="n"/>
      <c r="G86" s="27" t="n"/>
      <c r="H86" s="27" t="n"/>
      <c r="I86" s="36" t="n"/>
      <c r="J86" s="36" t="n"/>
      <c r="K86" s="34">
        <f>IF(OR(I86="",J86=""),"",(J86-I86)*1440)</f>
        <v/>
      </c>
      <c r="L86" s="37">
        <f>IF(I86="","",I86-TIME(9,0,0))</f>
        <v/>
      </c>
      <c r="M86" s="33" t="n"/>
      <c r="N86" s="32" t="inlineStr">
        <is>
          <t>gon</t>
        </is>
      </c>
      <c r="O86" s="27" t="n"/>
      <c r="P86" s="33" t="n"/>
      <c r="Q86" s="33" t="n"/>
      <c r="R86" s="38" t="n"/>
      <c r="S86" s="28" t="n"/>
      <c r="T86" s="27" t="n"/>
      <c r="U86" s="27" t="n"/>
      <c r="V86" s="27" t="n"/>
    </row>
    <row r="87">
      <c r="A87" s="27" t="n"/>
      <c r="B87" s="27" t="n"/>
      <c r="C87" s="39" t="n"/>
      <c r="D87" s="27" t="n"/>
      <c r="E87" s="27" t="n"/>
      <c r="F87" s="27" t="n"/>
      <c r="G87" s="27" t="n"/>
      <c r="H87" s="27" t="n"/>
      <c r="I87" s="36" t="n"/>
      <c r="J87" s="36" t="n"/>
      <c r="K87" s="34">
        <f>IF(OR(I87="",J87=""),"",(J87-I87)*1440)</f>
        <v/>
      </c>
      <c r="L87" s="37">
        <f>IF(I87="","",I87-TIME(9,0,0))</f>
        <v/>
      </c>
      <c r="M87" s="33" t="n"/>
      <c r="N87" s="32" t="inlineStr">
        <is>
          <t>gon</t>
        </is>
      </c>
      <c r="O87" s="27" t="n"/>
      <c r="P87" s="33" t="n"/>
      <c r="Q87" s="33" t="n"/>
      <c r="R87" s="38" t="n"/>
      <c r="S87" s="28" t="n"/>
      <c r="T87" s="27" t="n"/>
      <c r="U87" s="27" t="n"/>
      <c r="V87" s="27" t="n"/>
    </row>
    <row r="88">
      <c r="A88" s="27" t="n"/>
      <c r="B88" s="27" t="n"/>
      <c r="C88" s="39" t="n"/>
      <c r="D88" s="27" t="n"/>
      <c r="E88" s="27" t="n"/>
      <c r="F88" s="27" t="n"/>
      <c r="G88" s="27" t="n"/>
      <c r="H88" s="27" t="n"/>
      <c r="I88" s="36" t="n"/>
      <c r="J88" s="36" t="n"/>
      <c r="K88" s="34">
        <f>IF(OR(I88="",J88=""),"",(J88-I88)*1440)</f>
        <v/>
      </c>
      <c r="L88" s="37">
        <f>IF(I88="","",I88-TIME(9,0,0))</f>
        <v/>
      </c>
      <c r="M88" s="33" t="n"/>
      <c r="N88" s="32" t="inlineStr">
        <is>
          <t>gon</t>
        </is>
      </c>
      <c r="O88" s="27" t="n"/>
      <c r="P88" s="33" t="n"/>
      <c r="Q88" s="33" t="n"/>
      <c r="R88" s="38" t="n"/>
      <c r="S88" s="28" t="n"/>
      <c r="T88" s="27" t="n"/>
      <c r="U88" s="27" t="n"/>
      <c r="V88" s="27" t="n"/>
    </row>
    <row r="89">
      <c r="A89" s="27" t="n"/>
      <c r="B89" s="27" t="n"/>
      <c r="C89" s="39" t="n"/>
      <c r="D89" s="27" t="n"/>
      <c r="E89" s="27" t="n"/>
      <c r="F89" s="27" t="n"/>
      <c r="G89" s="27" t="n"/>
      <c r="H89" s="27" t="n"/>
      <c r="I89" s="36" t="n"/>
      <c r="J89" s="36" t="n"/>
      <c r="K89" s="34">
        <f>IF(OR(I89="",J89=""),"",(J89-I89)*1440)</f>
        <v/>
      </c>
      <c r="L89" s="37">
        <f>IF(I89="","",I89-TIME(9,0,0))</f>
        <v/>
      </c>
      <c r="M89" s="33" t="n"/>
      <c r="N89" s="32" t="inlineStr">
        <is>
          <t>gon</t>
        </is>
      </c>
      <c r="O89" s="27" t="n"/>
      <c r="P89" s="33" t="n"/>
      <c r="Q89" s="33" t="n"/>
      <c r="R89" s="38" t="n"/>
      <c r="S89" s="28" t="n"/>
      <c r="T89" s="27" t="n"/>
      <c r="U89" s="27" t="n"/>
      <c r="V89" s="27" t="n"/>
    </row>
    <row r="90">
      <c r="A90" s="27" t="n"/>
      <c r="B90" s="27" t="n"/>
      <c r="C90" s="39" t="n"/>
      <c r="D90" s="27" t="n"/>
      <c r="E90" s="27" t="n"/>
      <c r="F90" s="27" t="n"/>
      <c r="G90" s="27" t="n"/>
      <c r="H90" s="27" t="n"/>
      <c r="I90" s="36" t="n"/>
      <c r="J90" s="36" t="n"/>
      <c r="K90" s="34">
        <f>IF(OR(I90="",J90=""),"",(J90-I90)*1440)</f>
        <v/>
      </c>
      <c r="L90" s="37">
        <f>IF(I90="","",I90-TIME(9,0,0))</f>
        <v/>
      </c>
      <c r="M90" s="33" t="n"/>
      <c r="N90" s="32" t="inlineStr">
        <is>
          <t>gon</t>
        </is>
      </c>
      <c r="O90" s="27" t="n"/>
      <c r="P90" s="33" t="n"/>
      <c r="Q90" s="33" t="n"/>
      <c r="R90" s="38" t="n"/>
      <c r="S90" s="28" t="n"/>
      <c r="T90" s="27" t="n"/>
      <c r="U90" s="27" t="n"/>
      <c r="V90" s="27" t="n"/>
    </row>
    <row r="91">
      <c r="A91" s="27" t="n"/>
      <c r="B91" s="27" t="n"/>
      <c r="C91" s="39" t="n"/>
      <c r="D91" s="27" t="n"/>
      <c r="E91" s="27" t="n"/>
      <c r="F91" s="27" t="n"/>
      <c r="G91" s="27" t="n"/>
      <c r="H91" s="27" t="n"/>
      <c r="I91" s="36" t="n"/>
      <c r="J91" s="36" t="n"/>
      <c r="K91" s="34">
        <f>IF(OR(I91="",J91=""),"",(J91-I91)*1440)</f>
        <v/>
      </c>
      <c r="L91" s="37">
        <f>IF(I91="","",I91-TIME(9,0,0))</f>
        <v/>
      </c>
      <c r="M91" s="33" t="n"/>
      <c r="N91" s="32" t="inlineStr">
        <is>
          <t>gon</t>
        </is>
      </c>
      <c r="O91" s="27" t="n"/>
      <c r="P91" s="33" t="n"/>
      <c r="Q91" s="33" t="n"/>
      <c r="R91" s="38" t="n"/>
      <c r="S91" s="28" t="n"/>
      <c r="T91" s="27" t="n"/>
      <c r="U91" s="27" t="n"/>
      <c r="V91" s="27" t="n"/>
    </row>
    <row r="92">
      <c r="A92" s="27" t="n"/>
      <c r="B92" s="27" t="n"/>
      <c r="C92" s="39" t="n"/>
      <c r="D92" s="27" t="n"/>
      <c r="E92" s="27" t="n"/>
      <c r="F92" s="27" t="n"/>
      <c r="G92" s="27" t="n"/>
      <c r="H92" s="27" t="n"/>
      <c r="I92" s="36" t="n"/>
      <c r="J92" s="36" t="n"/>
      <c r="K92" s="34">
        <f>IF(OR(I92="",J92=""),"",(J92-I92)*1440)</f>
        <v/>
      </c>
      <c r="L92" s="37">
        <f>IF(I92="","",I92-TIME(9,0,0))</f>
        <v/>
      </c>
      <c r="M92" s="33" t="n"/>
      <c r="N92" s="32" t="inlineStr">
        <is>
          <t>gon</t>
        </is>
      </c>
      <c r="O92" s="27" t="n"/>
      <c r="P92" s="33" t="n"/>
      <c r="Q92" s="33" t="n"/>
      <c r="R92" s="38" t="n"/>
      <c r="S92" s="28" t="n"/>
      <c r="T92" s="27" t="n"/>
      <c r="U92" s="27" t="n"/>
      <c r="V92" s="27" t="n"/>
    </row>
    <row r="93">
      <c r="A93" s="27" t="n"/>
      <c r="B93" s="27" t="n"/>
      <c r="C93" s="39" t="n"/>
      <c r="D93" s="27" t="n"/>
      <c r="E93" s="27" t="n"/>
      <c r="F93" s="27" t="n"/>
      <c r="G93" s="27" t="n"/>
      <c r="H93" s="27" t="n"/>
      <c r="I93" s="36" t="n"/>
      <c r="J93" s="36" t="n"/>
      <c r="K93" s="34">
        <f>IF(OR(I93="",J93=""),"",(J93-I93)*1440)</f>
        <v/>
      </c>
      <c r="L93" s="37">
        <f>IF(I93="","",I93-TIME(9,0,0))</f>
        <v/>
      </c>
      <c r="M93" s="33" t="n"/>
      <c r="N93" s="32" t="inlineStr">
        <is>
          <t>gon</t>
        </is>
      </c>
      <c r="O93" s="27" t="n"/>
      <c r="P93" s="33" t="n"/>
      <c r="Q93" s="33" t="n"/>
      <c r="R93" s="38" t="n"/>
      <c r="S93" s="28" t="n"/>
      <c r="T93" s="27" t="n"/>
      <c r="U93" s="27" t="n"/>
      <c r="V93" s="27" t="n"/>
    </row>
    <row r="94">
      <c r="A94" s="27" t="n"/>
      <c r="B94" s="27" t="n"/>
      <c r="C94" s="39" t="n"/>
      <c r="D94" s="27" t="n"/>
      <c r="E94" s="27" t="n"/>
      <c r="F94" s="27" t="n"/>
      <c r="G94" s="27" t="n"/>
      <c r="H94" s="27" t="n"/>
      <c r="I94" s="36" t="n"/>
      <c r="J94" s="36" t="n"/>
      <c r="K94" s="34">
        <f>IF(OR(I94="",J94=""),"",(J94-I94)*1440)</f>
        <v/>
      </c>
      <c r="L94" s="37">
        <f>IF(I94="","",I94-TIME(9,0,0))</f>
        <v/>
      </c>
      <c r="M94" s="33" t="n"/>
      <c r="N94" s="32" t="inlineStr">
        <is>
          <t>gon</t>
        </is>
      </c>
      <c r="O94" s="27" t="n"/>
      <c r="P94" s="33" t="n"/>
      <c r="Q94" s="33" t="n"/>
      <c r="R94" s="38" t="n"/>
      <c r="S94" s="28" t="n"/>
      <c r="T94" s="27" t="n"/>
      <c r="U94" s="27" t="n"/>
      <c r="V94" s="27" t="n"/>
    </row>
    <row r="95">
      <c r="A95" s="27" t="n"/>
      <c r="B95" s="27" t="n"/>
      <c r="C95" s="39" t="n"/>
      <c r="D95" s="27" t="n"/>
      <c r="E95" s="27" t="n"/>
      <c r="F95" s="27" t="n"/>
      <c r="G95" s="27" t="n"/>
      <c r="H95" s="27" t="n"/>
      <c r="I95" s="36" t="n"/>
      <c r="J95" s="36" t="n"/>
      <c r="K95" s="34">
        <f>IF(OR(I95="",J95=""),"",(J95-I95)*1440)</f>
        <v/>
      </c>
      <c r="L95" s="37">
        <f>IF(I95="","",I95-TIME(9,0,0))</f>
        <v/>
      </c>
      <c r="M95" s="33" t="n"/>
      <c r="N95" s="32" t="inlineStr">
        <is>
          <t>gon</t>
        </is>
      </c>
      <c r="O95" s="27" t="n"/>
      <c r="P95" s="33" t="n"/>
      <c r="Q95" s="33" t="n"/>
      <c r="R95" s="38" t="n"/>
      <c r="S95" s="28" t="n"/>
      <c r="T95" s="27" t="n"/>
      <c r="U95" s="27" t="n"/>
      <c r="V95" s="27" t="n"/>
    </row>
    <row r="96">
      <c r="A96" s="27" t="n"/>
      <c r="B96" s="27" t="n"/>
      <c r="C96" s="39" t="n"/>
      <c r="D96" s="27" t="n"/>
      <c r="E96" s="27" t="n"/>
      <c r="F96" s="27" t="n"/>
      <c r="G96" s="27" t="n"/>
      <c r="H96" s="27" t="n"/>
      <c r="I96" s="36" t="n"/>
      <c r="J96" s="36" t="n"/>
      <c r="K96" s="34">
        <f>IF(OR(I96="",J96=""),"",(J96-I96)*1440)</f>
        <v/>
      </c>
      <c r="L96" s="37">
        <f>IF(I96="","",I96-TIME(9,0,0))</f>
        <v/>
      </c>
      <c r="M96" s="33" t="n"/>
      <c r="N96" s="32" t="inlineStr">
        <is>
          <t>gon</t>
        </is>
      </c>
      <c r="O96" s="27" t="n"/>
      <c r="P96" s="33" t="n"/>
      <c r="Q96" s="33" t="n"/>
      <c r="R96" s="38" t="n"/>
      <c r="S96" s="28" t="n"/>
      <c r="T96" s="27" t="n"/>
      <c r="U96" s="27" t="n"/>
      <c r="V96" s="27" t="n"/>
    </row>
    <row r="97">
      <c r="A97" s="27" t="n"/>
      <c r="B97" s="27" t="n"/>
      <c r="C97" s="39" t="n"/>
      <c r="D97" s="27" t="n"/>
      <c r="E97" s="27" t="n"/>
      <c r="F97" s="27" t="n"/>
      <c r="G97" s="27" t="n"/>
      <c r="H97" s="27" t="n"/>
      <c r="I97" s="36" t="n"/>
      <c r="J97" s="36" t="n"/>
      <c r="K97" s="34">
        <f>IF(OR(I97="",J97=""),"",(J97-I97)*1440)</f>
        <v/>
      </c>
      <c r="L97" s="37">
        <f>IF(I97="","",I97-TIME(9,0,0))</f>
        <v/>
      </c>
      <c r="M97" s="33" t="n"/>
      <c r="N97" s="32" t="inlineStr">
        <is>
          <t>gon</t>
        </is>
      </c>
      <c r="O97" s="27" t="n"/>
      <c r="P97" s="33" t="n"/>
      <c r="Q97" s="33" t="n"/>
      <c r="R97" s="38" t="n"/>
      <c r="S97" s="28" t="n"/>
      <c r="T97" s="27" t="n"/>
      <c r="U97" s="27" t="n"/>
      <c r="V97" s="27" t="n"/>
    </row>
    <row r="98">
      <c r="A98" s="27" t="n"/>
      <c r="B98" s="27" t="n"/>
      <c r="C98" s="39" t="n"/>
      <c r="D98" s="27" t="n"/>
      <c r="E98" s="27" t="n"/>
      <c r="F98" s="27" t="n"/>
      <c r="G98" s="27" t="n"/>
      <c r="H98" s="27" t="n"/>
      <c r="I98" s="36" t="n"/>
      <c r="J98" s="36" t="n"/>
      <c r="K98" s="34">
        <f>IF(OR(I98="",J98=""),"",(J98-I98)*1440)</f>
        <v/>
      </c>
      <c r="L98" s="37">
        <f>IF(I98="","",I98-TIME(9,0,0))</f>
        <v/>
      </c>
      <c r="M98" s="33" t="n"/>
      <c r="N98" s="32" t="inlineStr">
        <is>
          <t>gon</t>
        </is>
      </c>
      <c r="O98" s="27" t="n"/>
      <c r="P98" s="33" t="n"/>
      <c r="Q98" s="33" t="n"/>
      <c r="R98" s="38" t="n"/>
      <c r="S98" s="28" t="n"/>
      <c r="T98" s="27" t="n"/>
      <c r="U98" s="27" t="n"/>
      <c r="V98" s="27" t="n"/>
    </row>
    <row r="99">
      <c r="A99" s="27" t="n"/>
      <c r="B99" s="27" t="n"/>
      <c r="C99" s="39" t="n"/>
      <c r="D99" s="27" t="n"/>
      <c r="E99" s="27" t="n"/>
      <c r="F99" s="27" t="n"/>
      <c r="G99" s="27" t="n"/>
      <c r="H99" s="27" t="n"/>
      <c r="I99" s="36" t="n"/>
      <c r="J99" s="36" t="n"/>
      <c r="K99" s="34">
        <f>IF(OR(I99="",J99=""),"",(J99-I99)*1440)</f>
        <v/>
      </c>
      <c r="L99" s="37">
        <f>IF(I99="","",I99-TIME(9,0,0))</f>
        <v/>
      </c>
      <c r="M99" s="33" t="n"/>
      <c r="N99" s="32" t="inlineStr">
        <is>
          <t>gon</t>
        </is>
      </c>
      <c r="O99" s="27" t="n"/>
      <c r="P99" s="33" t="n"/>
      <c r="Q99" s="33" t="n"/>
      <c r="R99" s="38" t="n"/>
      <c r="S99" s="28" t="n"/>
      <c r="T99" s="27" t="n"/>
      <c r="U99" s="27" t="n"/>
      <c r="V99" s="27" t="n"/>
    </row>
    <row r="100">
      <c r="A100" s="27" t="n"/>
      <c r="B100" s="27" t="n"/>
      <c r="C100" s="39" t="n"/>
      <c r="D100" s="27" t="n"/>
      <c r="E100" s="27" t="n"/>
      <c r="F100" s="27" t="n"/>
      <c r="G100" s="27" t="n"/>
      <c r="H100" s="27" t="n"/>
      <c r="I100" s="36" t="n"/>
      <c r="J100" s="36" t="n"/>
      <c r="K100" s="34">
        <f>IF(OR(I100="",J100=""),"",(J100-I100)*1440)</f>
        <v/>
      </c>
      <c r="L100" s="37">
        <f>IF(I100="","",I100-TIME(9,0,0))</f>
        <v/>
      </c>
      <c r="M100" s="33" t="n"/>
      <c r="N100" s="32" t="inlineStr">
        <is>
          <t>gon</t>
        </is>
      </c>
      <c r="O100" s="27" t="n"/>
      <c r="P100" s="33" t="n"/>
      <c r="Q100" s="33" t="n"/>
      <c r="R100" s="38" t="n"/>
      <c r="S100" s="28" t="n"/>
      <c r="T100" s="27" t="n"/>
      <c r="U100" s="27" t="n"/>
      <c r="V100" s="27" t="n"/>
    </row>
    <row r="101">
      <c r="A101" s="27" t="n"/>
      <c r="B101" s="27" t="n"/>
      <c r="C101" s="39" t="n"/>
      <c r="D101" s="27" t="n"/>
      <c r="E101" s="27" t="n"/>
      <c r="F101" s="27" t="n"/>
      <c r="G101" s="27" t="n"/>
      <c r="H101" s="27" t="n"/>
      <c r="I101" s="36" t="n"/>
      <c r="J101" s="36" t="n"/>
      <c r="K101" s="34">
        <f>IF(OR(I101="",J101=""),"",(J101-I101)*1440)</f>
        <v/>
      </c>
      <c r="L101" s="37">
        <f>IF(I101="","",I101-TIME(9,0,0))</f>
        <v/>
      </c>
      <c r="M101" s="33" t="n"/>
      <c r="N101" s="32" t="inlineStr">
        <is>
          <t>gon</t>
        </is>
      </c>
      <c r="O101" s="27" t="n"/>
      <c r="P101" s="33" t="n"/>
      <c r="Q101" s="33" t="n"/>
      <c r="R101" s="38" t="n"/>
      <c r="S101" s="28" t="n"/>
      <c r="T101" s="27" t="n"/>
      <c r="U101" s="27" t="n"/>
      <c r="V101" s="27" t="n"/>
    </row>
    <row r="102">
      <c r="A102" s="27" t="n"/>
      <c r="B102" s="27" t="n"/>
      <c r="C102" s="39" t="n"/>
      <c r="D102" s="27" t="n"/>
      <c r="E102" s="27" t="n"/>
      <c r="F102" s="27" t="n"/>
      <c r="G102" s="27" t="n"/>
      <c r="H102" s="27" t="n"/>
      <c r="I102" s="36" t="n"/>
      <c r="J102" s="36" t="n"/>
      <c r="K102" s="34">
        <f>IF(OR(I102="",J102=""),"",(J102-I102)*1440)</f>
        <v/>
      </c>
      <c r="L102" s="37">
        <f>IF(I102="","",I102-TIME(9,0,0))</f>
        <v/>
      </c>
      <c r="M102" s="33" t="n"/>
      <c r="N102" s="32" t="inlineStr">
        <is>
          <t>gon</t>
        </is>
      </c>
      <c r="O102" s="27" t="n"/>
      <c r="P102" s="33" t="n"/>
      <c r="Q102" s="33" t="n"/>
      <c r="R102" s="38" t="n"/>
      <c r="S102" s="28" t="n"/>
      <c r="T102" s="27" t="n"/>
      <c r="U102" s="27" t="n"/>
      <c r="V102" s="27" t="n"/>
    </row>
    <row r="103">
      <c r="A103" s="27" t="n"/>
      <c r="B103" s="27" t="n"/>
      <c r="C103" s="39" t="n"/>
      <c r="D103" s="27" t="n"/>
      <c r="E103" s="27" t="n"/>
      <c r="F103" s="27" t="n"/>
      <c r="G103" s="27" t="n"/>
      <c r="H103" s="27" t="n"/>
      <c r="I103" s="36" t="n"/>
      <c r="J103" s="36" t="n"/>
      <c r="K103" s="34">
        <f>IF(OR(I103="",J103=""),"",(J103-I103)*1440)</f>
        <v/>
      </c>
      <c r="L103" s="37">
        <f>IF(I103="","",I103-TIME(9,0,0))</f>
        <v/>
      </c>
      <c r="M103" s="33" t="n"/>
      <c r="N103" s="32" t="inlineStr">
        <is>
          <t>gon</t>
        </is>
      </c>
      <c r="O103" s="27" t="n"/>
      <c r="P103" s="33" t="n"/>
      <c r="Q103" s="33" t="n"/>
      <c r="R103" s="38" t="n"/>
      <c r="S103" s="28" t="n"/>
      <c r="T103" s="27" t="n"/>
      <c r="U103" s="27" t="n"/>
      <c r="V103" s="27" t="n"/>
    </row>
    <row r="104">
      <c r="A104" s="27" t="n"/>
      <c r="B104" s="27" t="n"/>
      <c r="C104" s="39" t="n"/>
      <c r="D104" s="27" t="n"/>
      <c r="E104" s="27" t="n"/>
      <c r="F104" s="27" t="n"/>
      <c r="G104" s="27" t="n"/>
      <c r="H104" s="27" t="n"/>
      <c r="I104" s="36" t="n"/>
      <c r="J104" s="36" t="n"/>
      <c r="K104" s="34">
        <f>IF(OR(I104="",J104=""),"",(J104-I104)*1440)</f>
        <v/>
      </c>
      <c r="L104" s="37">
        <f>IF(I104="","",I104-TIME(9,0,0))</f>
        <v/>
      </c>
      <c r="M104" s="33" t="n"/>
      <c r="N104" s="32" t="inlineStr">
        <is>
          <t>gon</t>
        </is>
      </c>
      <c r="O104" s="27" t="n"/>
      <c r="P104" s="33" t="n"/>
      <c r="Q104" s="33" t="n"/>
      <c r="R104" s="38" t="n"/>
      <c r="S104" s="28" t="n"/>
      <c r="T104" s="27" t="n"/>
      <c r="U104" s="27" t="n"/>
      <c r="V104" s="27" t="n"/>
    </row>
    <row r="105">
      <c r="A105" s="27" t="n"/>
      <c r="B105" s="27" t="n"/>
      <c r="C105" s="39" t="n"/>
      <c r="D105" s="27" t="n"/>
      <c r="E105" s="27" t="n"/>
      <c r="F105" s="27" t="n"/>
      <c r="G105" s="27" t="n"/>
      <c r="H105" s="27" t="n"/>
      <c r="I105" s="36" t="n"/>
      <c r="J105" s="36" t="n"/>
      <c r="K105" s="34">
        <f>IF(OR(I105="",J105=""),"",(J105-I105)*1440)</f>
        <v/>
      </c>
      <c r="L105" s="37">
        <f>IF(I105="","",I105-TIME(9,0,0))</f>
        <v/>
      </c>
      <c r="M105" s="33" t="n"/>
      <c r="N105" s="32" t="inlineStr">
        <is>
          <t>gon</t>
        </is>
      </c>
      <c r="O105" s="27" t="n"/>
      <c r="P105" s="33" t="n"/>
      <c r="Q105" s="33" t="n"/>
      <c r="R105" s="38" t="n"/>
      <c r="S105" s="28" t="n"/>
      <c r="T105" s="27" t="n"/>
      <c r="U105" s="27" t="n"/>
      <c r="V105" s="27" t="n"/>
    </row>
    <row r="106">
      <c r="A106" s="27" t="n"/>
      <c r="B106" s="27" t="n"/>
      <c r="C106" s="39" t="n"/>
      <c r="D106" s="27" t="n"/>
      <c r="E106" s="27" t="n"/>
      <c r="F106" s="27" t="n"/>
      <c r="G106" s="27" t="n"/>
      <c r="H106" s="27" t="n"/>
      <c r="I106" s="36" t="n"/>
      <c r="J106" s="36" t="n"/>
      <c r="K106" s="34">
        <f>IF(OR(I106="",J106=""),"",(J106-I106)*1440)</f>
        <v/>
      </c>
      <c r="L106" s="37">
        <f>IF(I106="","",I106-TIME(9,0,0))</f>
        <v/>
      </c>
      <c r="M106" s="33" t="n"/>
      <c r="N106" s="32" t="inlineStr">
        <is>
          <t>gon</t>
        </is>
      </c>
      <c r="O106" s="27" t="n"/>
      <c r="P106" s="33" t="n"/>
      <c r="Q106" s="33" t="n"/>
      <c r="R106" s="38" t="n"/>
      <c r="S106" s="28" t="n"/>
      <c r="T106" s="27" t="n"/>
      <c r="U106" s="27" t="n"/>
      <c r="V106" s="27" t="n"/>
    </row>
    <row r="107">
      <c r="A107" s="27" t="n"/>
      <c r="B107" s="27" t="n"/>
      <c r="C107" s="39" t="n"/>
      <c r="D107" s="27" t="n"/>
      <c r="E107" s="27" t="n"/>
      <c r="F107" s="27" t="n"/>
      <c r="G107" s="27" t="n"/>
      <c r="H107" s="27" t="n"/>
      <c r="I107" s="36" t="n"/>
      <c r="J107" s="36" t="n"/>
      <c r="K107" s="34">
        <f>IF(OR(I107="",J107=""),"",(J107-I107)*1440)</f>
        <v/>
      </c>
      <c r="L107" s="37">
        <f>IF(I107="","",I107-TIME(9,0,0))</f>
        <v/>
      </c>
      <c r="M107" s="33" t="n"/>
      <c r="N107" s="32" t="inlineStr">
        <is>
          <t>gon</t>
        </is>
      </c>
      <c r="O107" s="27" t="n"/>
      <c r="P107" s="33" t="n"/>
      <c r="Q107" s="33" t="n"/>
      <c r="R107" s="38" t="n"/>
      <c r="S107" s="28" t="n"/>
      <c r="T107" s="27" t="n"/>
      <c r="U107" s="27" t="n"/>
      <c r="V107" s="27" t="n"/>
    </row>
    <row r="108">
      <c r="A108" s="27" t="n"/>
      <c r="B108" s="27" t="n"/>
      <c r="C108" s="39" t="n"/>
      <c r="D108" s="27" t="n"/>
      <c r="E108" s="27" t="n"/>
      <c r="F108" s="27" t="n"/>
      <c r="G108" s="27" t="n"/>
      <c r="H108" s="27" t="n"/>
      <c r="I108" s="36" t="n"/>
      <c r="J108" s="36" t="n"/>
      <c r="K108" s="34">
        <f>IF(OR(I108="",J108=""),"",(J108-I108)*1440)</f>
        <v/>
      </c>
      <c r="L108" s="37">
        <f>IF(I108="","",I108-TIME(9,0,0))</f>
        <v/>
      </c>
      <c r="M108" s="33" t="n"/>
      <c r="N108" s="32" t="inlineStr">
        <is>
          <t>gon</t>
        </is>
      </c>
      <c r="O108" s="27" t="n"/>
      <c r="P108" s="33" t="n"/>
      <c r="Q108" s="33" t="n"/>
      <c r="R108" s="38" t="n"/>
      <c r="S108" s="28" t="n"/>
      <c r="T108" s="27" t="n"/>
      <c r="U108" s="27" t="n"/>
      <c r="V108" s="27" t="n"/>
    </row>
    <row r="109">
      <c r="A109" s="27" t="n"/>
      <c r="B109" s="27" t="n"/>
      <c r="C109" s="39" t="n"/>
      <c r="D109" s="27" t="n"/>
      <c r="E109" s="27" t="n"/>
      <c r="F109" s="27" t="n"/>
      <c r="G109" s="27" t="n"/>
      <c r="H109" s="27" t="n"/>
      <c r="I109" s="36" t="n"/>
      <c r="J109" s="36" t="n"/>
      <c r="K109" s="34">
        <f>IF(OR(I109="",J109=""),"",(J109-I109)*1440)</f>
        <v/>
      </c>
      <c r="L109" s="37">
        <f>IF(I109="","",I109-TIME(9,0,0))</f>
        <v/>
      </c>
      <c r="M109" s="33" t="n"/>
      <c r="N109" s="32" t="inlineStr">
        <is>
          <t>gon</t>
        </is>
      </c>
      <c r="O109" s="27" t="n"/>
      <c r="P109" s="33" t="n"/>
      <c r="Q109" s="33" t="n"/>
      <c r="R109" s="38" t="n"/>
      <c r="S109" s="28" t="n"/>
      <c r="T109" s="27" t="n"/>
      <c r="U109" s="27" t="n"/>
      <c r="V109" s="27" t="n"/>
    </row>
    <row r="110">
      <c r="A110" s="27" t="n"/>
      <c r="B110" s="27" t="n"/>
      <c r="C110" s="39" t="n"/>
      <c r="D110" s="27" t="n"/>
      <c r="E110" s="27" t="n"/>
      <c r="F110" s="27" t="n"/>
      <c r="G110" s="27" t="n"/>
      <c r="H110" s="27" t="n"/>
      <c r="I110" s="36" t="n"/>
      <c r="J110" s="36" t="n"/>
      <c r="K110" s="34">
        <f>IF(OR(I110="",J110=""),"",(J110-I110)*1440)</f>
        <v/>
      </c>
      <c r="L110" s="37">
        <f>IF(I110="","",I110-TIME(9,0,0))</f>
        <v/>
      </c>
      <c r="M110" s="33" t="n"/>
      <c r="N110" s="32" t="inlineStr">
        <is>
          <t>gon</t>
        </is>
      </c>
      <c r="O110" s="27" t="n"/>
      <c r="P110" s="33" t="n"/>
      <c r="Q110" s="33" t="n"/>
      <c r="R110" s="38" t="n"/>
      <c r="S110" s="28" t="n"/>
      <c r="T110" s="27" t="n"/>
      <c r="U110" s="27" t="n"/>
      <c r="V110" s="27" t="n"/>
    </row>
    <row r="111">
      <c r="A111" s="27" t="n"/>
      <c r="B111" s="27" t="n"/>
      <c r="C111" s="39" t="n"/>
      <c r="D111" s="27" t="n"/>
      <c r="E111" s="27" t="n"/>
      <c r="F111" s="27" t="n"/>
      <c r="G111" s="27" t="n"/>
      <c r="H111" s="27" t="n"/>
      <c r="I111" s="36" t="n"/>
      <c r="J111" s="36" t="n"/>
      <c r="K111" s="34">
        <f>IF(OR(I111="",J111=""),"",(J111-I111)*1440)</f>
        <v/>
      </c>
      <c r="L111" s="37">
        <f>IF(I111="","",I111-TIME(9,0,0))</f>
        <v/>
      </c>
      <c r="M111" s="33" t="n"/>
      <c r="N111" s="32" t="inlineStr">
        <is>
          <t>gon</t>
        </is>
      </c>
      <c r="O111" s="27" t="n"/>
      <c r="P111" s="33" t="n"/>
      <c r="Q111" s="33" t="n"/>
      <c r="R111" s="38" t="n"/>
      <c r="S111" s="28" t="n"/>
      <c r="T111" s="27" t="n"/>
      <c r="U111" s="27" t="n"/>
      <c r="V111" s="27" t="n"/>
    </row>
    <row r="112">
      <c r="A112" s="27" t="n"/>
      <c r="B112" s="27" t="n"/>
      <c r="C112" s="39" t="n"/>
      <c r="D112" s="27" t="n"/>
      <c r="E112" s="27" t="n"/>
      <c r="F112" s="27" t="n"/>
      <c r="G112" s="27" t="n"/>
      <c r="H112" s="27" t="n"/>
      <c r="I112" s="36" t="n"/>
      <c r="J112" s="36" t="n"/>
      <c r="K112" s="34">
        <f>IF(OR(I112="",J112=""),"",(J112-I112)*1440)</f>
        <v/>
      </c>
      <c r="L112" s="37">
        <f>IF(I112="","",I112-TIME(9,0,0))</f>
        <v/>
      </c>
      <c r="M112" s="33" t="n"/>
      <c r="N112" s="32" t="inlineStr">
        <is>
          <t>gon</t>
        </is>
      </c>
      <c r="O112" s="27" t="n"/>
      <c r="P112" s="33" t="n"/>
      <c r="Q112" s="33" t="n"/>
      <c r="R112" s="38" t="n"/>
      <c r="S112" s="28" t="n"/>
      <c r="T112" s="27" t="n"/>
      <c r="U112" s="27" t="n"/>
      <c r="V112" s="27" t="n"/>
    </row>
    <row r="113">
      <c r="A113" s="27" t="n"/>
      <c r="B113" s="27" t="n"/>
      <c r="C113" s="39" t="n"/>
      <c r="D113" s="27" t="n"/>
      <c r="E113" s="27" t="n"/>
      <c r="F113" s="27" t="n"/>
      <c r="G113" s="27" t="n"/>
      <c r="H113" s="27" t="n"/>
      <c r="I113" s="36" t="n"/>
      <c r="J113" s="36" t="n"/>
      <c r="K113" s="34">
        <f>IF(OR(I113="",J113=""),"",(J113-I113)*1440)</f>
        <v/>
      </c>
      <c r="L113" s="37">
        <f>IF(I113="","",I113-TIME(9,0,0))</f>
        <v/>
      </c>
      <c r="M113" s="33" t="n"/>
      <c r="N113" s="32" t="inlineStr">
        <is>
          <t>gon</t>
        </is>
      </c>
      <c r="O113" s="27" t="n"/>
      <c r="P113" s="33" t="n"/>
      <c r="Q113" s="33" t="n"/>
      <c r="R113" s="38" t="n"/>
      <c r="S113" s="28" t="n"/>
      <c r="T113" s="27" t="n"/>
      <c r="U113" s="27" t="n"/>
      <c r="V113" s="27" t="n"/>
    </row>
    <row r="114">
      <c r="A114" s="27" t="n"/>
      <c r="B114" s="27" t="n"/>
      <c r="C114" s="39" t="n"/>
      <c r="D114" s="27" t="n"/>
      <c r="E114" s="27" t="n"/>
      <c r="F114" s="27" t="n"/>
      <c r="G114" s="27" t="n"/>
      <c r="H114" s="27" t="n"/>
      <c r="I114" s="36" t="n"/>
      <c r="J114" s="36" t="n"/>
      <c r="K114" s="34">
        <f>IF(OR(I114="",J114=""),"",(J114-I114)*1440)</f>
        <v/>
      </c>
      <c r="L114" s="37">
        <f>IF(I114="","",I114-TIME(9,0,0))</f>
        <v/>
      </c>
      <c r="M114" s="33" t="n"/>
      <c r="N114" s="32" t="inlineStr">
        <is>
          <t>gon</t>
        </is>
      </c>
      <c r="O114" s="27" t="n"/>
      <c r="P114" s="33" t="n"/>
      <c r="Q114" s="33" t="n"/>
      <c r="R114" s="38" t="n"/>
      <c r="S114" s="28" t="n"/>
      <c r="T114" s="27" t="n"/>
      <c r="U114" s="27" t="n"/>
      <c r="V114" s="27" t="n"/>
    </row>
    <row r="115">
      <c r="A115" s="27" t="n"/>
      <c r="B115" s="27" t="n"/>
      <c r="C115" s="39" t="n"/>
      <c r="D115" s="27" t="n"/>
      <c r="E115" s="27" t="n"/>
      <c r="F115" s="27" t="n"/>
      <c r="G115" s="27" t="n"/>
      <c r="H115" s="27" t="n"/>
      <c r="I115" s="36" t="n"/>
      <c r="J115" s="36" t="n"/>
      <c r="K115" s="34">
        <f>IF(OR(I115="",J115=""),"",(J115-I115)*1440)</f>
        <v/>
      </c>
      <c r="L115" s="37">
        <f>IF(I115="","",I115-TIME(9,0,0))</f>
        <v/>
      </c>
      <c r="M115" s="33" t="n"/>
      <c r="N115" s="32" t="inlineStr">
        <is>
          <t>gon</t>
        </is>
      </c>
      <c r="O115" s="27" t="n"/>
      <c r="P115" s="33" t="n"/>
      <c r="Q115" s="33" t="n"/>
      <c r="R115" s="38" t="n"/>
      <c r="S115" s="28" t="n"/>
      <c r="T115" s="27" t="n"/>
      <c r="U115" s="27" t="n"/>
      <c r="V115" s="27" t="n"/>
    </row>
    <row r="116">
      <c r="A116" s="27" t="n"/>
      <c r="B116" s="27" t="n"/>
      <c r="C116" s="39" t="n"/>
      <c r="D116" s="27" t="n"/>
      <c r="E116" s="27" t="n"/>
      <c r="F116" s="27" t="n"/>
      <c r="G116" s="27" t="n"/>
      <c r="H116" s="27" t="n"/>
      <c r="I116" s="36" t="n"/>
      <c r="J116" s="36" t="n"/>
      <c r="K116" s="34">
        <f>IF(OR(I116="",J116=""),"",(J116-I116)*1440)</f>
        <v/>
      </c>
      <c r="L116" s="37">
        <f>IF(I116="","",I116-TIME(9,0,0))</f>
        <v/>
      </c>
      <c r="M116" s="33" t="n"/>
      <c r="N116" s="32" t="inlineStr">
        <is>
          <t>gon</t>
        </is>
      </c>
      <c r="O116" s="27" t="n"/>
      <c r="P116" s="33" t="n"/>
      <c r="Q116" s="33" t="n"/>
      <c r="R116" s="38" t="n"/>
      <c r="S116" s="28" t="n"/>
      <c r="T116" s="27" t="n"/>
      <c r="U116" s="27" t="n"/>
      <c r="V116" s="27" t="n"/>
    </row>
    <row r="117">
      <c r="A117" s="27" t="n"/>
      <c r="B117" s="27" t="n"/>
      <c r="C117" s="39" t="n"/>
      <c r="D117" s="27" t="n"/>
      <c r="E117" s="27" t="n"/>
      <c r="F117" s="27" t="n"/>
      <c r="G117" s="27" t="n"/>
      <c r="H117" s="27" t="n"/>
      <c r="I117" s="36" t="n"/>
      <c r="J117" s="36" t="n"/>
      <c r="K117" s="34">
        <f>IF(OR(I117="",J117=""),"",(J117-I117)*1440)</f>
        <v/>
      </c>
      <c r="L117" s="37">
        <f>IF(I117="","",I117-TIME(9,0,0))</f>
        <v/>
      </c>
      <c r="M117" s="33" t="n"/>
      <c r="N117" s="32" t="inlineStr">
        <is>
          <t>gon</t>
        </is>
      </c>
      <c r="O117" s="27" t="n"/>
      <c r="P117" s="33" t="n"/>
      <c r="Q117" s="33" t="n"/>
      <c r="R117" s="38" t="n"/>
      <c r="S117" s="28" t="n"/>
      <c r="T117" s="27" t="n"/>
      <c r="U117" s="27" t="n"/>
      <c r="V117" s="27" t="n"/>
    </row>
    <row r="118">
      <c r="A118" s="27" t="n"/>
      <c r="B118" s="27" t="n"/>
      <c r="C118" s="39" t="n"/>
      <c r="D118" s="27" t="n"/>
      <c r="E118" s="27" t="n"/>
      <c r="F118" s="27" t="n"/>
      <c r="G118" s="27" t="n"/>
      <c r="H118" s="27" t="n"/>
      <c r="I118" s="36" t="n"/>
      <c r="J118" s="36" t="n"/>
      <c r="K118" s="34">
        <f>IF(OR(I118="",J118=""),"",(J118-I118)*1440)</f>
        <v/>
      </c>
      <c r="L118" s="37">
        <f>IF(I118="","",I118-TIME(9,0,0))</f>
        <v/>
      </c>
      <c r="M118" s="33" t="n"/>
      <c r="N118" s="32" t="inlineStr">
        <is>
          <t>gon</t>
        </is>
      </c>
      <c r="O118" s="27" t="n"/>
      <c r="P118" s="33" t="n"/>
      <c r="Q118" s="33" t="n"/>
      <c r="R118" s="38" t="n"/>
      <c r="S118" s="28" t="n"/>
      <c r="T118" s="27" t="n"/>
      <c r="U118" s="27" t="n"/>
      <c r="V118" s="27" t="n"/>
    </row>
    <row r="119">
      <c r="A119" s="27" t="n"/>
      <c r="B119" s="27" t="n"/>
      <c r="C119" s="39" t="n"/>
      <c r="D119" s="27" t="n"/>
      <c r="E119" s="27" t="n"/>
      <c r="F119" s="27" t="n"/>
      <c r="G119" s="27" t="n"/>
      <c r="H119" s="27" t="n"/>
      <c r="I119" s="36" t="n"/>
      <c r="J119" s="36" t="n"/>
      <c r="K119" s="34">
        <f>IF(OR(I119="",J119=""),"",(J119-I119)*1440)</f>
        <v/>
      </c>
      <c r="L119" s="37">
        <f>IF(I119="","",I119-TIME(9,0,0))</f>
        <v/>
      </c>
      <c r="M119" s="33" t="n"/>
      <c r="N119" s="32" t="inlineStr">
        <is>
          <t>gon</t>
        </is>
      </c>
      <c r="O119" s="27" t="n"/>
      <c r="P119" s="33" t="n"/>
      <c r="Q119" s="33" t="n"/>
      <c r="R119" s="38" t="n"/>
      <c r="S119" s="28" t="n"/>
      <c r="T119" s="27" t="n"/>
      <c r="U119" s="27" t="n"/>
      <c r="V119" s="27" t="n"/>
    </row>
    <row r="120">
      <c r="A120" s="27" t="n"/>
      <c r="B120" s="27" t="n"/>
      <c r="C120" s="39" t="n"/>
      <c r="D120" s="27" t="n"/>
      <c r="E120" s="27" t="n"/>
      <c r="F120" s="27" t="n"/>
      <c r="G120" s="27" t="n"/>
      <c r="H120" s="27" t="n"/>
      <c r="I120" s="36" t="n"/>
      <c r="J120" s="36" t="n"/>
      <c r="K120" s="34">
        <f>IF(OR(I120="",J120=""),"",(J120-I120)*1440)</f>
        <v/>
      </c>
      <c r="L120" s="37">
        <f>IF(I120="","",I120-TIME(9,0,0))</f>
        <v/>
      </c>
      <c r="M120" s="33" t="n"/>
      <c r="N120" s="32" t="inlineStr">
        <is>
          <t>gon</t>
        </is>
      </c>
      <c r="O120" s="27" t="n"/>
      <c r="P120" s="33" t="n"/>
      <c r="Q120" s="33" t="n"/>
      <c r="R120" s="38" t="n"/>
      <c r="S120" s="28" t="n"/>
      <c r="T120" s="27" t="n"/>
      <c r="U120" s="27" t="n"/>
      <c r="V120" s="27" t="n"/>
    </row>
    <row r="121">
      <c r="A121" s="27" t="n"/>
      <c r="B121" s="27" t="n"/>
      <c r="C121" s="39" t="n"/>
      <c r="D121" s="27" t="n"/>
      <c r="E121" s="27" t="n"/>
      <c r="F121" s="27" t="n"/>
      <c r="G121" s="27" t="n"/>
      <c r="H121" s="27" t="n"/>
      <c r="I121" s="36" t="n"/>
      <c r="J121" s="36" t="n"/>
      <c r="K121" s="34">
        <f>IF(OR(I121="",J121=""),"",(J121-I121)*1440)</f>
        <v/>
      </c>
      <c r="L121" s="37">
        <f>IF(I121="","",I121-TIME(9,0,0))</f>
        <v/>
      </c>
      <c r="M121" s="33" t="n"/>
      <c r="N121" s="32" t="inlineStr">
        <is>
          <t>gon</t>
        </is>
      </c>
      <c r="O121" s="27" t="n"/>
      <c r="P121" s="33" t="n"/>
      <c r="Q121" s="33" t="n"/>
      <c r="R121" s="38" t="n"/>
      <c r="S121" s="28" t="n"/>
      <c r="T121" s="27" t="n"/>
      <c r="U121" s="27" t="n"/>
      <c r="V121" s="27" t="n"/>
    </row>
    <row r="122">
      <c r="A122" s="27" t="n"/>
      <c r="B122" s="27" t="n"/>
      <c r="C122" s="39" t="n"/>
      <c r="D122" s="27" t="n"/>
      <c r="E122" s="27" t="n"/>
      <c r="F122" s="27" t="n"/>
      <c r="G122" s="27" t="n"/>
      <c r="H122" s="27" t="n"/>
      <c r="I122" s="36" t="n"/>
      <c r="J122" s="36" t="n"/>
      <c r="K122" s="34">
        <f>IF(OR(I122="",J122=""),"",(J122-I122)*1440)</f>
        <v/>
      </c>
      <c r="L122" s="37">
        <f>IF(I122="","",I122-TIME(9,0,0))</f>
        <v/>
      </c>
      <c r="M122" s="33" t="n"/>
      <c r="N122" s="32" t="inlineStr">
        <is>
          <t>gon</t>
        </is>
      </c>
      <c r="O122" s="27" t="n"/>
      <c r="P122" s="33" t="n"/>
      <c r="Q122" s="33" t="n"/>
      <c r="R122" s="38" t="n"/>
      <c r="S122" s="28" t="n"/>
      <c r="T122" s="27" t="n"/>
      <c r="U122" s="27" t="n"/>
      <c r="V122" s="27" t="n"/>
    </row>
    <row r="123">
      <c r="A123" s="27" t="n"/>
      <c r="B123" s="27" t="n"/>
      <c r="C123" s="39" t="n"/>
      <c r="D123" s="27" t="n"/>
      <c r="E123" s="27" t="n"/>
      <c r="F123" s="27" t="n"/>
      <c r="G123" s="27" t="n"/>
      <c r="H123" s="27" t="n"/>
      <c r="I123" s="36" t="n"/>
      <c r="J123" s="36" t="n"/>
      <c r="K123" s="34">
        <f>IF(OR(I123="",J123=""),"",(J123-I123)*1440)</f>
        <v/>
      </c>
      <c r="L123" s="37">
        <f>IF(I123="","",I123-TIME(9,0,0))</f>
        <v/>
      </c>
      <c r="M123" s="33" t="n"/>
      <c r="N123" s="32" t="inlineStr">
        <is>
          <t>gon</t>
        </is>
      </c>
      <c r="O123" s="27" t="n"/>
      <c r="P123" s="33" t="n"/>
      <c r="Q123" s="33" t="n"/>
      <c r="R123" s="38" t="n"/>
      <c r="S123" s="28" t="n"/>
      <c r="T123" s="27" t="n"/>
      <c r="U123" s="27" t="n"/>
      <c r="V123" s="27" t="n"/>
    </row>
    <row r="124">
      <c r="A124" s="27" t="n"/>
      <c r="B124" s="27" t="n"/>
      <c r="C124" s="39" t="n"/>
      <c r="D124" s="27" t="n"/>
      <c r="E124" s="27" t="n"/>
      <c r="F124" s="27" t="n"/>
      <c r="G124" s="27" t="n"/>
      <c r="H124" s="27" t="n"/>
      <c r="I124" s="36" t="n"/>
      <c r="J124" s="36" t="n"/>
      <c r="K124" s="34">
        <f>IF(OR(I124="",J124=""),"",(J124-I124)*1440)</f>
        <v/>
      </c>
      <c r="L124" s="37">
        <f>IF(I124="","",I124-TIME(9,0,0))</f>
        <v/>
      </c>
      <c r="M124" s="33" t="n"/>
      <c r="N124" s="32" t="inlineStr">
        <is>
          <t>gon</t>
        </is>
      </c>
      <c r="O124" s="27" t="n"/>
      <c r="P124" s="33" t="n"/>
      <c r="Q124" s="33" t="n"/>
      <c r="R124" s="38" t="n"/>
      <c r="S124" s="28" t="n"/>
      <c r="T124" s="27" t="n"/>
      <c r="U124" s="27" t="n"/>
      <c r="V124" s="27" t="n"/>
    </row>
    <row r="125">
      <c r="A125" s="27" t="n"/>
      <c r="B125" s="27" t="n"/>
      <c r="C125" s="39" t="n"/>
      <c r="D125" s="27" t="n"/>
      <c r="E125" s="27" t="n"/>
      <c r="F125" s="27" t="n"/>
      <c r="G125" s="27" t="n"/>
      <c r="H125" s="27" t="n"/>
      <c r="I125" s="36" t="n"/>
      <c r="J125" s="36" t="n"/>
      <c r="K125" s="34">
        <f>IF(OR(I125="",J125=""),"",(J125-I125)*1440)</f>
        <v/>
      </c>
      <c r="L125" s="37">
        <f>IF(I125="","",I125-TIME(9,0,0))</f>
        <v/>
      </c>
      <c r="M125" s="33" t="n"/>
      <c r="N125" s="32" t="inlineStr">
        <is>
          <t>gon</t>
        </is>
      </c>
      <c r="O125" s="27" t="n"/>
      <c r="P125" s="33" t="n"/>
      <c r="Q125" s="33" t="n"/>
      <c r="R125" s="38" t="n"/>
      <c r="S125" s="28" t="n"/>
      <c r="T125" s="27" t="n"/>
      <c r="U125" s="27" t="n"/>
      <c r="V125" s="27" t="n"/>
    </row>
    <row r="126">
      <c r="A126" s="27" t="n"/>
      <c r="B126" s="27" t="n"/>
      <c r="C126" s="39" t="n"/>
      <c r="D126" s="27" t="n"/>
      <c r="E126" s="27" t="n"/>
      <c r="F126" s="27" t="n"/>
      <c r="G126" s="27" t="n"/>
      <c r="H126" s="27" t="n"/>
      <c r="I126" s="36" t="n"/>
      <c r="J126" s="36" t="n"/>
      <c r="K126" s="34">
        <f>IF(OR(I126="",J126=""),"",(J126-I126)*1440)</f>
        <v/>
      </c>
      <c r="L126" s="37">
        <f>IF(I126="","",I126-TIME(9,0,0))</f>
        <v/>
      </c>
      <c r="M126" s="33" t="n"/>
      <c r="N126" s="32" t="inlineStr">
        <is>
          <t>gon</t>
        </is>
      </c>
      <c r="O126" s="27" t="n"/>
      <c r="P126" s="33" t="n"/>
      <c r="Q126" s="33" t="n"/>
      <c r="R126" s="38" t="n"/>
      <c r="S126" s="28" t="n"/>
      <c r="T126" s="27" t="n"/>
      <c r="U126" s="27" t="n"/>
      <c r="V126" s="27" t="n"/>
    </row>
    <row r="127">
      <c r="A127" s="27" t="n"/>
      <c r="B127" s="27" t="n"/>
      <c r="C127" s="39" t="n"/>
      <c r="D127" s="27" t="n"/>
      <c r="E127" s="27" t="n"/>
      <c r="F127" s="27" t="n"/>
      <c r="G127" s="27" t="n"/>
      <c r="H127" s="27" t="n"/>
      <c r="I127" s="36" t="n"/>
      <c r="J127" s="36" t="n"/>
      <c r="K127" s="34">
        <f>IF(OR(I127="",J127=""),"",(J127-I127)*1440)</f>
        <v/>
      </c>
      <c r="L127" s="37">
        <f>IF(I127="","",I127-TIME(9,0,0))</f>
        <v/>
      </c>
      <c r="M127" s="33" t="n"/>
      <c r="N127" s="32" t="inlineStr">
        <is>
          <t>gon</t>
        </is>
      </c>
      <c r="O127" s="27" t="n"/>
      <c r="P127" s="33" t="n"/>
      <c r="Q127" s="33" t="n"/>
      <c r="R127" s="38" t="n"/>
      <c r="S127" s="28" t="n"/>
      <c r="T127" s="27" t="n"/>
      <c r="U127" s="27" t="n"/>
      <c r="V127" s="27" t="n"/>
    </row>
    <row r="128">
      <c r="A128" s="27" t="n"/>
      <c r="B128" s="27" t="n"/>
      <c r="C128" s="39" t="n"/>
      <c r="D128" s="27" t="n"/>
      <c r="E128" s="27" t="n"/>
      <c r="F128" s="27" t="n"/>
      <c r="G128" s="27" t="n"/>
      <c r="H128" s="27" t="n"/>
      <c r="I128" s="36" t="n"/>
      <c r="J128" s="36" t="n"/>
      <c r="K128" s="34">
        <f>IF(OR(I128="",J128=""),"",(J128-I128)*1440)</f>
        <v/>
      </c>
      <c r="L128" s="37">
        <f>IF(I128="","",I128-TIME(9,0,0))</f>
        <v/>
      </c>
      <c r="M128" s="33" t="n"/>
      <c r="N128" s="32" t="inlineStr">
        <is>
          <t>gon</t>
        </is>
      </c>
      <c r="O128" s="27" t="n"/>
      <c r="P128" s="33" t="n"/>
      <c r="Q128" s="33" t="n"/>
      <c r="R128" s="38" t="n"/>
      <c r="S128" s="28" t="n"/>
      <c r="T128" s="27" t="n"/>
      <c r="U128" s="27" t="n"/>
      <c r="V128" s="27" t="n"/>
    </row>
    <row r="129">
      <c r="A129" s="27" t="n"/>
      <c r="B129" s="27" t="n"/>
      <c r="C129" s="39" t="n"/>
      <c r="D129" s="27" t="n"/>
      <c r="E129" s="27" t="n"/>
      <c r="F129" s="27" t="n"/>
      <c r="G129" s="27" t="n"/>
      <c r="H129" s="27" t="n"/>
      <c r="I129" s="36" t="n"/>
      <c r="J129" s="36" t="n"/>
      <c r="K129" s="34">
        <f>IF(OR(I129="",J129=""),"",(J129-I129)*1440)</f>
        <v/>
      </c>
      <c r="L129" s="37">
        <f>IF(I129="","",I129-TIME(9,0,0))</f>
        <v/>
      </c>
      <c r="M129" s="33" t="n"/>
      <c r="N129" s="32" t="inlineStr">
        <is>
          <t>gon</t>
        </is>
      </c>
      <c r="O129" s="27" t="n"/>
      <c r="P129" s="33" t="n"/>
      <c r="Q129" s="33" t="n"/>
      <c r="R129" s="38" t="n"/>
      <c r="S129" s="28" t="n"/>
      <c r="T129" s="27" t="n"/>
      <c r="U129" s="27" t="n"/>
      <c r="V129" s="27" t="n"/>
    </row>
    <row r="130">
      <c r="A130" s="27" t="n"/>
      <c r="B130" s="27" t="n"/>
      <c r="C130" s="39" t="n"/>
      <c r="D130" s="27" t="n"/>
      <c r="E130" s="27" t="n"/>
      <c r="F130" s="27" t="n"/>
      <c r="G130" s="27" t="n"/>
      <c r="H130" s="27" t="n"/>
      <c r="I130" s="36" t="n"/>
      <c r="J130" s="36" t="n"/>
      <c r="K130" s="34">
        <f>IF(OR(I130="",J130=""),"",(J130-I130)*1440)</f>
        <v/>
      </c>
      <c r="L130" s="37">
        <f>IF(I130="","",I130-TIME(9,0,0))</f>
        <v/>
      </c>
      <c r="M130" s="33" t="n"/>
      <c r="N130" s="32" t="inlineStr">
        <is>
          <t>gon</t>
        </is>
      </c>
      <c r="O130" s="27" t="n"/>
      <c r="P130" s="33" t="n"/>
      <c r="Q130" s="33" t="n"/>
      <c r="R130" s="38" t="n"/>
      <c r="S130" s="28" t="n"/>
      <c r="T130" s="27" t="n"/>
      <c r="U130" s="27" t="n"/>
      <c r="V130" s="27" t="n"/>
    </row>
    <row r="131">
      <c r="A131" s="27" t="n"/>
      <c r="B131" s="27" t="n"/>
      <c r="C131" s="39" t="n"/>
      <c r="D131" s="27" t="n"/>
      <c r="E131" s="27" t="n"/>
      <c r="F131" s="27" t="n"/>
      <c r="G131" s="27" t="n"/>
      <c r="H131" s="27" t="n"/>
      <c r="I131" s="36" t="n"/>
      <c r="J131" s="36" t="n"/>
      <c r="K131" s="34">
        <f>IF(OR(I131="",J131=""),"",(J131-I131)*1440)</f>
        <v/>
      </c>
      <c r="L131" s="37">
        <f>IF(I131="","",I131-TIME(9,0,0))</f>
        <v/>
      </c>
      <c r="M131" s="33" t="n"/>
      <c r="N131" s="32" t="inlineStr">
        <is>
          <t>gon</t>
        </is>
      </c>
      <c r="O131" s="27" t="n"/>
      <c r="P131" s="33" t="n"/>
      <c r="Q131" s="33" t="n"/>
      <c r="R131" s="38" t="n"/>
      <c r="S131" s="28" t="n"/>
      <c r="T131" s="27" t="n"/>
      <c r="U131" s="27" t="n"/>
      <c r="V131" s="27" t="n"/>
    </row>
    <row r="132">
      <c r="A132" s="27" t="n"/>
      <c r="B132" s="27" t="n"/>
      <c r="C132" s="39" t="n"/>
      <c r="D132" s="27" t="n"/>
      <c r="E132" s="27" t="n"/>
      <c r="F132" s="27" t="n"/>
      <c r="G132" s="27" t="n"/>
      <c r="H132" s="27" t="n"/>
      <c r="I132" s="36" t="n"/>
      <c r="J132" s="36" t="n"/>
      <c r="K132" s="34">
        <f>IF(OR(I132="",J132=""),"",(J132-I132)*1440)</f>
        <v/>
      </c>
      <c r="L132" s="37">
        <f>IF(I132="","",I132-TIME(9,0,0))</f>
        <v/>
      </c>
      <c r="M132" s="33" t="n"/>
      <c r="N132" s="32" t="inlineStr">
        <is>
          <t>gon</t>
        </is>
      </c>
      <c r="O132" s="27" t="n"/>
      <c r="P132" s="33" t="n"/>
      <c r="Q132" s="33" t="n"/>
      <c r="R132" s="38" t="n"/>
      <c r="S132" s="28" t="n"/>
      <c r="T132" s="27" t="n"/>
      <c r="U132" s="27" t="n"/>
      <c r="V132" s="27" t="n"/>
    </row>
    <row r="133">
      <c r="A133" s="27" t="n"/>
      <c r="B133" s="27" t="n"/>
      <c r="C133" s="39" t="n"/>
      <c r="D133" s="27" t="n"/>
      <c r="E133" s="27" t="n"/>
      <c r="F133" s="27" t="n"/>
      <c r="G133" s="27" t="n"/>
      <c r="H133" s="27" t="n"/>
      <c r="I133" s="36" t="n"/>
      <c r="J133" s="36" t="n"/>
      <c r="K133" s="34">
        <f>IF(OR(I133="",J133=""),"",(J133-I133)*1440)</f>
        <v/>
      </c>
      <c r="L133" s="37">
        <f>IF(I133="","",I133-TIME(9,0,0))</f>
        <v/>
      </c>
      <c r="M133" s="33" t="n"/>
      <c r="N133" s="32" t="inlineStr">
        <is>
          <t>gon</t>
        </is>
      </c>
      <c r="O133" s="27" t="n"/>
      <c r="P133" s="33" t="n"/>
      <c r="Q133" s="33" t="n"/>
      <c r="R133" s="38" t="n"/>
      <c r="S133" s="28" t="n"/>
      <c r="T133" s="27" t="n"/>
      <c r="U133" s="27" t="n"/>
      <c r="V133" s="27" t="n"/>
    </row>
    <row r="134">
      <c r="A134" s="27" t="n"/>
      <c r="B134" s="27" t="n"/>
      <c r="C134" s="39" t="n"/>
      <c r="D134" s="27" t="n"/>
      <c r="E134" s="27" t="n"/>
      <c r="F134" s="27" t="n"/>
      <c r="G134" s="27" t="n"/>
      <c r="H134" s="27" t="n"/>
      <c r="I134" s="36" t="n"/>
      <c r="J134" s="36" t="n"/>
      <c r="K134" s="34">
        <f>IF(OR(I134="",J134=""),"",(J134-I134)*1440)</f>
        <v/>
      </c>
      <c r="L134" s="37">
        <f>IF(I134="","",I134-TIME(9,0,0))</f>
        <v/>
      </c>
      <c r="M134" s="33" t="n"/>
      <c r="N134" s="32" t="inlineStr">
        <is>
          <t>gon</t>
        </is>
      </c>
      <c r="O134" s="27" t="n"/>
      <c r="P134" s="33" t="n"/>
      <c r="Q134" s="33" t="n"/>
      <c r="R134" s="38" t="n"/>
      <c r="S134" s="28" t="n"/>
      <c r="T134" s="27" t="n"/>
      <c r="U134" s="27" t="n"/>
      <c r="V134" s="27" t="n"/>
    </row>
    <row r="135">
      <c r="A135" s="27" t="n"/>
      <c r="B135" s="27" t="n"/>
      <c r="C135" s="39" t="n"/>
      <c r="D135" s="27" t="n"/>
      <c r="E135" s="27" t="n"/>
      <c r="F135" s="27" t="n"/>
      <c r="G135" s="27" t="n"/>
      <c r="H135" s="27" t="n"/>
      <c r="I135" s="36" t="n"/>
      <c r="J135" s="36" t="n"/>
      <c r="K135" s="34">
        <f>IF(OR(I135="",J135=""),"",(J135-I135)*1440)</f>
        <v/>
      </c>
      <c r="L135" s="37">
        <f>IF(I135="","",I135-TIME(9,0,0))</f>
        <v/>
      </c>
      <c r="M135" s="33" t="n"/>
      <c r="N135" s="32" t="inlineStr">
        <is>
          <t>gon</t>
        </is>
      </c>
      <c r="O135" s="27" t="n"/>
      <c r="P135" s="33" t="n"/>
      <c r="Q135" s="33" t="n"/>
      <c r="R135" s="38" t="n"/>
      <c r="S135" s="28" t="n"/>
      <c r="T135" s="27" t="n"/>
      <c r="U135" s="27" t="n"/>
      <c r="V135" s="27" t="n"/>
    </row>
    <row r="136">
      <c r="A136" s="27" t="n"/>
      <c r="B136" s="27" t="n"/>
      <c r="C136" s="39" t="n"/>
      <c r="D136" s="27" t="n"/>
      <c r="E136" s="27" t="n"/>
      <c r="F136" s="27" t="n"/>
      <c r="G136" s="27" t="n"/>
      <c r="H136" s="27" t="n"/>
      <c r="I136" s="36" t="n"/>
      <c r="J136" s="36" t="n"/>
      <c r="K136" s="34">
        <f>IF(OR(I136="",J136=""),"",(J136-I136)*1440)</f>
        <v/>
      </c>
      <c r="L136" s="37">
        <f>IF(I136="","",I136-TIME(9,0,0))</f>
        <v/>
      </c>
      <c r="M136" s="33" t="n"/>
      <c r="N136" s="32" t="inlineStr">
        <is>
          <t>gon</t>
        </is>
      </c>
      <c r="O136" s="27" t="n"/>
      <c r="P136" s="33" t="n"/>
      <c r="Q136" s="33" t="n"/>
      <c r="R136" s="38" t="n"/>
      <c r="S136" s="28" t="n"/>
      <c r="T136" s="27" t="n"/>
      <c r="U136" s="27" t="n"/>
      <c r="V136" s="27" t="n"/>
    </row>
    <row r="137">
      <c r="A137" s="27" t="n"/>
      <c r="B137" s="27" t="n"/>
      <c r="C137" s="39" t="n"/>
      <c r="D137" s="27" t="n"/>
      <c r="E137" s="27" t="n"/>
      <c r="F137" s="27" t="n"/>
      <c r="G137" s="27" t="n"/>
      <c r="H137" s="27" t="n"/>
      <c r="I137" s="36" t="n"/>
      <c r="J137" s="36" t="n"/>
      <c r="K137" s="34">
        <f>IF(OR(I137="",J137=""),"",(J137-I137)*1440)</f>
        <v/>
      </c>
      <c r="L137" s="37">
        <f>IF(I137="","",I137-TIME(9,0,0))</f>
        <v/>
      </c>
      <c r="M137" s="33" t="n"/>
      <c r="N137" s="32" t="inlineStr">
        <is>
          <t>gon</t>
        </is>
      </c>
      <c r="O137" s="27" t="n"/>
      <c r="P137" s="33" t="n"/>
      <c r="Q137" s="33" t="n"/>
      <c r="R137" s="38" t="n"/>
      <c r="S137" s="28" t="n"/>
      <c r="T137" s="27" t="n"/>
      <c r="U137" s="27" t="n"/>
      <c r="V137" s="27" t="n"/>
    </row>
    <row r="138">
      <c r="A138" s="27" t="n"/>
      <c r="B138" s="27" t="n"/>
      <c r="C138" s="39" t="n"/>
      <c r="D138" s="27" t="n"/>
      <c r="E138" s="27" t="n"/>
      <c r="F138" s="27" t="n"/>
      <c r="G138" s="27" t="n"/>
      <c r="H138" s="27" t="n"/>
      <c r="I138" s="36" t="n"/>
      <c r="J138" s="36" t="n"/>
      <c r="K138" s="34">
        <f>IF(OR(I138="",J138=""),"",(J138-I138)*1440)</f>
        <v/>
      </c>
      <c r="L138" s="37">
        <f>IF(I138="","",I138-TIME(9,0,0))</f>
        <v/>
      </c>
      <c r="M138" s="33" t="n"/>
      <c r="N138" s="32" t="inlineStr">
        <is>
          <t>gon</t>
        </is>
      </c>
      <c r="O138" s="27" t="n"/>
      <c r="P138" s="33" t="n"/>
      <c r="Q138" s="33" t="n"/>
      <c r="R138" s="38" t="n"/>
      <c r="S138" s="28" t="n"/>
      <c r="T138" s="27" t="n"/>
      <c r="U138" s="27" t="n"/>
      <c r="V138" s="27" t="n"/>
    </row>
    <row r="139">
      <c r="A139" s="27" t="n"/>
      <c r="B139" s="27" t="n"/>
      <c r="C139" s="39" t="n"/>
      <c r="D139" s="27" t="n"/>
      <c r="E139" s="27" t="n"/>
      <c r="F139" s="27" t="n"/>
      <c r="G139" s="27" t="n"/>
      <c r="H139" s="27" t="n"/>
      <c r="I139" s="36" t="n"/>
      <c r="J139" s="36" t="n"/>
      <c r="K139" s="34">
        <f>IF(OR(I139="",J139=""),"",(J139-I139)*1440)</f>
        <v/>
      </c>
      <c r="L139" s="37">
        <f>IF(I139="","",I139-TIME(9,0,0))</f>
        <v/>
      </c>
      <c r="M139" s="33" t="n"/>
      <c r="N139" s="32" t="inlineStr">
        <is>
          <t>gon</t>
        </is>
      </c>
      <c r="O139" s="27" t="n"/>
      <c r="P139" s="33" t="n"/>
      <c r="Q139" s="33" t="n"/>
      <c r="R139" s="38" t="n"/>
      <c r="S139" s="28" t="n"/>
      <c r="T139" s="27" t="n"/>
      <c r="U139" s="27" t="n"/>
      <c r="V139" s="27" t="n"/>
    </row>
    <row r="140">
      <c r="A140" s="27" t="n"/>
      <c r="B140" s="27" t="n"/>
      <c r="C140" s="39" t="n"/>
      <c r="D140" s="27" t="n"/>
      <c r="E140" s="27" t="n"/>
      <c r="F140" s="27" t="n"/>
      <c r="G140" s="27" t="n"/>
      <c r="H140" s="27" t="n"/>
      <c r="I140" s="36" t="n"/>
      <c r="J140" s="36" t="n"/>
      <c r="K140" s="34">
        <f>IF(OR(I140="",J140=""),"",(J140-I140)*1440)</f>
        <v/>
      </c>
      <c r="L140" s="37">
        <f>IF(I140="","",I140-TIME(9,0,0))</f>
        <v/>
      </c>
      <c r="M140" s="33" t="n"/>
      <c r="N140" s="32" t="inlineStr">
        <is>
          <t>gon</t>
        </is>
      </c>
      <c r="O140" s="27" t="n"/>
      <c r="P140" s="33" t="n"/>
      <c r="Q140" s="33" t="n"/>
      <c r="R140" s="38" t="n"/>
      <c r="S140" s="28" t="n"/>
      <c r="T140" s="27" t="n"/>
      <c r="U140" s="27" t="n"/>
      <c r="V140" s="27" t="n"/>
    </row>
    <row r="141">
      <c r="A141" s="27" t="n"/>
      <c r="B141" s="27" t="n"/>
      <c r="C141" s="39" t="n"/>
      <c r="D141" s="27" t="n"/>
      <c r="E141" s="27" t="n"/>
      <c r="F141" s="27" t="n"/>
      <c r="G141" s="27" t="n"/>
      <c r="H141" s="27" t="n"/>
      <c r="I141" s="36" t="n"/>
      <c r="J141" s="36" t="n"/>
      <c r="K141" s="34">
        <f>IF(OR(I141="",J141=""),"",(J141-I141)*1440)</f>
        <v/>
      </c>
      <c r="L141" s="37">
        <f>IF(I141="","",I141-TIME(9,0,0))</f>
        <v/>
      </c>
      <c r="M141" s="33" t="n"/>
      <c r="N141" s="32" t="inlineStr">
        <is>
          <t>gon</t>
        </is>
      </c>
      <c r="O141" s="27" t="n"/>
      <c r="P141" s="33" t="n"/>
      <c r="Q141" s="33" t="n"/>
      <c r="R141" s="38" t="n"/>
      <c r="S141" s="28" t="n"/>
      <c r="T141" s="27" t="n"/>
      <c r="U141" s="27" t="n"/>
      <c r="V141" s="27" t="n"/>
    </row>
    <row r="142">
      <c r="A142" s="27" t="n"/>
      <c r="B142" s="27" t="n"/>
      <c r="C142" s="39" t="n"/>
      <c r="D142" s="27" t="n"/>
      <c r="E142" s="27" t="n"/>
      <c r="F142" s="27" t="n"/>
      <c r="G142" s="27" t="n"/>
      <c r="H142" s="27" t="n"/>
      <c r="I142" s="36" t="n"/>
      <c r="J142" s="36" t="n"/>
      <c r="K142" s="34">
        <f>IF(OR(I142="",J142=""),"",(J142-I142)*1440)</f>
        <v/>
      </c>
      <c r="L142" s="37">
        <f>IF(I142="","",I142-TIME(9,0,0))</f>
        <v/>
      </c>
      <c r="M142" s="33" t="n"/>
      <c r="N142" s="32" t="inlineStr">
        <is>
          <t>gon</t>
        </is>
      </c>
      <c r="O142" s="27" t="n"/>
      <c r="P142" s="33" t="n"/>
      <c r="Q142" s="33" t="n"/>
      <c r="R142" s="38" t="n"/>
      <c r="S142" s="28" t="n"/>
      <c r="T142" s="27" t="n"/>
      <c r="U142" s="27" t="n"/>
      <c r="V142" s="27" t="n"/>
    </row>
    <row r="143">
      <c r="A143" s="27" t="n"/>
      <c r="B143" s="27" t="n"/>
      <c r="C143" s="39" t="n"/>
      <c r="D143" s="27" t="n"/>
      <c r="E143" s="27" t="n"/>
      <c r="F143" s="27" t="n"/>
      <c r="G143" s="27" t="n"/>
      <c r="H143" s="27" t="n"/>
      <c r="I143" s="36" t="n"/>
      <c r="J143" s="36" t="n"/>
      <c r="K143" s="34">
        <f>IF(OR(I143="",J143=""),"",(J143-I143)*1440)</f>
        <v/>
      </c>
      <c r="L143" s="37">
        <f>IF(I143="","",I143-TIME(9,0,0))</f>
        <v/>
      </c>
      <c r="M143" s="33" t="n"/>
      <c r="N143" s="32" t="inlineStr">
        <is>
          <t>gon</t>
        </is>
      </c>
      <c r="O143" s="27" t="n"/>
      <c r="P143" s="33" t="n"/>
      <c r="Q143" s="33" t="n"/>
      <c r="R143" s="38" t="n"/>
      <c r="S143" s="28" t="n"/>
      <c r="T143" s="27" t="n"/>
      <c r="U143" s="27" t="n"/>
      <c r="V143" s="27" t="n"/>
    </row>
    <row r="144">
      <c r="A144" s="27" t="n"/>
      <c r="B144" s="27" t="n"/>
      <c r="C144" s="39" t="n"/>
      <c r="D144" s="27" t="n"/>
      <c r="E144" s="27" t="n"/>
      <c r="F144" s="27" t="n"/>
      <c r="G144" s="27" t="n"/>
      <c r="H144" s="27" t="n"/>
      <c r="I144" s="36" t="n"/>
      <c r="J144" s="36" t="n"/>
      <c r="K144" s="34">
        <f>IF(OR(I144="",J144=""),"",(J144-I144)*1440)</f>
        <v/>
      </c>
      <c r="L144" s="37">
        <f>IF(I144="","",I144-TIME(9,0,0))</f>
        <v/>
      </c>
      <c r="M144" s="33" t="n"/>
      <c r="N144" s="32" t="inlineStr">
        <is>
          <t>gon</t>
        </is>
      </c>
      <c r="O144" s="27" t="n"/>
      <c r="P144" s="33" t="n"/>
      <c r="Q144" s="33" t="n"/>
      <c r="R144" s="38" t="n"/>
      <c r="S144" s="28" t="n"/>
      <c r="T144" s="27" t="n"/>
      <c r="U144" s="27" t="n"/>
      <c r="V144" s="27" t="n"/>
    </row>
    <row r="145">
      <c r="A145" s="27" t="n"/>
      <c r="B145" s="27" t="n"/>
      <c r="C145" s="39" t="n"/>
      <c r="D145" s="27" t="n"/>
      <c r="E145" s="27" t="n"/>
      <c r="F145" s="27" t="n"/>
      <c r="G145" s="27" t="n"/>
      <c r="H145" s="27" t="n"/>
      <c r="I145" s="36" t="n"/>
      <c r="J145" s="36" t="n"/>
      <c r="K145" s="34">
        <f>IF(OR(I145="",J145=""),"",(J145-I145)*1440)</f>
        <v/>
      </c>
      <c r="L145" s="37">
        <f>IF(I145="","",I145-TIME(9,0,0))</f>
        <v/>
      </c>
      <c r="M145" s="33" t="n"/>
      <c r="N145" s="32" t="inlineStr">
        <is>
          <t>gon</t>
        </is>
      </c>
      <c r="O145" s="27" t="n"/>
      <c r="P145" s="33" t="n"/>
      <c r="Q145" s="33" t="n"/>
      <c r="R145" s="38" t="n"/>
      <c r="S145" s="28" t="n"/>
      <c r="T145" s="27" t="n"/>
      <c r="U145" s="27" t="n"/>
      <c r="V145" s="27" t="n"/>
    </row>
    <row r="146">
      <c r="A146" s="27" t="n"/>
      <c r="B146" s="27" t="n"/>
      <c r="C146" s="39" t="n"/>
      <c r="D146" s="27" t="n"/>
      <c r="E146" s="27" t="n"/>
      <c r="F146" s="27" t="n"/>
      <c r="G146" s="27" t="n"/>
      <c r="H146" s="27" t="n"/>
      <c r="I146" s="36" t="n"/>
      <c r="J146" s="36" t="n"/>
      <c r="K146" s="34">
        <f>IF(OR(I146="",J146=""),"",(J146-I146)*1440)</f>
        <v/>
      </c>
      <c r="L146" s="37">
        <f>IF(I146="","",I146-TIME(9,0,0))</f>
        <v/>
      </c>
      <c r="M146" s="33" t="n"/>
      <c r="N146" s="32" t="inlineStr">
        <is>
          <t>gon</t>
        </is>
      </c>
      <c r="O146" s="27" t="n"/>
      <c r="P146" s="33" t="n"/>
      <c r="Q146" s="33" t="n"/>
      <c r="R146" s="38" t="n"/>
      <c r="S146" s="28" t="n"/>
      <c r="T146" s="27" t="n"/>
      <c r="U146" s="27" t="n"/>
      <c r="V146" s="27" t="n"/>
    </row>
    <row r="147">
      <c r="A147" s="27" t="n"/>
      <c r="B147" s="27" t="n"/>
      <c r="C147" s="39" t="n"/>
      <c r="D147" s="27" t="n"/>
      <c r="E147" s="27" t="n"/>
      <c r="F147" s="27" t="n"/>
      <c r="G147" s="27" t="n"/>
      <c r="H147" s="27" t="n"/>
      <c r="I147" s="36" t="n"/>
      <c r="J147" s="36" t="n"/>
      <c r="K147" s="34">
        <f>IF(OR(I147="",J147=""),"",(J147-I147)*1440)</f>
        <v/>
      </c>
      <c r="L147" s="37">
        <f>IF(I147="","",I147-TIME(9,0,0))</f>
        <v/>
      </c>
      <c r="M147" s="33" t="n"/>
      <c r="N147" s="32" t="inlineStr">
        <is>
          <t>gon</t>
        </is>
      </c>
      <c r="O147" s="27" t="n"/>
      <c r="P147" s="33" t="n"/>
      <c r="Q147" s="33" t="n"/>
      <c r="R147" s="38" t="n"/>
      <c r="S147" s="28" t="n"/>
      <c r="T147" s="27" t="n"/>
      <c r="U147" s="27" t="n"/>
      <c r="V147" s="27" t="n"/>
    </row>
    <row r="148">
      <c r="A148" s="27" t="n"/>
      <c r="B148" s="27" t="n"/>
      <c r="C148" s="39" t="n"/>
      <c r="D148" s="27" t="n"/>
      <c r="E148" s="27" t="n"/>
      <c r="F148" s="27" t="n"/>
      <c r="G148" s="27" t="n"/>
      <c r="H148" s="27" t="n"/>
      <c r="I148" s="36" t="n"/>
      <c r="J148" s="36" t="n"/>
      <c r="K148" s="34">
        <f>IF(OR(I148="",J148=""),"",(J148-I148)*1440)</f>
        <v/>
      </c>
      <c r="L148" s="37">
        <f>IF(I148="","",I148-TIME(9,0,0))</f>
        <v/>
      </c>
      <c r="M148" s="33" t="n"/>
      <c r="N148" s="32" t="inlineStr">
        <is>
          <t>gon</t>
        </is>
      </c>
      <c r="O148" s="27" t="n"/>
      <c r="P148" s="33" t="n"/>
      <c r="Q148" s="33" t="n"/>
      <c r="R148" s="38" t="n"/>
      <c r="S148" s="28" t="n"/>
      <c r="T148" s="27" t="n"/>
      <c r="U148" s="27" t="n"/>
      <c r="V148" s="27" t="n"/>
    </row>
    <row r="149">
      <c r="A149" s="27" t="n"/>
      <c r="B149" s="27" t="n"/>
      <c r="C149" s="39" t="n"/>
      <c r="D149" s="27" t="n"/>
      <c r="E149" s="27" t="n"/>
      <c r="F149" s="27" t="n"/>
      <c r="G149" s="27" t="n"/>
      <c r="H149" s="27" t="n"/>
      <c r="I149" s="36" t="n"/>
      <c r="J149" s="36" t="n"/>
      <c r="K149" s="34">
        <f>IF(OR(I149="",J149=""),"",(J149-I149)*1440)</f>
        <v/>
      </c>
      <c r="L149" s="37">
        <f>IF(I149="","",I149-TIME(9,0,0))</f>
        <v/>
      </c>
      <c r="M149" s="33" t="n"/>
      <c r="N149" s="32" t="inlineStr">
        <is>
          <t>gon</t>
        </is>
      </c>
      <c r="O149" s="27" t="n"/>
      <c r="P149" s="33" t="n"/>
      <c r="Q149" s="33" t="n"/>
      <c r="R149" s="38" t="n"/>
      <c r="S149" s="28" t="n"/>
      <c r="T149" s="27" t="n"/>
      <c r="U149" s="27" t="n"/>
      <c r="V149" s="27" t="n"/>
    </row>
    <row r="150">
      <c r="A150" s="27" t="n"/>
      <c r="B150" s="27" t="n"/>
      <c r="C150" s="39" t="n"/>
      <c r="D150" s="27" t="n"/>
      <c r="E150" s="27" t="n"/>
      <c r="F150" s="27" t="n"/>
      <c r="G150" s="27" t="n"/>
      <c r="H150" s="27" t="n"/>
      <c r="I150" s="36" t="n"/>
      <c r="J150" s="36" t="n"/>
      <c r="K150" s="34">
        <f>IF(OR(I150="",J150=""),"",(J150-I150)*1440)</f>
        <v/>
      </c>
      <c r="L150" s="37">
        <f>IF(I150="","",I150-TIME(9,0,0))</f>
        <v/>
      </c>
      <c r="M150" s="33" t="n"/>
      <c r="N150" s="32" t="inlineStr">
        <is>
          <t>gon</t>
        </is>
      </c>
      <c r="O150" s="27" t="n"/>
      <c r="P150" s="33" t="n"/>
      <c r="Q150" s="33" t="n"/>
      <c r="R150" s="38" t="n"/>
      <c r="S150" s="28" t="n"/>
      <c r="T150" s="27" t="n"/>
      <c r="U150" s="27" t="n"/>
      <c r="V150" s="27" t="n"/>
    </row>
    <row r="151">
      <c r="A151" s="27" t="n"/>
      <c r="B151" s="27" t="n"/>
      <c r="C151" s="39" t="n"/>
      <c r="D151" s="27" t="n"/>
      <c r="E151" s="27" t="n"/>
      <c r="F151" s="27" t="n"/>
      <c r="G151" s="27" t="n"/>
      <c r="H151" s="27" t="n"/>
      <c r="I151" s="36" t="n"/>
      <c r="J151" s="36" t="n"/>
      <c r="K151" s="34">
        <f>IF(OR(I151="",J151=""),"",(J151-I151)*1440)</f>
        <v/>
      </c>
      <c r="L151" s="37">
        <f>IF(I151="","",I151-TIME(9,0,0))</f>
        <v/>
      </c>
      <c r="M151" s="33" t="n"/>
      <c r="N151" s="32" t="inlineStr">
        <is>
          <t>gon</t>
        </is>
      </c>
      <c r="O151" s="27" t="n"/>
      <c r="P151" s="33" t="n"/>
      <c r="Q151" s="33" t="n"/>
      <c r="R151" s="38" t="n"/>
      <c r="S151" s="28" t="n"/>
      <c r="T151" s="27" t="n"/>
      <c r="U151" s="27" t="n"/>
      <c r="V151" s="27" t="n"/>
    </row>
    <row r="152">
      <c r="A152" s="27" t="n"/>
      <c r="B152" s="27" t="n"/>
      <c r="C152" s="39" t="n"/>
      <c r="D152" s="27" t="n"/>
      <c r="E152" s="27" t="n"/>
      <c r="F152" s="27" t="n"/>
      <c r="G152" s="27" t="n"/>
      <c r="H152" s="27" t="n"/>
      <c r="I152" s="36" t="n"/>
      <c r="J152" s="36" t="n"/>
      <c r="K152" s="34">
        <f>IF(OR(I152="",J152=""),"",(J152-I152)*1440)</f>
        <v/>
      </c>
      <c r="L152" s="37">
        <f>IF(I152="","",I152-TIME(9,0,0))</f>
        <v/>
      </c>
      <c r="M152" s="33" t="n"/>
      <c r="N152" s="32" t="inlineStr">
        <is>
          <t>gon</t>
        </is>
      </c>
      <c r="O152" s="27" t="n"/>
      <c r="P152" s="33" t="n"/>
      <c r="Q152" s="33" t="n"/>
      <c r="R152" s="38" t="n"/>
      <c r="S152" s="28" t="n"/>
      <c r="T152" s="27" t="n"/>
      <c r="U152" s="27" t="n"/>
      <c r="V152" s="27" t="n"/>
    </row>
    <row r="153">
      <c r="A153" s="27" t="n"/>
      <c r="B153" s="27" t="n"/>
      <c r="C153" s="39" t="n"/>
      <c r="D153" s="27" t="n"/>
      <c r="E153" s="27" t="n"/>
      <c r="F153" s="27" t="n"/>
      <c r="G153" s="27" t="n"/>
      <c r="H153" s="27" t="n"/>
      <c r="I153" s="36" t="n"/>
      <c r="J153" s="36" t="n"/>
      <c r="K153" s="34">
        <f>IF(OR(I153="",J153=""),"",(J153-I153)*1440)</f>
        <v/>
      </c>
      <c r="L153" s="37">
        <f>IF(I153="","",I153-TIME(9,0,0))</f>
        <v/>
      </c>
      <c r="M153" s="33" t="n"/>
      <c r="N153" s="32" t="inlineStr">
        <is>
          <t>gon</t>
        </is>
      </c>
      <c r="O153" s="27" t="n"/>
      <c r="P153" s="33" t="n"/>
      <c r="Q153" s="33" t="n"/>
      <c r="R153" s="38" t="n"/>
      <c r="S153" s="28" t="n"/>
      <c r="T153" s="27" t="n"/>
      <c r="U153" s="27" t="n"/>
      <c r="V153" s="27" t="n"/>
    </row>
    <row r="154">
      <c r="A154" s="27" t="n"/>
      <c r="B154" s="27" t="n"/>
      <c r="C154" s="39" t="n"/>
      <c r="D154" s="27" t="n"/>
      <c r="E154" s="27" t="n"/>
      <c r="F154" s="27" t="n"/>
      <c r="G154" s="27" t="n"/>
      <c r="H154" s="27" t="n"/>
      <c r="I154" s="36" t="n"/>
      <c r="J154" s="36" t="n"/>
      <c r="K154" s="34">
        <f>IF(OR(I154="",J154=""),"",(J154-I154)*1440)</f>
        <v/>
      </c>
      <c r="L154" s="37">
        <f>IF(I154="","",I154-TIME(9,0,0))</f>
        <v/>
      </c>
      <c r="M154" s="33" t="n"/>
      <c r="N154" s="32" t="inlineStr">
        <is>
          <t>gon</t>
        </is>
      </c>
      <c r="O154" s="27" t="n"/>
      <c r="P154" s="33" t="n"/>
      <c r="Q154" s="33" t="n"/>
      <c r="R154" s="38" t="n"/>
      <c r="S154" s="28" t="n"/>
      <c r="T154" s="27" t="n"/>
      <c r="U154" s="27" t="n"/>
      <c r="V154" s="27" t="n"/>
    </row>
    <row r="155">
      <c r="A155" s="27" t="n"/>
      <c r="B155" s="27" t="n"/>
      <c r="C155" s="39" t="n"/>
      <c r="D155" s="27" t="n"/>
      <c r="E155" s="27" t="n"/>
      <c r="F155" s="27" t="n"/>
      <c r="G155" s="27" t="n"/>
      <c r="H155" s="27" t="n"/>
      <c r="I155" s="36" t="n"/>
      <c r="J155" s="36" t="n"/>
      <c r="K155" s="34">
        <f>IF(OR(I155="",J155=""),"",(J155-I155)*1440)</f>
        <v/>
      </c>
      <c r="L155" s="37">
        <f>IF(I155="","",I155-TIME(9,0,0))</f>
        <v/>
      </c>
      <c r="M155" s="33" t="n"/>
      <c r="N155" s="32" t="inlineStr">
        <is>
          <t>gon</t>
        </is>
      </c>
      <c r="O155" s="27" t="n"/>
      <c r="P155" s="33" t="n"/>
      <c r="Q155" s="33" t="n"/>
      <c r="R155" s="38" t="n"/>
      <c r="S155" s="28" t="n"/>
      <c r="T155" s="27" t="n"/>
      <c r="U155" s="27" t="n"/>
      <c r="V155" s="27" t="n"/>
    </row>
    <row r="156">
      <c r="A156" s="27" t="n"/>
      <c r="B156" s="27" t="n"/>
      <c r="C156" s="39" t="n"/>
      <c r="D156" s="27" t="n"/>
      <c r="E156" s="27" t="n"/>
      <c r="F156" s="27" t="n"/>
      <c r="G156" s="27" t="n"/>
      <c r="H156" s="27" t="n"/>
      <c r="I156" s="36" t="n"/>
      <c r="J156" s="36" t="n"/>
      <c r="K156" s="34">
        <f>IF(OR(I156="",J156=""),"",(J156-I156)*1440)</f>
        <v/>
      </c>
      <c r="L156" s="37">
        <f>IF(I156="","",I156-TIME(9,0,0))</f>
        <v/>
      </c>
      <c r="M156" s="33" t="n"/>
      <c r="N156" s="32" t="inlineStr">
        <is>
          <t>gon</t>
        </is>
      </c>
      <c r="O156" s="27" t="n"/>
      <c r="P156" s="33" t="n"/>
      <c r="Q156" s="33" t="n"/>
      <c r="R156" s="38" t="n"/>
      <c r="S156" s="28" t="n"/>
      <c r="T156" s="27" t="n"/>
      <c r="U156" s="27" t="n"/>
      <c r="V156" s="27" t="n"/>
    </row>
    <row r="157">
      <c r="A157" s="27" t="n"/>
      <c r="B157" s="27" t="n"/>
      <c r="C157" s="39" t="n"/>
      <c r="D157" s="27" t="n"/>
      <c r="E157" s="27" t="n"/>
      <c r="F157" s="27" t="n"/>
      <c r="G157" s="27" t="n"/>
      <c r="H157" s="27" t="n"/>
      <c r="I157" s="36" t="n"/>
      <c r="J157" s="36" t="n"/>
      <c r="K157" s="34">
        <f>IF(OR(I157="",J157=""),"",(J157-I157)*1440)</f>
        <v/>
      </c>
      <c r="L157" s="37">
        <f>IF(I157="","",I157-TIME(9,0,0))</f>
        <v/>
      </c>
      <c r="M157" s="33" t="n"/>
      <c r="N157" s="32" t="inlineStr">
        <is>
          <t>gon</t>
        </is>
      </c>
      <c r="O157" s="27" t="n"/>
      <c r="P157" s="33" t="n"/>
      <c r="Q157" s="33" t="n"/>
      <c r="R157" s="38" t="n"/>
      <c r="S157" s="28" t="n"/>
      <c r="T157" s="27" t="n"/>
      <c r="U157" s="27" t="n"/>
      <c r="V157" s="27" t="n"/>
    </row>
    <row r="158">
      <c r="A158" s="27" t="n"/>
      <c r="B158" s="27" t="n"/>
      <c r="C158" s="39" t="n"/>
      <c r="D158" s="27" t="n"/>
      <c r="E158" s="27" t="n"/>
      <c r="F158" s="27" t="n"/>
      <c r="G158" s="27" t="n"/>
      <c r="H158" s="27" t="n"/>
      <c r="I158" s="36" t="n"/>
      <c r="J158" s="36" t="n"/>
      <c r="K158" s="34">
        <f>IF(OR(I158="",J158=""),"",(J158-I158)*1440)</f>
        <v/>
      </c>
      <c r="L158" s="37">
        <f>IF(I158="","",I158-TIME(9,0,0))</f>
        <v/>
      </c>
      <c r="M158" s="33" t="n"/>
      <c r="N158" s="32" t="inlineStr">
        <is>
          <t>gon</t>
        </is>
      </c>
      <c r="O158" s="27" t="n"/>
      <c r="P158" s="33" t="n"/>
      <c r="Q158" s="33" t="n"/>
      <c r="R158" s="38" t="n"/>
      <c r="S158" s="28" t="n"/>
      <c r="T158" s="27" t="n"/>
      <c r="U158" s="27" t="n"/>
      <c r="V158" s="27" t="n"/>
    </row>
    <row r="159">
      <c r="A159" s="27" t="n"/>
      <c r="B159" s="27" t="n"/>
      <c r="C159" s="39" t="n"/>
      <c r="D159" s="27" t="n"/>
      <c r="E159" s="27" t="n"/>
      <c r="F159" s="27" t="n"/>
      <c r="G159" s="27" t="n"/>
      <c r="H159" s="27" t="n"/>
      <c r="I159" s="36" t="n"/>
      <c r="J159" s="36" t="n"/>
      <c r="K159" s="34">
        <f>IF(OR(I159="",J159=""),"",(J159-I159)*1440)</f>
        <v/>
      </c>
      <c r="L159" s="37">
        <f>IF(I159="","",I159-TIME(9,0,0))</f>
        <v/>
      </c>
      <c r="M159" s="33" t="n"/>
      <c r="N159" s="32" t="inlineStr">
        <is>
          <t>gon</t>
        </is>
      </c>
      <c r="O159" s="27" t="n"/>
      <c r="P159" s="33" t="n"/>
      <c r="Q159" s="33" t="n"/>
      <c r="R159" s="38" t="n"/>
      <c r="S159" s="28" t="n"/>
      <c r="T159" s="27" t="n"/>
      <c r="U159" s="27" t="n"/>
      <c r="V159" s="27" t="n"/>
    </row>
    <row r="160">
      <c r="A160" s="27" t="n"/>
      <c r="B160" s="27" t="n"/>
      <c r="C160" s="39" t="n"/>
      <c r="D160" s="27" t="n"/>
      <c r="E160" s="27" t="n"/>
      <c r="F160" s="27" t="n"/>
      <c r="G160" s="27" t="n"/>
      <c r="H160" s="27" t="n"/>
      <c r="I160" s="36" t="n"/>
      <c r="J160" s="36" t="n"/>
      <c r="K160" s="34">
        <f>IF(OR(I160="",J160=""),"",(J160-I160)*1440)</f>
        <v/>
      </c>
      <c r="L160" s="37">
        <f>IF(I160="","",I160-TIME(9,0,0))</f>
        <v/>
      </c>
      <c r="M160" s="33" t="n"/>
      <c r="N160" s="32" t="inlineStr">
        <is>
          <t>gon</t>
        </is>
      </c>
      <c r="O160" s="27" t="n"/>
      <c r="P160" s="33" t="n"/>
      <c r="Q160" s="33" t="n"/>
      <c r="R160" s="38" t="n"/>
      <c r="S160" s="28" t="n"/>
      <c r="T160" s="27" t="n"/>
      <c r="U160" s="27" t="n"/>
      <c r="V160" s="27" t="n"/>
    </row>
    <row r="161">
      <c r="A161" s="27" t="n"/>
      <c r="B161" s="27" t="n"/>
      <c r="C161" s="39" t="n"/>
      <c r="D161" s="27" t="n"/>
      <c r="E161" s="27" t="n"/>
      <c r="F161" s="27" t="n"/>
      <c r="G161" s="27" t="n"/>
      <c r="H161" s="27" t="n"/>
      <c r="I161" s="36" t="n"/>
      <c r="J161" s="36" t="n"/>
      <c r="K161" s="34">
        <f>IF(OR(I161="",J161=""),"",(J161-I161)*1440)</f>
        <v/>
      </c>
      <c r="L161" s="37">
        <f>IF(I161="","",I161-TIME(9,0,0))</f>
        <v/>
      </c>
      <c r="M161" s="33" t="n"/>
      <c r="N161" s="32" t="inlineStr">
        <is>
          <t>gon</t>
        </is>
      </c>
      <c r="O161" s="27" t="n"/>
      <c r="P161" s="33" t="n"/>
      <c r="Q161" s="33" t="n"/>
      <c r="R161" s="38" t="n"/>
      <c r="S161" s="28" t="n"/>
      <c r="T161" s="27" t="n"/>
      <c r="U161" s="27" t="n"/>
      <c r="V161" s="27" t="n"/>
    </row>
    <row r="162">
      <c r="A162" s="27" t="n"/>
      <c r="B162" s="27" t="n"/>
      <c r="C162" s="39" t="n"/>
      <c r="D162" s="27" t="n"/>
      <c r="E162" s="27" t="n"/>
      <c r="F162" s="27" t="n"/>
      <c r="G162" s="27" t="n"/>
      <c r="H162" s="27" t="n"/>
      <c r="I162" s="36" t="n"/>
      <c r="J162" s="36" t="n"/>
      <c r="K162" s="34">
        <f>IF(OR(I162="",J162=""),"",(J162-I162)*1440)</f>
        <v/>
      </c>
      <c r="L162" s="37">
        <f>IF(I162="","",I162-TIME(9,0,0))</f>
        <v/>
      </c>
      <c r="M162" s="33" t="n"/>
      <c r="N162" s="32" t="inlineStr">
        <is>
          <t>gon</t>
        </is>
      </c>
      <c r="O162" s="27" t="n"/>
      <c r="P162" s="33" t="n"/>
      <c r="Q162" s="33" t="n"/>
      <c r="R162" s="38" t="n"/>
      <c r="S162" s="28" t="n"/>
      <c r="T162" s="27" t="n"/>
      <c r="U162" s="27" t="n"/>
      <c r="V162" s="27" t="n"/>
    </row>
    <row r="163">
      <c r="A163" s="27" t="n"/>
      <c r="B163" s="27" t="n"/>
      <c r="C163" s="39" t="n"/>
      <c r="D163" s="27" t="n"/>
      <c r="E163" s="27" t="n"/>
      <c r="F163" s="27" t="n"/>
      <c r="G163" s="27" t="n"/>
      <c r="H163" s="27" t="n"/>
      <c r="I163" s="36" t="n"/>
      <c r="J163" s="36" t="n"/>
      <c r="K163" s="34">
        <f>IF(OR(I163="",J163=""),"",(J163-I163)*1440)</f>
        <v/>
      </c>
      <c r="L163" s="37">
        <f>IF(I163="","",I163-TIME(9,0,0))</f>
        <v/>
      </c>
      <c r="M163" s="33" t="n"/>
      <c r="N163" s="32" t="inlineStr">
        <is>
          <t>gon</t>
        </is>
      </c>
      <c r="O163" s="27" t="n"/>
      <c r="P163" s="33" t="n"/>
      <c r="Q163" s="33" t="n"/>
      <c r="R163" s="38" t="n"/>
      <c r="S163" s="28" t="n"/>
      <c r="T163" s="27" t="n"/>
      <c r="U163" s="27" t="n"/>
      <c r="V163" s="27" t="n"/>
    </row>
    <row r="164">
      <c r="A164" s="27" t="n"/>
      <c r="B164" s="27" t="n"/>
      <c r="C164" s="39" t="n"/>
      <c r="D164" s="27" t="n"/>
      <c r="E164" s="27" t="n"/>
      <c r="F164" s="27" t="n"/>
      <c r="G164" s="27" t="n"/>
      <c r="H164" s="27" t="n"/>
      <c r="I164" s="36" t="n"/>
      <c r="J164" s="36" t="n"/>
      <c r="K164" s="34">
        <f>IF(OR(I164="",J164=""),"",(J164-I164)*1440)</f>
        <v/>
      </c>
      <c r="L164" s="37">
        <f>IF(I164="","",I164-TIME(9,0,0))</f>
        <v/>
      </c>
      <c r="M164" s="33" t="n"/>
      <c r="N164" s="32" t="inlineStr">
        <is>
          <t>gon</t>
        </is>
      </c>
      <c r="O164" s="27" t="n"/>
      <c r="P164" s="33" t="n"/>
      <c r="Q164" s="33" t="n"/>
      <c r="R164" s="38" t="n"/>
      <c r="S164" s="28" t="n"/>
      <c r="T164" s="27" t="n"/>
      <c r="U164" s="27" t="n"/>
      <c r="V164" s="27" t="n"/>
    </row>
    <row r="165">
      <c r="A165" s="27" t="n"/>
      <c r="B165" s="27" t="n"/>
      <c r="C165" s="39" t="n"/>
      <c r="D165" s="27" t="n"/>
      <c r="E165" s="27" t="n"/>
      <c r="F165" s="27" t="n"/>
      <c r="G165" s="27" t="n"/>
      <c r="H165" s="27" t="n"/>
      <c r="I165" s="36" t="n"/>
      <c r="J165" s="36" t="n"/>
      <c r="K165" s="34">
        <f>IF(OR(I165="",J165=""),"",(J165-I165)*1440)</f>
        <v/>
      </c>
      <c r="L165" s="37">
        <f>IF(I165="","",I165-TIME(9,0,0))</f>
        <v/>
      </c>
      <c r="M165" s="33" t="n"/>
      <c r="N165" s="32" t="inlineStr">
        <is>
          <t>gon</t>
        </is>
      </c>
      <c r="O165" s="27" t="n"/>
      <c r="P165" s="33" t="n"/>
      <c r="Q165" s="33" t="n"/>
      <c r="R165" s="38" t="n"/>
      <c r="S165" s="28" t="n"/>
      <c r="T165" s="27" t="n"/>
      <c r="U165" s="27" t="n"/>
      <c r="V165" s="27" t="n"/>
    </row>
    <row r="166">
      <c r="A166" s="27" t="n"/>
      <c r="B166" s="27" t="n"/>
      <c r="C166" s="39" t="n"/>
      <c r="D166" s="27" t="n"/>
      <c r="E166" s="27" t="n"/>
      <c r="F166" s="27" t="n"/>
      <c r="G166" s="27" t="n"/>
      <c r="H166" s="27" t="n"/>
      <c r="I166" s="36" t="n"/>
      <c r="J166" s="36" t="n"/>
      <c r="K166" s="34">
        <f>IF(OR(I166="",J166=""),"",(J166-I166)*1440)</f>
        <v/>
      </c>
      <c r="L166" s="37">
        <f>IF(I166="","",I166-TIME(9,0,0))</f>
        <v/>
      </c>
      <c r="M166" s="33" t="n"/>
      <c r="N166" s="32" t="inlineStr">
        <is>
          <t>gon</t>
        </is>
      </c>
      <c r="O166" s="27" t="n"/>
      <c r="P166" s="33" t="n"/>
      <c r="Q166" s="33" t="n"/>
      <c r="R166" s="38" t="n"/>
      <c r="S166" s="28" t="n"/>
      <c r="T166" s="27" t="n"/>
      <c r="U166" s="27" t="n"/>
      <c r="V166" s="27" t="n"/>
    </row>
    <row r="167">
      <c r="A167" s="27" t="n"/>
      <c r="B167" s="27" t="n"/>
      <c r="C167" s="39" t="n"/>
      <c r="D167" s="27" t="n"/>
      <c r="E167" s="27" t="n"/>
      <c r="F167" s="27" t="n"/>
      <c r="G167" s="27" t="n"/>
      <c r="H167" s="27" t="n"/>
      <c r="I167" s="36" t="n"/>
      <c r="J167" s="36" t="n"/>
      <c r="K167" s="34">
        <f>IF(OR(I167="",J167=""),"",(J167-I167)*1440)</f>
        <v/>
      </c>
      <c r="L167" s="37">
        <f>IF(I167="","",I167-TIME(9,0,0))</f>
        <v/>
      </c>
      <c r="M167" s="33" t="n"/>
      <c r="N167" s="32" t="inlineStr">
        <is>
          <t>gon</t>
        </is>
      </c>
      <c r="O167" s="27" t="n"/>
      <c r="P167" s="33" t="n"/>
      <c r="Q167" s="33" t="n"/>
      <c r="R167" s="38" t="n"/>
      <c r="S167" s="28" t="n"/>
      <c r="T167" s="27" t="n"/>
      <c r="U167" s="27" t="n"/>
      <c r="V167" s="27" t="n"/>
    </row>
    <row r="168">
      <c r="A168" s="27" t="n"/>
      <c r="B168" s="27" t="n"/>
      <c r="C168" s="39" t="n"/>
      <c r="D168" s="27" t="n"/>
      <c r="E168" s="27" t="n"/>
      <c r="F168" s="27" t="n"/>
      <c r="G168" s="27" t="n"/>
      <c r="H168" s="27" t="n"/>
      <c r="I168" s="36" t="n"/>
      <c r="J168" s="36" t="n"/>
      <c r="K168" s="34">
        <f>IF(OR(I168="",J168=""),"",(J168-I168)*1440)</f>
        <v/>
      </c>
      <c r="L168" s="37">
        <f>IF(I168="","",I168-TIME(9,0,0))</f>
        <v/>
      </c>
      <c r="M168" s="33" t="n"/>
      <c r="N168" s="32" t="inlineStr">
        <is>
          <t>gon</t>
        </is>
      </c>
      <c r="O168" s="27" t="n"/>
      <c r="P168" s="33" t="n"/>
      <c r="Q168" s="33" t="n"/>
      <c r="R168" s="38" t="n"/>
      <c r="S168" s="28" t="n"/>
      <c r="T168" s="27" t="n"/>
      <c r="U168" s="27" t="n"/>
      <c r="V168" s="27" t="n"/>
    </row>
    <row r="169">
      <c r="A169" s="27" t="n"/>
      <c r="B169" s="27" t="n"/>
      <c r="C169" s="39" t="n"/>
      <c r="D169" s="27" t="n"/>
      <c r="E169" s="27" t="n"/>
      <c r="F169" s="27" t="n"/>
      <c r="G169" s="27" t="n"/>
      <c r="H169" s="27" t="n"/>
      <c r="I169" s="36" t="n"/>
      <c r="J169" s="36" t="n"/>
      <c r="K169" s="34">
        <f>IF(OR(I169="",J169=""),"",(J169-I169)*1440)</f>
        <v/>
      </c>
      <c r="L169" s="37">
        <f>IF(I169="","",I169-TIME(9,0,0))</f>
        <v/>
      </c>
      <c r="M169" s="33" t="n"/>
      <c r="N169" s="32" t="inlineStr">
        <is>
          <t>gon</t>
        </is>
      </c>
      <c r="O169" s="27" t="n"/>
      <c r="P169" s="33" t="n"/>
      <c r="Q169" s="33" t="n"/>
      <c r="R169" s="38" t="n"/>
      <c r="S169" s="28" t="n"/>
      <c r="T169" s="27" t="n"/>
      <c r="U169" s="27" t="n"/>
      <c r="V169" s="27" t="n"/>
    </row>
    <row r="170">
      <c r="A170" s="27" t="n"/>
      <c r="B170" s="27" t="n"/>
      <c r="C170" s="39" t="n"/>
      <c r="D170" s="27" t="n"/>
      <c r="E170" s="27" t="n"/>
      <c r="F170" s="27" t="n"/>
      <c r="G170" s="27" t="n"/>
      <c r="H170" s="27" t="n"/>
      <c r="I170" s="36" t="n"/>
      <c r="J170" s="36" t="n"/>
      <c r="K170" s="34">
        <f>IF(OR(I170="",J170=""),"",(J170-I170)*1440)</f>
        <v/>
      </c>
      <c r="L170" s="37">
        <f>IF(I170="","",I170-TIME(9,0,0))</f>
        <v/>
      </c>
      <c r="M170" s="33" t="n"/>
      <c r="N170" s="32" t="inlineStr">
        <is>
          <t>gon</t>
        </is>
      </c>
      <c r="O170" s="27" t="n"/>
      <c r="P170" s="33" t="n"/>
      <c r="Q170" s="33" t="n"/>
      <c r="R170" s="38" t="n"/>
      <c r="S170" s="28" t="n"/>
      <c r="T170" s="27" t="n"/>
      <c r="U170" s="27" t="n"/>
      <c r="V170" s="27" t="n"/>
    </row>
    <row r="171">
      <c r="A171" s="27" t="n"/>
      <c r="B171" s="27" t="n"/>
      <c r="C171" s="39" t="n"/>
      <c r="D171" s="27" t="n"/>
      <c r="E171" s="27" t="n"/>
      <c r="F171" s="27" t="n"/>
      <c r="G171" s="27" t="n"/>
      <c r="H171" s="27" t="n"/>
      <c r="I171" s="36" t="n"/>
      <c r="J171" s="36" t="n"/>
      <c r="K171" s="34">
        <f>IF(OR(I171="",J171=""),"",(J171-I171)*1440)</f>
        <v/>
      </c>
      <c r="L171" s="37">
        <f>IF(I171="","",I171-TIME(9,0,0))</f>
        <v/>
      </c>
      <c r="M171" s="33" t="n"/>
      <c r="N171" s="32" t="inlineStr">
        <is>
          <t>gon</t>
        </is>
      </c>
      <c r="O171" s="27" t="n"/>
      <c r="P171" s="33" t="n"/>
      <c r="Q171" s="33" t="n"/>
      <c r="R171" s="38" t="n"/>
      <c r="S171" s="28" t="n"/>
      <c r="T171" s="27" t="n"/>
      <c r="U171" s="27" t="n"/>
      <c r="V171" s="27" t="n"/>
    </row>
    <row r="172">
      <c r="A172" s="27" t="n"/>
      <c r="B172" s="27" t="n"/>
      <c r="C172" s="39" t="n"/>
      <c r="D172" s="27" t="n"/>
      <c r="E172" s="27" t="n"/>
      <c r="F172" s="27" t="n"/>
      <c r="G172" s="27" t="n"/>
      <c r="H172" s="27" t="n"/>
      <c r="I172" s="36" t="n"/>
      <c r="J172" s="36" t="n"/>
      <c r="K172" s="34">
        <f>IF(OR(I172="",J172=""),"",(J172-I172)*1440)</f>
        <v/>
      </c>
      <c r="L172" s="37">
        <f>IF(I172="","",I172-TIME(9,0,0))</f>
        <v/>
      </c>
      <c r="M172" s="33" t="n"/>
      <c r="N172" s="32" t="inlineStr">
        <is>
          <t>gon</t>
        </is>
      </c>
      <c r="O172" s="27" t="n"/>
      <c r="P172" s="33" t="n"/>
      <c r="Q172" s="33" t="n"/>
      <c r="R172" s="38" t="n"/>
      <c r="S172" s="28" t="n"/>
      <c r="T172" s="27" t="n"/>
      <c r="U172" s="27" t="n"/>
      <c r="V172" s="27" t="n"/>
    </row>
    <row r="173">
      <c r="A173" s="27" t="n"/>
      <c r="B173" s="27" t="n"/>
      <c r="C173" s="39" t="n"/>
      <c r="D173" s="27" t="n"/>
      <c r="E173" s="27" t="n"/>
      <c r="F173" s="27" t="n"/>
      <c r="G173" s="27" t="n"/>
      <c r="H173" s="27" t="n"/>
      <c r="I173" s="36" t="n"/>
      <c r="J173" s="36" t="n"/>
      <c r="K173" s="34">
        <f>IF(OR(I173="",J173=""),"",(J173-I173)*1440)</f>
        <v/>
      </c>
      <c r="L173" s="37">
        <f>IF(I173="","",I173-TIME(9,0,0))</f>
        <v/>
      </c>
      <c r="M173" s="33" t="n"/>
      <c r="N173" s="32" t="inlineStr">
        <is>
          <t>gon</t>
        </is>
      </c>
      <c r="O173" s="27" t="n"/>
      <c r="P173" s="33" t="n"/>
      <c r="Q173" s="33" t="n"/>
      <c r="R173" s="38" t="n"/>
      <c r="S173" s="28" t="n"/>
      <c r="T173" s="27" t="n"/>
      <c r="U173" s="27" t="n"/>
      <c r="V173" s="27" t="n"/>
    </row>
    <row r="174">
      <c r="A174" s="27" t="n"/>
      <c r="B174" s="27" t="n"/>
      <c r="C174" s="39" t="n"/>
      <c r="D174" s="27" t="n"/>
      <c r="E174" s="27" t="n"/>
      <c r="F174" s="27" t="n"/>
      <c r="G174" s="27" t="n"/>
      <c r="H174" s="27" t="n"/>
      <c r="I174" s="36" t="n"/>
      <c r="J174" s="36" t="n"/>
      <c r="K174" s="34">
        <f>IF(OR(I174="",J174=""),"",(J174-I174)*1440)</f>
        <v/>
      </c>
      <c r="L174" s="37">
        <f>IF(I174="","",I174-TIME(9,0,0))</f>
        <v/>
      </c>
      <c r="M174" s="33" t="n"/>
      <c r="N174" s="32" t="inlineStr">
        <is>
          <t>gon</t>
        </is>
      </c>
      <c r="O174" s="27" t="n"/>
      <c r="P174" s="33" t="n"/>
      <c r="Q174" s="33" t="n"/>
      <c r="R174" s="38" t="n"/>
      <c r="S174" s="28" t="n"/>
      <c r="T174" s="27" t="n"/>
      <c r="U174" s="27" t="n"/>
      <c r="V174" s="27" t="n"/>
    </row>
    <row r="175">
      <c r="A175" s="27" t="n"/>
      <c r="B175" s="27" t="n"/>
      <c r="C175" s="39" t="n"/>
      <c r="D175" s="27" t="n"/>
      <c r="E175" s="27" t="n"/>
      <c r="F175" s="27" t="n"/>
      <c r="G175" s="27" t="n"/>
      <c r="H175" s="27" t="n"/>
      <c r="I175" s="36" t="n"/>
      <c r="J175" s="36" t="n"/>
      <c r="K175" s="34">
        <f>IF(OR(I175="",J175=""),"",(J175-I175)*1440)</f>
        <v/>
      </c>
      <c r="L175" s="37">
        <f>IF(I175="","",I175-TIME(9,0,0))</f>
        <v/>
      </c>
      <c r="M175" s="33" t="n"/>
      <c r="N175" s="32" t="inlineStr">
        <is>
          <t>gon</t>
        </is>
      </c>
      <c r="O175" s="27" t="n"/>
      <c r="P175" s="33" t="n"/>
      <c r="Q175" s="33" t="n"/>
      <c r="R175" s="38" t="n"/>
      <c r="S175" s="28" t="n"/>
      <c r="T175" s="27" t="n"/>
      <c r="U175" s="27" t="n"/>
      <c r="V175" s="27" t="n"/>
    </row>
    <row r="176">
      <c r="A176" s="27" t="n"/>
      <c r="B176" s="27" t="n"/>
      <c r="C176" s="39" t="n"/>
      <c r="D176" s="27" t="n"/>
      <c r="E176" s="27" t="n"/>
      <c r="F176" s="27" t="n"/>
      <c r="G176" s="27" t="n"/>
      <c r="H176" s="27" t="n"/>
      <c r="I176" s="36" t="n"/>
      <c r="J176" s="36" t="n"/>
      <c r="K176" s="34">
        <f>IF(OR(I176="",J176=""),"",(J176-I176)*1440)</f>
        <v/>
      </c>
      <c r="L176" s="37">
        <f>IF(I176="","",I176-TIME(9,0,0))</f>
        <v/>
      </c>
      <c r="M176" s="33" t="n"/>
      <c r="N176" s="32" t="inlineStr">
        <is>
          <t>gon</t>
        </is>
      </c>
      <c r="O176" s="27" t="n"/>
      <c r="P176" s="33" t="n"/>
      <c r="Q176" s="33" t="n"/>
      <c r="R176" s="38" t="n"/>
      <c r="S176" s="28" t="n"/>
      <c r="T176" s="27" t="n"/>
      <c r="U176" s="27" t="n"/>
      <c r="V176" s="27" t="n"/>
    </row>
    <row r="177">
      <c r="A177" s="27" t="n"/>
      <c r="B177" s="27" t="n"/>
      <c r="C177" s="39" t="n"/>
      <c r="D177" s="27" t="n"/>
      <c r="E177" s="27" t="n"/>
      <c r="F177" s="27" t="n"/>
      <c r="G177" s="27" t="n"/>
      <c r="H177" s="27" t="n"/>
      <c r="I177" s="36" t="n"/>
      <c r="J177" s="36" t="n"/>
      <c r="K177" s="34">
        <f>IF(OR(I177="",J177=""),"",(J177-I177)*1440)</f>
        <v/>
      </c>
      <c r="L177" s="37">
        <f>IF(I177="","",I177-TIME(9,0,0))</f>
        <v/>
      </c>
      <c r="M177" s="33" t="n"/>
      <c r="N177" s="32" t="inlineStr">
        <is>
          <t>gon</t>
        </is>
      </c>
      <c r="O177" s="27" t="n"/>
      <c r="P177" s="33" t="n"/>
      <c r="Q177" s="33" t="n"/>
      <c r="R177" s="38" t="n"/>
      <c r="S177" s="28" t="n"/>
      <c r="T177" s="27" t="n"/>
      <c r="U177" s="27" t="n"/>
      <c r="V177" s="27" t="n"/>
    </row>
    <row r="178">
      <c r="A178" s="27" t="n"/>
      <c r="B178" s="27" t="n"/>
      <c r="C178" s="39" t="n"/>
      <c r="D178" s="27" t="n"/>
      <c r="E178" s="27" t="n"/>
      <c r="F178" s="27" t="n"/>
      <c r="G178" s="27" t="n"/>
      <c r="H178" s="27" t="n"/>
      <c r="I178" s="36" t="n"/>
      <c r="J178" s="36" t="n"/>
      <c r="K178" s="34">
        <f>IF(OR(I178="",J178=""),"",(J178-I178)*1440)</f>
        <v/>
      </c>
      <c r="L178" s="37">
        <f>IF(I178="","",I178-TIME(9,0,0))</f>
        <v/>
      </c>
      <c r="M178" s="33" t="n"/>
      <c r="N178" s="32" t="inlineStr">
        <is>
          <t>gon</t>
        </is>
      </c>
      <c r="O178" s="27" t="n"/>
      <c r="P178" s="33" t="n"/>
      <c r="Q178" s="33" t="n"/>
      <c r="R178" s="38" t="n"/>
      <c r="S178" s="28" t="n"/>
      <c r="T178" s="27" t="n"/>
      <c r="U178" s="27" t="n"/>
      <c r="V178" s="27" t="n"/>
    </row>
    <row r="179">
      <c r="A179" s="27" t="n"/>
      <c r="B179" s="27" t="n"/>
      <c r="C179" s="39" t="n"/>
      <c r="D179" s="27" t="n"/>
      <c r="E179" s="27" t="n"/>
      <c r="F179" s="27" t="n"/>
      <c r="G179" s="27" t="n"/>
      <c r="H179" s="27" t="n"/>
      <c r="I179" s="36" t="n"/>
      <c r="J179" s="36" t="n"/>
      <c r="K179" s="34">
        <f>IF(OR(I179="",J179=""),"",(J179-I179)*1440)</f>
        <v/>
      </c>
      <c r="L179" s="37">
        <f>IF(I179="","",I179-TIME(9,0,0))</f>
        <v/>
      </c>
      <c r="M179" s="33" t="n"/>
      <c r="N179" s="32" t="inlineStr">
        <is>
          <t>gon</t>
        </is>
      </c>
      <c r="O179" s="27" t="n"/>
      <c r="P179" s="33" t="n"/>
      <c r="Q179" s="33" t="n"/>
      <c r="R179" s="38" t="n"/>
      <c r="S179" s="28" t="n"/>
      <c r="T179" s="27" t="n"/>
      <c r="U179" s="27" t="n"/>
      <c r="V179" s="27" t="n"/>
    </row>
    <row r="180">
      <c r="A180" s="27" t="n"/>
      <c r="B180" s="27" t="n"/>
      <c r="C180" s="39" t="n"/>
      <c r="D180" s="27" t="n"/>
      <c r="E180" s="27" t="n"/>
      <c r="F180" s="27" t="n"/>
      <c r="G180" s="27" t="n"/>
      <c r="H180" s="27" t="n"/>
      <c r="I180" s="36" t="n"/>
      <c r="J180" s="36" t="n"/>
      <c r="K180" s="34">
        <f>IF(OR(I180="",J180=""),"",(J180-I180)*1440)</f>
        <v/>
      </c>
      <c r="L180" s="37">
        <f>IF(I180="","",I180-TIME(9,0,0))</f>
        <v/>
      </c>
      <c r="M180" s="33" t="n"/>
      <c r="N180" s="32" t="inlineStr">
        <is>
          <t>gon</t>
        </is>
      </c>
      <c r="O180" s="27" t="n"/>
      <c r="P180" s="33" t="n"/>
      <c r="Q180" s="33" t="n"/>
      <c r="R180" s="38" t="n"/>
      <c r="S180" s="28" t="n"/>
      <c r="T180" s="27" t="n"/>
      <c r="U180" s="27" t="n"/>
      <c r="V180" s="27" t="n"/>
    </row>
    <row r="181">
      <c r="A181" s="27" t="n"/>
      <c r="B181" s="27" t="n"/>
      <c r="C181" s="39" t="n"/>
      <c r="D181" s="27" t="n"/>
      <c r="E181" s="27" t="n"/>
      <c r="F181" s="27" t="n"/>
      <c r="G181" s="27" t="n"/>
      <c r="H181" s="27" t="n"/>
      <c r="I181" s="36" t="n"/>
      <c r="J181" s="36" t="n"/>
      <c r="K181" s="34">
        <f>IF(OR(I181="",J181=""),"",(J181-I181)*1440)</f>
        <v/>
      </c>
      <c r="L181" s="37">
        <f>IF(I181="","",I181-TIME(9,0,0))</f>
        <v/>
      </c>
      <c r="M181" s="33" t="n"/>
      <c r="N181" s="32" t="inlineStr">
        <is>
          <t>gon</t>
        </is>
      </c>
      <c r="O181" s="27" t="n"/>
      <c r="P181" s="33" t="n"/>
      <c r="Q181" s="33" t="n"/>
      <c r="R181" s="38" t="n"/>
      <c r="S181" s="28" t="n"/>
      <c r="T181" s="27" t="n"/>
      <c r="U181" s="27" t="n"/>
      <c r="V181" s="27" t="n"/>
    </row>
    <row r="182">
      <c r="A182" s="27" t="n"/>
      <c r="B182" s="27" t="n"/>
      <c r="C182" s="39" t="n"/>
      <c r="D182" s="27" t="n"/>
      <c r="E182" s="27" t="n"/>
      <c r="F182" s="27" t="n"/>
      <c r="G182" s="27" t="n"/>
      <c r="H182" s="27" t="n"/>
      <c r="I182" s="36" t="n"/>
      <c r="J182" s="36" t="n"/>
      <c r="K182" s="34">
        <f>IF(OR(I182="",J182=""),"",(J182-I182)*1440)</f>
        <v/>
      </c>
      <c r="L182" s="37">
        <f>IF(I182="","",I182-TIME(9,0,0))</f>
        <v/>
      </c>
      <c r="M182" s="33" t="n"/>
      <c r="N182" s="32" t="inlineStr">
        <is>
          <t>gon</t>
        </is>
      </c>
      <c r="O182" s="27" t="n"/>
      <c r="P182" s="33" t="n"/>
      <c r="Q182" s="33" t="n"/>
      <c r="R182" s="38" t="n"/>
      <c r="S182" s="28" t="n"/>
      <c r="T182" s="27" t="n"/>
      <c r="U182" s="27" t="n"/>
      <c r="V182" s="27" t="n"/>
    </row>
    <row r="183">
      <c r="A183" s="27" t="n"/>
      <c r="B183" s="27" t="n"/>
      <c r="C183" s="39" t="n"/>
      <c r="D183" s="27" t="n"/>
      <c r="E183" s="27" t="n"/>
      <c r="F183" s="27" t="n"/>
      <c r="G183" s="27" t="n"/>
      <c r="H183" s="27" t="n"/>
      <c r="I183" s="36" t="n"/>
      <c r="J183" s="36" t="n"/>
      <c r="K183" s="34">
        <f>IF(OR(I183="",J183=""),"",(J183-I183)*1440)</f>
        <v/>
      </c>
      <c r="L183" s="37">
        <f>IF(I183="","",I183-TIME(9,0,0))</f>
        <v/>
      </c>
      <c r="M183" s="33" t="n"/>
      <c r="N183" s="32" t="inlineStr">
        <is>
          <t>gon</t>
        </is>
      </c>
      <c r="O183" s="27" t="n"/>
      <c r="P183" s="33" t="n"/>
      <c r="Q183" s="33" t="n"/>
      <c r="R183" s="38" t="n"/>
      <c r="S183" s="28" t="n"/>
      <c r="T183" s="27" t="n"/>
      <c r="U183" s="27" t="n"/>
      <c r="V183" s="27" t="n"/>
    </row>
    <row r="184">
      <c r="A184" s="27" t="n"/>
      <c r="B184" s="27" t="n"/>
      <c r="C184" s="39" t="n"/>
      <c r="D184" s="27" t="n"/>
      <c r="E184" s="27" t="n"/>
      <c r="F184" s="27" t="n"/>
      <c r="G184" s="27" t="n"/>
      <c r="H184" s="27" t="n"/>
      <c r="I184" s="36" t="n"/>
      <c r="J184" s="36" t="n"/>
      <c r="K184" s="34">
        <f>IF(OR(I184="",J184=""),"",(J184-I184)*1440)</f>
        <v/>
      </c>
      <c r="L184" s="37">
        <f>IF(I184="","",I184-TIME(9,0,0))</f>
        <v/>
      </c>
      <c r="M184" s="33" t="n"/>
      <c r="N184" s="32" t="inlineStr">
        <is>
          <t>gon</t>
        </is>
      </c>
      <c r="O184" s="27" t="n"/>
      <c r="P184" s="33" t="n"/>
      <c r="Q184" s="33" t="n"/>
      <c r="R184" s="38" t="n"/>
      <c r="S184" s="28" t="n"/>
      <c r="T184" s="27" t="n"/>
      <c r="U184" s="27" t="n"/>
      <c r="V184" s="27" t="n"/>
    </row>
    <row r="185">
      <c r="A185" s="27" t="n"/>
      <c r="B185" s="27" t="n"/>
      <c r="C185" s="39" t="n"/>
      <c r="D185" s="27" t="n"/>
      <c r="E185" s="27" t="n"/>
      <c r="F185" s="27" t="n"/>
      <c r="G185" s="27" t="n"/>
      <c r="H185" s="27" t="n"/>
      <c r="I185" s="36" t="n"/>
      <c r="J185" s="36" t="n"/>
      <c r="K185" s="34">
        <f>IF(OR(I185="",J185=""),"",(J185-I185)*1440)</f>
        <v/>
      </c>
      <c r="L185" s="37">
        <f>IF(I185="","",I185-TIME(9,0,0))</f>
        <v/>
      </c>
      <c r="M185" s="33" t="n"/>
      <c r="N185" s="32" t="inlineStr">
        <is>
          <t>gon</t>
        </is>
      </c>
      <c r="O185" s="27" t="n"/>
      <c r="P185" s="33" t="n"/>
      <c r="Q185" s="33" t="n"/>
      <c r="R185" s="38" t="n"/>
      <c r="S185" s="28" t="n"/>
      <c r="T185" s="27" t="n"/>
      <c r="U185" s="27" t="n"/>
      <c r="V185" s="27" t="n"/>
    </row>
    <row r="186">
      <c r="A186" s="27" t="n"/>
      <c r="B186" s="27" t="n"/>
      <c r="C186" s="39" t="n"/>
      <c r="D186" s="27" t="n"/>
      <c r="E186" s="27" t="n"/>
      <c r="F186" s="27" t="n"/>
      <c r="G186" s="27" t="n"/>
      <c r="H186" s="27" t="n"/>
      <c r="I186" s="36" t="n"/>
      <c r="J186" s="36" t="n"/>
      <c r="K186" s="34">
        <f>IF(OR(I186="",J186=""),"",(J186-I186)*1440)</f>
        <v/>
      </c>
      <c r="L186" s="37">
        <f>IF(I186="","",I186-TIME(9,0,0))</f>
        <v/>
      </c>
      <c r="M186" s="33" t="n"/>
      <c r="N186" s="32" t="inlineStr">
        <is>
          <t>gon</t>
        </is>
      </c>
      <c r="O186" s="27" t="n"/>
      <c r="P186" s="33" t="n"/>
      <c r="Q186" s="33" t="n"/>
      <c r="R186" s="38" t="n"/>
      <c r="S186" s="28" t="n"/>
      <c r="T186" s="27" t="n"/>
      <c r="U186" s="27" t="n"/>
      <c r="V186" s="27" t="n"/>
    </row>
    <row r="187">
      <c r="A187" s="27" t="n"/>
      <c r="B187" s="27" t="n"/>
      <c r="C187" s="39" t="n"/>
      <c r="D187" s="27" t="n"/>
      <c r="E187" s="27" t="n"/>
      <c r="F187" s="27" t="n"/>
      <c r="G187" s="27" t="n"/>
      <c r="H187" s="27" t="n"/>
      <c r="I187" s="36" t="n"/>
      <c r="J187" s="36" t="n"/>
      <c r="K187" s="34">
        <f>IF(OR(I187="",J187=""),"",(J187-I187)*1440)</f>
        <v/>
      </c>
      <c r="L187" s="37">
        <f>IF(I187="","",I187-TIME(9,0,0))</f>
        <v/>
      </c>
      <c r="M187" s="33" t="n"/>
      <c r="N187" s="32" t="inlineStr">
        <is>
          <t>gon</t>
        </is>
      </c>
      <c r="O187" s="27" t="n"/>
      <c r="P187" s="33" t="n"/>
      <c r="Q187" s="33" t="n"/>
      <c r="R187" s="38" t="n"/>
      <c r="S187" s="28" t="n"/>
      <c r="T187" s="27" t="n"/>
      <c r="U187" s="27" t="n"/>
      <c r="V187" s="27" t="n"/>
    </row>
    <row r="188">
      <c r="A188" s="27" t="n"/>
      <c r="B188" s="27" t="n"/>
      <c r="C188" s="39" t="n"/>
      <c r="D188" s="27" t="n"/>
      <c r="E188" s="27" t="n"/>
      <c r="F188" s="27" t="n"/>
      <c r="G188" s="27" t="n"/>
      <c r="H188" s="27" t="n"/>
      <c r="I188" s="36" t="n"/>
      <c r="J188" s="36" t="n"/>
      <c r="K188" s="34">
        <f>IF(OR(I188="",J188=""),"",(J188-I188)*1440)</f>
        <v/>
      </c>
      <c r="L188" s="37">
        <f>IF(I188="","",I188-TIME(9,0,0))</f>
        <v/>
      </c>
      <c r="M188" s="33" t="n"/>
      <c r="N188" s="32" t="inlineStr">
        <is>
          <t>gon</t>
        </is>
      </c>
      <c r="O188" s="27" t="n"/>
      <c r="P188" s="33" t="n"/>
      <c r="Q188" s="33" t="n"/>
      <c r="R188" s="38" t="n"/>
      <c r="S188" s="28" t="n"/>
      <c r="T188" s="27" t="n"/>
      <c r="U188" s="27" t="n"/>
      <c r="V188" s="27" t="n"/>
    </row>
    <row r="189">
      <c r="A189" s="27" t="n"/>
      <c r="B189" s="27" t="n"/>
      <c r="C189" s="39" t="n"/>
      <c r="D189" s="27" t="n"/>
      <c r="E189" s="27" t="n"/>
      <c r="F189" s="27" t="n"/>
      <c r="G189" s="27" t="n"/>
      <c r="H189" s="27" t="n"/>
      <c r="I189" s="36" t="n"/>
      <c r="J189" s="36" t="n"/>
      <c r="K189" s="34">
        <f>IF(OR(I189="",J189=""),"",(J189-I189)*1440)</f>
        <v/>
      </c>
      <c r="L189" s="37">
        <f>IF(I189="","",I189-TIME(9,0,0))</f>
        <v/>
      </c>
      <c r="M189" s="33" t="n"/>
      <c r="N189" s="32" t="inlineStr">
        <is>
          <t>gon</t>
        </is>
      </c>
      <c r="O189" s="27" t="n"/>
      <c r="P189" s="33" t="n"/>
      <c r="Q189" s="33" t="n"/>
      <c r="R189" s="38" t="n"/>
      <c r="S189" s="28" t="n"/>
      <c r="T189" s="27" t="n"/>
      <c r="U189" s="27" t="n"/>
      <c r="V189" s="27" t="n"/>
    </row>
    <row r="190">
      <c r="A190" s="27" t="n"/>
      <c r="B190" s="27" t="n"/>
      <c r="C190" s="39" t="n"/>
      <c r="D190" s="27" t="n"/>
      <c r="E190" s="27" t="n"/>
      <c r="F190" s="27" t="n"/>
      <c r="G190" s="27" t="n"/>
      <c r="H190" s="27" t="n"/>
      <c r="I190" s="36" t="n"/>
      <c r="J190" s="36" t="n"/>
      <c r="K190" s="34">
        <f>IF(OR(I190="",J190=""),"",(J190-I190)*1440)</f>
        <v/>
      </c>
      <c r="L190" s="37">
        <f>IF(I190="","",I190-TIME(9,0,0))</f>
        <v/>
      </c>
      <c r="M190" s="33" t="n"/>
      <c r="N190" s="32" t="inlineStr">
        <is>
          <t>gon</t>
        </is>
      </c>
      <c r="O190" s="27" t="n"/>
      <c r="P190" s="33" t="n"/>
      <c r="Q190" s="33" t="n"/>
      <c r="R190" s="38" t="n"/>
      <c r="S190" s="28" t="n"/>
      <c r="T190" s="27" t="n"/>
      <c r="U190" s="27" t="n"/>
      <c r="V190" s="27" t="n"/>
    </row>
    <row r="191">
      <c r="A191" s="27" t="n"/>
      <c r="B191" s="27" t="n"/>
      <c r="C191" s="39" t="n"/>
      <c r="D191" s="27" t="n"/>
      <c r="E191" s="27" t="n"/>
      <c r="F191" s="27" t="n"/>
      <c r="G191" s="27" t="n"/>
      <c r="H191" s="27" t="n"/>
      <c r="I191" s="36" t="n"/>
      <c r="J191" s="36" t="n"/>
      <c r="K191" s="34">
        <f>IF(OR(I191="",J191=""),"",(J191-I191)*1440)</f>
        <v/>
      </c>
      <c r="L191" s="37">
        <f>IF(I191="","",I191-TIME(9,0,0))</f>
        <v/>
      </c>
      <c r="M191" s="33" t="n"/>
      <c r="N191" s="32" t="inlineStr">
        <is>
          <t>gon</t>
        </is>
      </c>
      <c r="O191" s="27" t="n"/>
      <c r="P191" s="33" t="n"/>
      <c r="Q191" s="33" t="n"/>
      <c r="R191" s="38" t="n"/>
      <c r="S191" s="28" t="n"/>
      <c r="T191" s="27" t="n"/>
      <c r="U191" s="27" t="n"/>
      <c r="V191" s="27" t="n"/>
    </row>
    <row r="192">
      <c r="A192" s="27" t="n"/>
      <c r="B192" s="27" t="n"/>
      <c r="C192" s="39" t="n"/>
      <c r="D192" s="27" t="n"/>
      <c r="E192" s="27" t="n"/>
      <c r="F192" s="27" t="n"/>
      <c r="G192" s="27" t="n"/>
      <c r="H192" s="27" t="n"/>
      <c r="I192" s="36" t="n"/>
      <c r="J192" s="36" t="n"/>
      <c r="K192" s="34">
        <f>IF(OR(I192="",J192=""),"",(J192-I192)*1440)</f>
        <v/>
      </c>
      <c r="L192" s="37">
        <f>IF(I192="","",I192-TIME(9,0,0))</f>
        <v/>
      </c>
      <c r="M192" s="33" t="n"/>
      <c r="N192" s="32" t="inlineStr">
        <is>
          <t>gon</t>
        </is>
      </c>
      <c r="O192" s="27" t="n"/>
      <c r="P192" s="33" t="n"/>
      <c r="Q192" s="33" t="n"/>
      <c r="R192" s="38" t="n"/>
      <c r="S192" s="28" t="n"/>
      <c r="T192" s="27" t="n"/>
      <c r="U192" s="27" t="n"/>
      <c r="V192" s="27" t="n"/>
    </row>
    <row r="193">
      <c r="A193" s="27" t="n"/>
      <c r="B193" s="27" t="n"/>
      <c r="C193" s="39" t="n"/>
      <c r="D193" s="27" t="n"/>
      <c r="E193" s="27" t="n"/>
      <c r="F193" s="27" t="n"/>
      <c r="G193" s="27" t="n"/>
      <c r="H193" s="27" t="n"/>
      <c r="I193" s="36" t="n"/>
      <c r="J193" s="36" t="n"/>
      <c r="K193" s="34">
        <f>IF(OR(I193="",J193=""),"",(J193-I193)*1440)</f>
        <v/>
      </c>
      <c r="L193" s="37">
        <f>IF(I193="","",I193-TIME(9,0,0))</f>
        <v/>
      </c>
      <c r="M193" s="33" t="n"/>
      <c r="N193" s="32" t="inlineStr">
        <is>
          <t>gon</t>
        </is>
      </c>
      <c r="O193" s="27" t="n"/>
      <c r="P193" s="33" t="n"/>
      <c r="Q193" s="33" t="n"/>
      <c r="R193" s="38" t="n"/>
      <c r="S193" s="28" t="n"/>
      <c r="T193" s="27" t="n"/>
      <c r="U193" s="27" t="n"/>
      <c r="V193" s="27" t="n"/>
    </row>
    <row r="194">
      <c r="A194" s="27" t="n"/>
      <c r="B194" s="27" t="n"/>
      <c r="C194" s="39" t="n"/>
      <c r="D194" s="27" t="n"/>
      <c r="E194" s="27" t="n"/>
      <c r="F194" s="27" t="n"/>
      <c r="G194" s="27" t="n"/>
      <c r="H194" s="27" t="n"/>
      <c r="I194" s="36" t="n"/>
      <c r="J194" s="36" t="n"/>
      <c r="K194" s="34">
        <f>IF(OR(I194="",J194=""),"",(J194-I194)*1440)</f>
        <v/>
      </c>
      <c r="L194" s="37">
        <f>IF(I194="","",I194-TIME(9,0,0))</f>
        <v/>
      </c>
      <c r="M194" s="33" t="n"/>
      <c r="N194" s="32" t="inlineStr">
        <is>
          <t>gon</t>
        </is>
      </c>
      <c r="O194" s="27" t="n"/>
      <c r="P194" s="33" t="n"/>
      <c r="Q194" s="33" t="n"/>
      <c r="R194" s="38" t="n"/>
      <c r="S194" s="28" t="n"/>
      <c r="T194" s="27" t="n"/>
      <c r="U194" s="27" t="n"/>
      <c r="V194" s="27" t="n"/>
    </row>
    <row r="195">
      <c r="A195" s="27" t="n"/>
      <c r="B195" s="27" t="n"/>
      <c r="C195" s="39" t="n"/>
      <c r="D195" s="27" t="n"/>
      <c r="E195" s="27" t="n"/>
      <c r="F195" s="27" t="n"/>
      <c r="G195" s="27" t="n"/>
      <c r="H195" s="27" t="n"/>
      <c r="I195" s="36" t="n"/>
      <c r="J195" s="36" t="n"/>
      <c r="K195" s="34">
        <f>IF(OR(I195="",J195=""),"",(J195-I195)*1440)</f>
        <v/>
      </c>
      <c r="L195" s="37">
        <f>IF(I195="","",I195-TIME(9,0,0))</f>
        <v/>
      </c>
      <c r="M195" s="33" t="n"/>
      <c r="N195" s="32" t="inlineStr">
        <is>
          <t>gon</t>
        </is>
      </c>
      <c r="O195" s="27" t="n"/>
      <c r="P195" s="33" t="n"/>
      <c r="Q195" s="33" t="n"/>
      <c r="R195" s="38" t="n"/>
      <c r="S195" s="28" t="n"/>
      <c r="T195" s="27" t="n"/>
      <c r="U195" s="27" t="n"/>
      <c r="V195" s="27" t="n"/>
    </row>
    <row r="196">
      <c r="A196" s="27" t="n"/>
      <c r="B196" s="27" t="n"/>
      <c r="C196" s="39" t="n"/>
      <c r="D196" s="27" t="n"/>
      <c r="E196" s="27" t="n"/>
      <c r="F196" s="27" t="n"/>
      <c r="G196" s="27" t="n"/>
      <c r="H196" s="27" t="n"/>
      <c r="I196" s="36" t="n"/>
      <c r="J196" s="36" t="n"/>
      <c r="K196" s="34">
        <f>IF(OR(I196="",J196=""),"",(J196-I196)*1440)</f>
        <v/>
      </c>
      <c r="L196" s="37">
        <f>IF(I196="","",I196-TIME(9,0,0))</f>
        <v/>
      </c>
      <c r="M196" s="33" t="n"/>
      <c r="N196" s="32" t="inlineStr">
        <is>
          <t>gon</t>
        </is>
      </c>
      <c r="O196" s="27" t="n"/>
      <c r="P196" s="33" t="n"/>
      <c r="Q196" s="33" t="n"/>
      <c r="R196" s="38" t="n"/>
      <c r="S196" s="28" t="n"/>
      <c r="T196" s="27" t="n"/>
      <c r="U196" s="27" t="n"/>
      <c r="V196" s="27" t="n"/>
    </row>
    <row r="197">
      <c r="A197" s="27" t="n"/>
      <c r="B197" s="27" t="n"/>
      <c r="C197" s="39" t="n"/>
      <c r="D197" s="27" t="n"/>
      <c r="E197" s="27" t="n"/>
      <c r="F197" s="27" t="n"/>
      <c r="G197" s="27" t="n"/>
      <c r="H197" s="27" t="n"/>
      <c r="I197" s="36" t="n"/>
      <c r="J197" s="36" t="n"/>
      <c r="K197" s="34">
        <f>IF(OR(I197="",J197=""),"",(J197-I197)*1440)</f>
        <v/>
      </c>
      <c r="L197" s="37">
        <f>IF(I197="","",I197-TIME(9,0,0))</f>
        <v/>
      </c>
      <c r="M197" s="33" t="n"/>
      <c r="N197" s="32" t="inlineStr">
        <is>
          <t>gon</t>
        </is>
      </c>
      <c r="O197" s="27" t="n"/>
      <c r="P197" s="33" t="n"/>
      <c r="Q197" s="33" t="n"/>
      <c r="R197" s="38" t="n"/>
      <c r="S197" s="28" t="n"/>
      <c r="T197" s="27" t="n"/>
      <c r="U197" s="27" t="n"/>
      <c r="V197" s="27" t="n"/>
    </row>
    <row r="198">
      <c r="A198" s="27" t="n"/>
      <c r="B198" s="27" t="n"/>
      <c r="C198" s="39" t="n"/>
      <c r="D198" s="27" t="n"/>
      <c r="E198" s="27" t="n"/>
      <c r="F198" s="27" t="n"/>
      <c r="G198" s="27" t="n"/>
      <c r="H198" s="27" t="n"/>
      <c r="I198" s="36" t="n"/>
      <c r="J198" s="36" t="n"/>
      <c r="K198" s="34">
        <f>IF(OR(I198="",J198=""),"",(J198-I198)*1440)</f>
        <v/>
      </c>
      <c r="L198" s="37">
        <f>IF(I198="","",I198-TIME(9,0,0))</f>
        <v/>
      </c>
      <c r="M198" s="33" t="n"/>
      <c r="N198" s="32" t="inlineStr">
        <is>
          <t>gon</t>
        </is>
      </c>
      <c r="O198" s="27" t="n"/>
      <c r="P198" s="33" t="n"/>
      <c r="Q198" s="33" t="n"/>
      <c r="R198" s="38" t="n"/>
      <c r="S198" s="28" t="n"/>
      <c r="T198" s="27" t="n"/>
      <c r="U198" s="27" t="n"/>
      <c r="V198" s="27" t="n"/>
    </row>
    <row r="199">
      <c r="A199" s="27" t="n"/>
      <c r="B199" s="27" t="n"/>
      <c r="C199" s="39" t="n"/>
      <c r="D199" s="27" t="n"/>
      <c r="E199" s="27" t="n"/>
      <c r="F199" s="27" t="n"/>
      <c r="G199" s="27" t="n"/>
      <c r="H199" s="27" t="n"/>
      <c r="I199" s="36" t="n"/>
      <c r="J199" s="36" t="n"/>
      <c r="K199" s="34">
        <f>IF(OR(I199="",J199=""),"",(J199-I199)*1440)</f>
        <v/>
      </c>
      <c r="L199" s="37">
        <f>IF(I199="","",I199-TIME(9,0,0))</f>
        <v/>
      </c>
      <c r="M199" s="33" t="n"/>
      <c r="N199" s="32" t="inlineStr">
        <is>
          <t>gon</t>
        </is>
      </c>
      <c r="O199" s="27" t="n"/>
      <c r="P199" s="33" t="n"/>
      <c r="Q199" s="33" t="n"/>
      <c r="R199" s="38" t="n"/>
      <c r="S199" s="28" t="n"/>
      <c r="T199" s="27" t="n"/>
      <c r="U199" s="27" t="n"/>
      <c r="V199" s="27" t="n"/>
    </row>
    <row r="200">
      <c r="A200" s="27" t="n"/>
      <c r="B200" s="27" t="n"/>
      <c r="C200" s="39" t="n"/>
      <c r="D200" s="27" t="n"/>
      <c r="E200" s="27" t="n"/>
      <c r="F200" s="27" t="n"/>
      <c r="G200" s="27" t="n"/>
      <c r="H200" s="27" t="n"/>
      <c r="I200" s="36" t="n"/>
      <c r="J200" s="36" t="n"/>
      <c r="K200" s="34">
        <f>IF(OR(I200="",J200=""),"",(J200-I200)*1440)</f>
        <v/>
      </c>
      <c r="L200" s="37">
        <f>IF(I200="","",I200-TIME(9,0,0))</f>
        <v/>
      </c>
      <c r="M200" s="33" t="n"/>
      <c r="N200" s="32" t="inlineStr">
        <is>
          <t>gon</t>
        </is>
      </c>
      <c r="O200" s="27" t="n"/>
      <c r="P200" s="33" t="n"/>
      <c r="Q200" s="33" t="n"/>
      <c r="R200" s="38" t="n"/>
      <c r="S200" s="28" t="n"/>
      <c r="T200" s="27" t="n"/>
      <c r="U200" s="27" t="n"/>
      <c r="V200" s="27" t="n"/>
    </row>
    <row r="201">
      <c r="A201" s="27" t="n"/>
      <c r="B201" s="27" t="n"/>
      <c r="C201" s="39" t="n"/>
      <c r="D201" s="27" t="n"/>
      <c r="E201" s="27" t="n"/>
      <c r="F201" s="27" t="n"/>
      <c r="G201" s="27" t="n"/>
      <c r="H201" s="27" t="n"/>
      <c r="I201" s="36" t="n"/>
      <c r="J201" s="36" t="n"/>
      <c r="K201" s="34">
        <f>IF(OR(I201="",J201=""),"",(J201-I201)*1440)</f>
        <v/>
      </c>
      <c r="L201" s="37">
        <f>IF(I201="","",I201-TIME(9,0,0))</f>
        <v/>
      </c>
      <c r="M201" s="33" t="n"/>
      <c r="N201" s="32" t="inlineStr">
        <is>
          <t>gon</t>
        </is>
      </c>
      <c r="O201" s="27" t="n"/>
      <c r="P201" s="33" t="n"/>
      <c r="Q201" s="33" t="n"/>
      <c r="R201" s="38" t="n"/>
      <c r="S201" s="28" t="n"/>
      <c r="T201" s="27" t="n"/>
      <c r="U201" s="27" t="n"/>
      <c r="V201" s="27" t="n"/>
    </row>
    <row r="202">
      <c r="A202" s="27" t="n"/>
      <c r="B202" s="27" t="n"/>
      <c r="C202" s="39" t="n"/>
      <c r="D202" s="27" t="n"/>
      <c r="E202" s="27" t="n"/>
      <c r="F202" s="27" t="n"/>
      <c r="G202" s="27" t="n"/>
      <c r="H202" s="27" t="n"/>
      <c r="I202" s="36" t="n"/>
      <c r="J202" s="36" t="n"/>
      <c r="K202" s="34">
        <f>IF(OR(I202="",J202=""),"",(J202-I202)*1440)</f>
        <v/>
      </c>
      <c r="L202" s="37">
        <f>IF(I202="","",I202-TIME(9,0,0))</f>
        <v/>
      </c>
      <c r="M202" s="33" t="n"/>
      <c r="N202" s="32" t="inlineStr">
        <is>
          <t>gon</t>
        </is>
      </c>
      <c r="O202" s="27" t="n"/>
      <c r="P202" s="33" t="n"/>
      <c r="Q202" s="33" t="n"/>
      <c r="R202" s="38" t="n"/>
      <c r="S202" s="28" t="n"/>
      <c r="T202" s="27" t="n"/>
      <c r="U202" s="27" t="n"/>
      <c r="V202" s="27" t="n"/>
    </row>
    <row r="203">
      <c r="A203" s="27" t="n"/>
      <c r="B203" s="27" t="n"/>
      <c r="C203" s="39" t="n"/>
      <c r="D203" s="27" t="n"/>
      <c r="E203" s="27" t="n"/>
      <c r="F203" s="27" t="n"/>
      <c r="G203" s="27" t="n"/>
      <c r="H203" s="27" t="n"/>
      <c r="I203" s="36" t="n"/>
      <c r="J203" s="36" t="n"/>
      <c r="K203" s="34">
        <f>IF(OR(I203="",J203=""),"",(J203-I203)*1440)</f>
        <v/>
      </c>
      <c r="L203" s="37">
        <f>IF(I203="","",I203-TIME(9,0,0))</f>
        <v/>
      </c>
      <c r="M203" s="33" t="n"/>
      <c r="N203" s="32" t="inlineStr">
        <is>
          <t>gon</t>
        </is>
      </c>
      <c r="O203" s="27" t="n"/>
      <c r="P203" s="33" t="n"/>
      <c r="Q203" s="33" t="n"/>
      <c r="R203" s="38" t="n"/>
      <c r="S203" s="28" t="n"/>
      <c r="T203" s="27" t="n"/>
      <c r="U203" s="27" t="n"/>
      <c r="V203" s="27" t="n"/>
    </row>
    <row r="204">
      <c r="A204" s="27" t="n"/>
      <c r="B204" s="27" t="n"/>
      <c r="C204" s="39" t="n"/>
      <c r="D204" s="27" t="n"/>
      <c r="E204" s="27" t="n"/>
      <c r="F204" s="27" t="n"/>
      <c r="G204" s="27" t="n"/>
      <c r="H204" s="27" t="n"/>
      <c r="I204" s="36" t="n"/>
      <c r="J204" s="36" t="n"/>
      <c r="K204" s="34">
        <f>IF(OR(I204="",J204=""),"",(J204-I204)*1440)</f>
        <v/>
      </c>
      <c r="L204" s="37">
        <f>IF(I204="","",I204-TIME(9,0,0))</f>
        <v/>
      </c>
      <c r="M204" s="33" t="n"/>
      <c r="N204" s="32" t="inlineStr">
        <is>
          <t>gon</t>
        </is>
      </c>
      <c r="O204" s="27" t="n"/>
      <c r="P204" s="33" t="n"/>
      <c r="Q204" s="33" t="n"/>
      <c r="R204" s="38" t="n"/>
      <c r="S204" s="28" t="n"/>
      <c r="T204" s="27" t="n"/>
      <c r="U204" s="27" t="n"/>
      <c r="V204" s="27" t="n"/>
    </row>
    <row r="205">
      <c r="A205" s="27" t="n"/>
      <c r="B205" s="27" t="n"/>
      <c r="C205" s="39" t="n"/>
      <c r="D205" s="27" t="n"/>
      <c r="E205" s="27" t="n"/>
      <c r="F205" s="27" t="n"/>
      <c r="G205" s="27" t="n"/>
      <c r="H205" s="27" t="n"/>
      <c r="I205" s="36" t="n"/>
      <c r="J205" s="36" t="n"/>
      <c r="K205" s="34">
        <f>IF(OR(I205="",J205=""),"",(J205-I205)*1440)</f>
        <v/>
      </c>
      <c r="L205" s="37">
        <f>IF(I205="","",I205-TIME(9,0,0))</f>
        <v/>
      </c>
      <c r="M205" s="33" t="n"/>
      <c r="N205" s="32" t="inlineStr">
        <is>
          <t>gon</t>
        </is>
      </c>
      <c r="O205" s="27" t="n"/>
      <c r="P205" s="33" t="n"/>
      <c r="Q205" s="33" t="n"/>
      <c r="R205" s="38" t="n"/>
      <c r="S205" s="28" t="n"/>
      <c r="T205" s="27" t="n"/>
      <c r="U205" s="27" t="n"/>
      <c r="V205" s="27" t="n"/>
    </row>
    <row r="206">
      <c r="A206" s="27" t="n"/>
      <c r="B206" s="27" t="n"/>
      <c r="C206" s="39" t="n"/>
      <c r="D206" s="27" t="n"/>
      <c r="E206" s="27" t="n"/>
      <c r="F206" s="27" t="n"/>
      <c r="G206" s="27" t="n"/>
      <c r="H206" s="27" t="n"/>
      <c r="I206" s="36" t="n"/>
      <c r="J206" s="36" t="n"/>
      <c r="K206" s="34">
        <f>IF(OR(I206="",J206=""),"",(J206-I206)*1440)</f>
        <v/>
      </c>
      <c r="L206" s="37">
        <f>IF(I206="","",I206-TIME(9,0,0))</f>
        <v/>
      </c>
      <c r="M206" s="33" t="n"/>
      <c r="N206" s="32" t="inlineStr">
        <is>
          <t>gon</t>
        </is>
      </c>
      <c r="O206" s="27" t="n"/>
      <c r="P206" s="33" t="n"/>
      <c r="Q206" s="33" t="n"/>
      <c r="R206" s="38" t="n"/>
      <c r="S206" s="28" t="n"/>
      <c r="T206" s="27" t="n"/>
      <c r="U206" s="27" t="n"/>
      <c r="V206" s="27" t="n"/>
    </row>
    <row r="207">
      <c r="A207" s="27" t="n"/>
      <c r="B207" s="27" t="n"/>
      <c r="C207" s="39" t="n"/>
      <c r="D207" s="27" t="n"/>
      <c r="E207" s="27" t="n"/>
      <c r="F207" s="27" t="n"/>
      <c r="G207" s="27" t="n"/>
      <c r="H207" s="27" t="n"/>
      <c r="I207" s="36" t="n"/>
      <c r="J207" s="36" t="n"/>
      <c r="K207" s="34">
        <f>IF(OR(I207="",J207=""),"",(J207-I207)*1440)</f>
        <v/>
      </c>
      <c r="L207" s="37">
        <f>IF(I207="","",I207-TIME(9,0,0))</f>
        <v/>
      </c>
      <c r="M207" s="33" t="n"/>
      <c r="N207" s="32" t="inlineStr">
        <is>
          <t>gon</t>
        </is>
      </c>
      <c r="O207" s="27" t="n"/>
      <c r="P207" s="33" t="n"/>
      <c r="Q207" s="33" t="n"/>
      <c r="R207" s="38" t="n"/>
      <c r="S207" s="28" t="n"/>
      <c r="T207" s="27" t="n"/>
      <c r="U207" s="27" t="n"/>
      <c r="V207" s="27" t="n"/>
    </row>
    <row r="208">
      <c r="A208" s="27" t="n"/>
      <c r="B208" s="27" t="n"/>
      <c r="C208" s="39" t="n"/>
      <c r="D208" s="27" t="n"/>
      <c r="E208" s="27" t="n"/>
      <c r="F208" s="27" t="n"/>
      <c r="G208" s="27" t="n"/>
      <c r="H208" s="27" t="n"/>
      <c r="I208" s="36" t="n"/>
      <c r="J208" s="36" t="n"/>
      <c r="K208" s="34">
        <f>IF(OR(I208="",J208=""),"",(J208-I208)*1440)</f>
        <v/>
      </c>
      <c r="L208" s="37">
        <f>IF(I208="","",I208-TIME(9,0,0))</f>
        <v/>
      </c>
      <c r="M208" s="33" t="n"/>
      <c r="N208" s="32" t="inlineStr">
        <is>
          <t>gon</t>
        </is>
      </c>
      <c r="O208" s="27" t="n"/>
      <c r="P208" s="33" t="n"/>
      <c r="Q208" s="33" t="n"/>
      <c r="R208" s="38" t="n"/>
      <c r="S208" s="28" t="n"/>
      <c r="T208" s="27" t="n"/>
      <c r="U208" s="27" t="n"/>
      <c r="V208" s="27" t="n"/>
    </row>
    <row r="209">
      <c r="A209" s="27" t="n"/>
      <c r="B209" s="27" t="n"/>
      <c r="C209" s="39" t="n"/>
      <c r="D209" s="27" t="n"/>
      <c r="E209" s="27" t="n"/>
      <c r="F209" s="27" t="n"/>
      <c r="G209" s="27" t="n"/>
      <c r="H209" s="27" t="n"/>
      <c r="I209" s="36" t="n"/>
      <c r="J209" s="36" t="n"/>
      <c r="K209" s="34">
        <f>IF(OR(I209="",J209=""),"",(J209-I209)*1440)</f>
        <v/>
      </c>
      <c r="L209" s="37">
        <f>IF(I209="","",I209-TIME(9,0,0))</f>
        <v/>
      </c>
      <c r="M209" s="33" t="n"/>
      <c r="N209" s="32" t="inlineStr">
        <is>
          <t>gon</t>
        </is>
      </c>
      <c r="O209" s="27" t="n"/>
      <c r="P209" s="33" t="n"/>
      <c r="Q209" s="33" t="n"/>
      <c r="R209" s="38" t="n"/>
      <c r="S209" s="28" t="n"/>
      <c r="T209" s="27" t="n"/>
      <c r="U209" s="27" t="n"/>
      <c r="V209" s="27" t="n"/>
    </row>
    <row r="210">
      <c r="A210" s="27" t="n"/>
      <c r="B210" s="27" t="n"/>
      <c r="C210" s="39" t="n"/>
      <c r="D210" s="27" t="n"/>
      <c r="E210" s="27" t="n"/>
      <c r="F210" s="27" t="n"/>
      <c r="G210" s="27" t="n"/>
      <c r="H210" s="27" t="n"/>
      <c r="I210" s="36" t="n"/>
      <c r="J210" s="36" t="n"/>
      <c r="K210" s="34">
        <f>IF(OR(I210="",J210=""),"",(J210-I210)*1440)</f>
        <v/>
      </c>
      <c r="L210" s="37">
        <f>IF(I210="","",I210-TIME(9,0,0))</f>
        <v/>
      </c>
      <c r="M210" s="33" t="n"/>
      <c r="N210" s="32" t="inlineStr">
        <is>
          <t>gon</t>
        </is>
      </c>
      <c r="O210" s="27" t="n"/>
      <c r="P210" s="33" t="n"/>
      <c r="Q210" s="33" t="n"/>
      <c r="R210" s="38" t="n"/>
      <c r="S210" s="28" t="n"/>
      <c r="T210" s="27" t="n"/>
      <c r="U210" s="27" t="n"/>
      <c r="V210" s="27" t="n"/>
    </row>
    <row r="211">
      <c r="A211" s="27" t="n"/>
      <c r="B211" s="27" t="n"/>
      <c r="C211" s="39" t="n"/>
      <c r="D211" s="27" t="n"/>
      <c r="E211" s="27" t="n"/>
      <c r="F211" s="27" t="n"/>
      <c r="G211" s="27" t="n"/>
      <c r="H211" s="27" t="n"/>
      <c r="I211" s="36" t="n"/>
      <c r="J211" s="36" t="n"/>
      <c r="K211" s="34">
        <f>IF(OR(I211="",J211=""),"",(J211-I211)*1440)</f>
        <v/>
      </c>
      <c r="L211" s="37">
        <f>IF(I211="","",I211-TIME(9,0,0))</f>
        <v/>
      </c>
      <c r="M211" s="33" t="n"/>
      <c r="N211" s="32" t="inlineStr">
        <is>
          <t>gon</t>
        </is>
      </c>
      <c r="O211" s="27" t="n"/>
      <c r="P211" s="33" t="n"/>
      <c r="Q211" s="33" t="n"/>
      <c r="R211" s="38" t="n"/>
      <c r="S211" s="28" t="n"/>
      <c r="T211" s="27" t="n"/>
      <c r="U211" s="27" t="n"/>
      <c r="V211" s="27" t="n"/>
    </row>
    <row r="212">
      <c r="A212" s="27" t="n"/>
      <c r="B212" s="27" t="n"/>
      <c r="C212" s="39" t="n"/>
      <c r="D212" s="27" t="n"/>
      <c r="E212" s="27" t="n"/>
      <c r="F212" s="27" t="n"/>
      <c r="G212" s="27" t="n"/>
      <c r="H212" s="27" t="n"/>
      <c r="I212" s="36" t="n"/>
      <c r="J212" s="36" t="n"/>
      <c r="K212" s="34">
        <f>IF(OR(I212="",J212=""),"",(J212-I212)*1440)</f>
        <v/>
      </c>
      <c r="L212" s="37">
        <f>IF(I212="","",I212-TIME(9,0,0))</f>
        <v/>
      </c>
      <c r="M212" s="33" t="n"/>
      <c r="N212" s="32" t="inlineStr">
        <is>
          <t>gon</t>
        </is>
      </c>
      <c r="O212" s="27" t="n"/>
      <c r="P212" s="33" t="n"/>
      <c r="Q212" s="33" t="n"/>
      <c r="R212" s="38" t="n"/>
      <c r="S212" s="28" t="n"/>
      <c r="T212" s="27" t="n"/>
      <c r="U212" s="27" t="n"/>
      <c r="V212" s="27" t="n"/>
    </row>
    <row r="213">
      <c r="A213" s="27" t="n"/>
      <c r="B213" s="27" t="n"/>
      <c r="C213" s="39" t="n"/>
      <c r="D213" s="27" t="n"/>
      <c r="E213" s="27" t="n"/>
      <c r="F213" s="27" t="n"/>
      <c r="G213" s="27" t="n"/>
      <c r="H213" s="27" t="n"/>
      <c r="I213" s="36" t="n"/>
      <c r="J213" s="36" t="n"/>
      <c r="K213" s="34">
        <f>IF(OR(I213="",J213=""),"",(J213-I213)*1440)</f>
        <v/>
      </c>
      <c r="L213" s="37">
        <f>IF(I213="","",I213-TIME(9,0,0))</f>
        <v/>
      </c>
      <c r="M213" s="33" t="n"/>
      <c r="N213" s="32" t="inlineStr">
        <is>
          <t>gon</t>
        </is>
      </c>
      <c r="O213" s="27" t="n"/>
      <c r="P213" s="33" t="n"/>
      <c r="Q213" s="33" t="n"/>
      <c r="R213" s="38" t="n"/>
      <c r="S213" s="28" t="n"/>
      <c r="T213" s="27" t="n"/>
      <c r="U213" s="27" t="n"/>
      <c r="V213" s="27" t="n"/>
    </row>
    <row r="214">
      <c r="A214" s="27" t="n"/>
      <c r="B214" s="27" t="n"/>
      <c r="C214" s="39" t="n"/>
      <c r="D214" s="27" t="n"/>
      <c r="E214" s="27" t="n"/>
      <c r="F214" s="27" t="n"/>
      <c r="G214" s="27" t="n"/>
      <c r="H214" s="27" t="n"/>
      <c r="I214" s="36" t="n"/>
      <c r="J214" s="36" t="n"/>
      <c r="K214" s="34">
        <f>IF(OR(I214="",J214=""),"",(J214-I214)*1440)</f>
        <v/>
      </c>
      <c r="L214" s="37">
        <f>IF(I214="","",I214-TIME(9,0,0))</f>
        <v/>
      </c>
      <c r="M214" s="33" t="n"/>
      <c r="N214" s="32" t="inlineStr">
        <is>
          <t>gon</t>
        </is>
      </c>
      <c r="O214" s="27" t="n"/>
      <c r="P214" s="33" t="n"/>
      <c r="Q214" s="33" t="n"/>
      <c r="R214" s="38" t="n"/>
      <c r="S214" s="28" t="n"/>
      <c r="T214" s="27" t="n"/>
      <c r="U214" s="27" t="n"/>
      <c r="V214" s="27" t="n"/>
    </row>
    <row r="215">
      <c r="A215" s="27" t="n"/>
      <c r="B215" s="27" t="n"/>
      <c r="C215" s="39" t="n"/>
      <c r="D215" s="27" t="n"/>
      <c r="E215" s="27" t="n"/>
      <c r="F215" s="27" t="n"/>
      <c r="G215" s="27" t="n"/>
      <c r="H215" s="27" t="n"/>
      <c r="I215" s="36" t="n"/>
      <c r="J215" s="36" t="n"/>
      <c r="K215" s="34">
        <f>IF(OR(I215="",J215=""),"",(J215-I215)*1440)</f>
        <v/>
      </c>
      <c r="L215" s="37">
        <f>IF(I215="","",I215-TIME(9,0,0))</f>
        <v/>
      </c>
      <c r="M215" s="33" t="n"/>
      <c r="N215" s="32" t="inlineStr">
        <is>
          <t>gon</t>
        </is>
      </c>
      <c r="O215" s="27" t="n"/>
      <c r="P215" s="33" t="n"/>
      <c r="Q215" s="33" t="n"/>
      <c r="R215" s="38" t="n"/>
      <c r="S215" s="28" t="n"/>
      <c r="T215" s="27" t="n"/>
      <c r="U215" s="27" t="n"/>
      <c r="V215" s="27" t="n"/>
    </row>
    <row r="216">
      <c r="A216" s="27" t="n"/>
      <c r="B216" s="27" t="n"/>
      <c r="C216" s="39" t="n"/>
      <c r="D216" s="27" t="n"/>
      <c r="E216" s="27" t="n"/>
      <c r="F216" s="27" t="n"/>
      <c r="G216" s="27" t="n"/>
      <c r="H216" s="27" t="n"/>
      <c r="I216" s="36" t="n"/>
      <c r="J216" s="36" t="n"/>
      <c r="K216" s="34">
        <f>IF(OR(I216="",J216=""),"",(J216-I216)*1440)</f>
        <v/>
      </c>
      <c r="L216" s="37">
        <f>IF(I216="","",I216-TIME(9,0,0))</f>
        <v/>
      </c>
      <c r="M216" s="33" t="n"/>
      <c r="N216" s="32" t="inlineStr">
        <is>
          <t>gon</t>
        </is>
      </c>
      <c r="O216" s="27" t="n"/>
      <c r="P216" s="33" t="n"/>
      <c r="Q216" s="33" t="n"/>
      <c r="R216" s="38" t="n"/>
      <c r="S216" s="28" t="n"/>
      <c r="T216" s="27" t="n"/>
      <c r="U216" s="27" t="n"/>
      <c r="V216" s="27" t="n"/>
    </row>
    <row r="217">
      <c r="A217" s="27" t="n"/>
      <c r="B217" s="27" t="n"/>
      <c r="C217" s="39" t="n"/>
      <c r="D217" s="27" t="n"/>
      <c r="E217" s="27" t="n"/>
      <c r="F217" s="27" t="n"/>
      <c r="G217" s="27" t="n"/>
      <c r="H217" s="27" t="n"/>
      <c r="I217" s="36" t="n"/>
      <c r="J217" s="36" t="n"/>
      <c r="K217" s="34">
        <f>IF(OR(I217="",J217=""),"",(J217-I217)*1440)</f>
        <v/>
      </c>
      <c r="L217" s="37">
        <f>IF(I217="","",I217-TIME(9,0,0))</f>
        <v/>
      </c>
      <c r="M217" s="33" t="n"/>
      <c r="N217" s="32" t="inlineStr">
        <is>
          <t>gon</t>
        </is>
      </c>
      <c r="O217" s="27" t="n"/>
      <c r="P217" s="33" t="n"/>
      <c r="Q217" s="33" t="n"/>
      <c r="R217" s="38" t="n"/>
      <c r="S217" s="28" t="n"/>
      <c r="T217" s="27" t="n"/>
      <c r="U217" s="27" t="n"/>
      <c r="V217" s="27" t="n"/>
    </row>
    <row r="218">
      <c r="A218" s="27" t="n"/>
      <c r="B218" s="27" t="n"/>
      <c r="C218" s="39" t="n"/>
      <c r="D218" s="27" t="n"/>
      <c r="E218" s="27" t="n"/>
      <c r="F218" s="27" t="n"/>
      <c r="G218" s="27" t="n"/>
      <c r="H218" s="27" t="n"/>
      <c r="I218" s="36" t="n"/>
      <c r="J218" s="36" t="n"/>
      <c r="K218" s="34">
        <f>IF(OR(I218="",J218=""),"",(J218-I218)*1440)</f>
        <v/>
      </c>
      <c r="L218" s="37">
        <f>IF(I218="","",I218-TIME(9,0,0))</f>
        <v/>
      </c>
      <c r="M218" s="33" t="n"/>
      <c r="N218" s="32" t="inlineStr">
        <is>
          <t>gon</t>
        </is>
      </c>
      <c r="O218" s="27" t="n"/>
      <c r="P218" s="33" t="n"/>
      <c r="Q218" s="33" t="n"/>
      <c r="R218" s="38" t="n"/>
      <c r="S218" s="28" t="n"/>
      <c r="T218" s="27" t="n"/>
      <c r="U218" s="27" t="n"/>
      <c r="V218" s="27" t="n"/>
    </row>
    <row r="219">
      <c r="A219" s="27" t="n"/>
      <c r="B219" s="27" t="n"/>
      <c r="C219" s="39" t="n"/>
      <c r="D219" s="27" t="n"/>
      <c r="E219" s="27" t="n"/>
      <c r="F219" s="27" t="n"/>
      <c r="G219" s="27" t="n"/>
      <c r="H219" s="27" t="n"/>
      <c r="I219" s="36" t="n"/>
      <c r="J219" s="36" t="n"/>
      <c r="K219" s="34">
        <f>IF(OR(I219="",J219=""),"",(J219-I219)*1440)</f>
        <v/>
      </c>
      <c r="L219" s="37">
        <f>IF(I219="","",I219-TIME(9,0,0))</f>
        <v/>
      </c>
      <c r="M219" s="33" t="n"/>
      <c r="N219" s="32" t="inlineStr">
        <is>
          <t>gon</t>
        </is>
      </c>
      <c r="O219" s="27" t="n"/>
      <c r="P219" s="33" t="n"/>
      <c r="Q219" s="33" t="n"/>
      <c r="R219" s="38" t="n"/>
      <c r="S219" s="28" t="n"/>
      <c r="T219" s="27" t="n"/>
      <c r="U219" s="27" t="n"/>
      <c r="V219" s="27" t="n"/>
    </row>
    <row r="220">
      <c r="A220" s="27" t="n"/>
      <c r="B220" s="27" t="n"/>
      <c r="C220" s="39" t="n"/>
      <c r="D220" s="27" t="n"/>
      <c r="E220" s="27" t="n"/>
      <c r="F220" s="27" t="n"/>
      <c r="G220" s="27" t="n"/>
      <c r="H220" s="27" t="n"/>
      <c r="I220" s="36" t="n"/>
      <c r="J220" s="36" t="n"/>
      <c r="K220" s="34">
        <f>IF(OR(I220="",J220=""),"",(J220-I220)*1440)</f>
        <v/>
      </c>
      <c r="L220" s="37">
        <f>IF(I220="","",I220-TIME(9,0,0))</f>
        <v/>
      </c>
      <c r="M220" s="33" t="n"/>
      <c r="N220" s="32" t="inlineStr">
        <is>
          <t>gon</t>
        </is>
      </c>
      <c r="O220" s="27" t="n"/>
      <c r="P220" s="33" t="n"/>
      <c r="Q220" s="33" t="n"/>
      <c r="R220" s="38" t="n"/>
      <c r="S220" s="28" t="n"/>
      <c r="T220" s="27" t="n"/>
      <c r="U220" s="27" t="n"/>
      <c r="V220" s="27" t="n"/>
    </row>
    <row r="221">
      <c r="A221" s="27" t="n"/>
      <c r="B221" s="27" t="n"/>
      <c r="C221" s="39" t="n"/>
      <c r="D221" s="27" t="n"/>
      <c r="E221" s="27" t="n"/>
      <c r="F221" s="27" t="n"/>
      <c r="G221" s="27" t="n"/>
      <c r="H221" s="27" t="n"/>
      <c r="I221" s="36" t="n"/>
      <c r="J221" s="36" t="n"/>
      <c r="K221" s="34">
        <f>IF(OR(I221="",J221=""),"",(J221-I221)*1440)</f>
        <v/>
      </c>
      <c r="L221" s="37">
        <f>IF(I221="","",I221-TIME(9,0,0))</f>
        <v/>
      </c>
      <c r="M221" s="33" t="n"/>
      <c r="N221" s="32" t="inlineStr">
        <is>
          <t>gon</t>
        </is>
      </c>
      <c r="O221" s="27" t="n"/>
      <c r="P221" s="33" t="n"/>
      <c r="Q221" s="33" t="n"/>
      <c r="R221" s="38" t="n"/>
      <c r="S221" s="28" t="n"/>
      <c r="T221" s="27" t="n"/>
      <c r="U221" s="27" t="n"/>
      <c r="V221" s="27" t="n"/>
    </row>
    <row r="222">
      <c r="A222" s="27" t="n"/>
      <c r="B222" s="27" t="n"/>
      <c r="C222" s="39" t="n"/>
      <c r="D222" s="27" t="n"/>
      <c r="E222" s="27" t="n"/>
      <c r="F222" s="27" t="n"/>
      <c r="G222" s="27" t="n"/>
      <c r="H222" s="27" t="n"/>
      <c r="I222" s="36" t="n"/>
      <c r="J222" s="36" t="n"/>
      <c r="K222" s="34">
        <f>IF(OR(I222="",J222=""),"",(J222-I222)*1440)</f>
        <v/>
      </c>
      <c r="L222" s="37">
        <f>IF(I222="","",I222-TIME(9,0,0))</f>
        <v/>
      </c>
      <c r="M222" s="33" t="n"/>
      <c r="N222" s="32" t="inlineStr">
        <is>
          <t>gon</t>
        </is>
      </c>
      <c r="O222" s="27" t="n"/>
      <c r="P222" s="33" t="n"/>
      <c r="Q222" s="33" t="n"/>
      <c r="R222" s="38" t="n"/>
      <c r="S222" s="28" t="n"/>
      <c r="T222" s="27" t="n"/>
      <c r="U222" s="27" t="n"/>
      <c r="V222" s="27" t="n"/>
    </row>
    <row r="223">
      <c r="A223" s="27" t="n"/>
      <c r="B223" s="27" t="n"/>
      <c r="C223" s="39" t="n"/>
      <c r="D223" s="27" t="n"/>
      <c r="E223" s="27" t="n"/>
      <c r="F223" s="27" t="n"/>
      <c r="G223" s="27" t="n"/>
      <c r="H223" s="27" t="n"/>
      <c r="I223" s="36" t="n"/>
      <c r="J223" s="36" t="n"/>
      <c r="K223" s="34">
        <f>IF(OR(I223="",J223=""),"",(J223-I223)*1440)</f>
        <v/>
      </c>
      <c r="L223" s="37">
        <f>IF(I223="","",I223-TIME(9,0,0))</f>
        <v/>
      </c>
      <c r="M223" s="33" t="n"/>
      <c r="N223" s="32" t="inlineStr">
        <is>
          <t>gon</t>
        </is>
      </c>
      <c r="O223" s="27" t="n"/>
      <c r="P223" s="33" t="n"/>
      <c r="Q223" s="33" t="n"/>
      <c r="R223" s="38" t="n"/>
      <c r="S223" s="28" t="n"/>
      <c r="T223" s="27" t="n"/>
      <c r="U223" s="27" t="n"/>
      <c r="V223" s="27" t="n"/>
    </row>
    <row r="224">
      <c r="A224" s="27" t="n"/>
      <c r="B224" s="27" t="n"/>
      <c r="C224" s="39" t="n"/>
      <c r="D224" s="27" t="n"/>
      <c r="E224" s="27" t="n"/>
      <c r="F224" s="27" t="n"/>
      <c r="G224" s="27" t="n"/>
      <c r="H224" s="27" t="n"/>
      <c r="I224" s="36" t="n"/>
      <c r="J224" s="36" t="n"/>
      <c r="K224" s="34">
        <f>IF(OR(I224="",J224=""),"",(J224-I224)*1440)</f>
        <v/>
      </c>
      <c r="L224" s="37">
        <f>IF(I224="","",I224-TIME(9,0,0))</f>
        <v/>
      </c>
      <c r="M224" s="33" t="n"/>
      <c r="N224" s="32" t="inlineStr">
        <is>
          <t>gon</t>
        </is>
      </c>
      <c r="O224" s="27" t="n"/>
      <c r="P224" s="33" t="n"/>
      <c r="Q224" s="33" t="n"/>
      <c r="R224" s="38" t="n"/>
      <c r="S224" s="28" t="n"/>
      <c r="T224" s="27" t="n"/>
      <c r="U224" s="27" t="n"/>
      <c r="V224" s="27" t="n"/>
    </row>
    <row r="225">
      <c r="A225" s="27" t="n"/>
      <c r="B225" s="27" t="n"/>
      <c r="C225" s="39" t="n"/>
      <c r="D225" s="27" t="n"/>
      <c r="E225" s="27" t="n"/>
      <c r="F225" s="27" t="n"/>
      <c r="G225" s="27" t="n"/>
      <c r="H225" s="27" t="n"/>
      <c r="I225" s="36" t="n"/>
      <c r="J225" s="36" t="n"/>
      <c r="K225" s="34">
        <f>IF(OR(I225="",J225=""),"",(J225-I225)*1440)</f>
        <v/>
      </c>
      <c r="L225" s="37">
        <f>IF(I225="","",I225-TIME(9,0,0))</f>
        <v/>
      </c>
      <c r="M225" s="33" t="n"/>
      <c r="N225" s="32" t="inlineStr">
        <is>
          <t>gon</t>
        </is>
      </c>
      <c r="O225" s="27" t="n"/>
      <c r="P225" s="33" t="n"/>
      <c r="Q225" s="33" t="n"/>
      <c r="R225" s="38" t="n"/>
      <c r="S225" s="28" t="n"/>
      <c r="T225" s="27" t="n"/>
      <c r="U225" s="27" t="n"/>
      <c r="V225" s="27" t="n"/>
    </row>
    <row r="226">
      <c r="A226" s="27" t="n"/>
      <c r="B226" s="27" t="n"/>
      <c r="C226" s="39" t="n"/>
      <c r="D226" s="27" t="n"/>
      <c r="E226" s="27" t="n"/>
      <c r="F226" s="27" t="n"/>
      <c r="G226" s="27" t="n"/>
      <c r="H226" s="27" t="n"/>
      <c r="I226" s="36" t="n"/>
      <c r="J226" s="36" t="n"/>
      <c r="K226" s="34">
        <f>IF(OR(I226="",J226=""),"",(J226-I226)*1440)</f>
        <v/>
      </c>
      <c r="L226" s="37">
        <f>IF(I226="","",I226-TIME(9,0,0))</f>
        <v/>
      </c>
      <c r="M226" s="33" t="n"/>
      <c r="N226" s="32" t="inlineStr">
        <is>
          <t>gon</t>
        </is>
      </c>
      <c r="O226" s="27" t="n"/>
      <c r="P226" s="33" t="n"/>
      <c r="Q226" s="33" t="n"/>
      <c r="R226" s="38" t="n"/>
      <c r="S226" s="28" t="n"/>
      <c r="T226" s="27" t="n"/>
      <c r="U226" s="27" t="n"/>
      <c r="V226" s="27" t="n"/>
    </row>
    <row r="227">
      <c r="A227" s="27" t="n"/>
      <c r="B227" s="27" t="n"/>
      <c r="C227" s="39" t="n"/>
      <c r="D227" s="27" t="n"/>
      <c r="E227" s="27" t="n"/>
      <c r="F227" s="27" t="n"/>
      <c r="G227" s="27" t="n"/>
      <c r="H227" s="27" t="n"/>
      <c r="I227" s="36" t="n"/>
      <c r="J227" s="36" t="n"/>
      <c r="K227" s="34">
        <f>IF(OR(I227="",J227=""),"",(J227-I227)*1440)</f>
        <v/>
      </c>
      <c r="L227" s="37">
        <f>IF(I227="","",I227-TIME(9,0,0))</f>
        <v/>
      </c>
      <c r="M227" s="33" t="n"/>
      <c r="N227" s="32" t="inlineStr">
        <is>
          <t>gon</t>
        </is>
      </c>
      <c r="O227" s="27" t="n"/>
      <c r="P227" s="33" t="n"/>
      <c r="Q227" s="33" t="n"/>
      <c r="R227" s="38" t="n"/>
      <c r="S227" s="28" t="n"/>
      <c r="T227" s="27" t="n"/>
      <c r="U227" s="27" t="n"/>
      <c r="V227" s="27" t="n"/>
    </row>
    <row r="228">
      <c r="A228" s="27" t="n"/>
      <c r="B228" s="27" t="n"/>
      <c r="C228" s="39" t="n"/>
      <c r="D228" s="27" t="n"/>
      <c r="E228" s="27" t="n"/>
      <c r="F228" s="27" t="n"/>
      <c r="G228" s="27" t="n"/>
      <c r="H228" s="27" t="n"/>
      <c r="I228" s="36" t="n"/>
      <c r="J228" s="36" t="n"/>
      <c r="K228" s="34">
        <f>IF(OR(I228="",J228=""),"",(J228-I228)*1440)</f>
        <v/>
      </c>
      <c r="L228" s="37">
        <f>IF(I228="","",I228-TIME(9,0,0))</f>
        <v/>
      </c>
      <c r="M228" s="33" t="n"/>
      <c r="N228" s="32" t="inlineStr">
        <is>
          <t>gon</t>
        </is>
      </c>
      <c r="O228" s="27" t="n"/>
      <c r="P228" s="33" t="n"/>
      <c r="Q228" s="33" t="n"/>
      <c r="R228" s="38" t="n"/>
      <c r="S228" s="28" t="n"/>
      <c r="T228" s="27" t="n"/>
      <c r="U228" s="27" t="n"/>
      <c r="V228" s="27" t="n"/>
    </row>
    <row r="229">
      <c r="A229" s="27" t="n"/>
      <c r="B229" s="27" t="n"/>
      <c r="C229" s="39" t="n"/>
      <c r="D229" s="27" t="n"/>
      <c r="E229" s="27" t="n"/>
      <c r="F229" s="27" t="n"/>
      <c r="G229" s="27" t="n"/>
      <c r="H229" s="27" t="n"/>
      <c r="I229" s="36" t="n"/>
      <c r="J229" s="36" t="n"/>
      <c r="K229" s="34">
        <f>IF(OR(I229="",J229=""),"",(J229-I229)*1440)</f>
        <v/>
      </c>
      <c r="L229" s="37">
        <f>IF(I229="","",I229-TIME(9,0,0))</f>
        <v/>
      </c>
      <c r="M229" s="33" t="n"/>
      <c r="N229" s="32" t="inlineStr">
        <is>
          <t>gon</t>
        </is>
      </c>
      <c r="O229" s="27" t="n"/>
      <c r="P229" s="33" t="n"/>
      <c r="Q229" s="33" t="n"/>
      <c r="R229" s="38" t="n"/>
      <c r="S229" s="28" t="n"/>
      <c r="T229" s="27" t="n"/>
      <c r="U229" s="27" t="n"/>
      <c r="V229" s="27" t="n"/>
    </row>
    <row r="230">
      <c r="A230" s="27" t="n"/>
      <c r="B230" s="27" t="n"/>
      <c r="C230" s="39" t="n"/>
      <c r="D230" s="27" t="n"/>
      <c r="E230" s="27" t="n"/>
      <c r="F230" s="27" t="n"/>
      <c r="G230" s="27" t="n"/>
      <c r="H230" s="27" t="n"/>
      <c r="I230" s="36" t="n"/>
      <c r="J230" s="36" t="n"/>
      <c r="K230" s="34">
        <f>IF(OR(I230="",J230=""),"",(J230-I230)*1440)</f>
        <v/>
      </c>
      <c r="L230" s="37">
        <f>IF(I230="","",I230-TIME(9,0,0))</f>
        <v/>
      </c>
      <c r="M230" s="33" t="n"/>
      <c r="N230" s="32" t="inlineStr">
        <is>
          <t>gon</t>
        </is>
      </c>
      <c r="O230" s="27" t="n"/>
      <c r="P230" s="33" t="n"/>
      <c r="Q230" s="33" t="n"/>
      <c r="R230" s="38" t="n"/>
      <c r="S230" s="28" t="n"/>
      <c r="T230" s="27" t="n"/>
      <c r="U230" s="27" t="n"/>
      <c r="V230" s="27" t="n"/>
    </row>
    <row r="231">
      <c r="A231" s="27" t="n"/>
      <c r="B231" s="27" t="n"/>
      <c r="C231" s="39" t="n"/>
      <c r="D231" s="27" t="n"/>
      <c r="E231" s="27" t="n"/>
      <c r="F231" s="27" t="n"/>
      <c r="G231" s="27" t="n"/>
      <c r="H231" s="27" t="n"/>
      <c r="I231" s="36" t="n"/>
      <c r="J231" s="36" t="n"/>
      <c r="K231" s="34">
        <f>IF(OR(I231="",J231=""),"",(J231-I231)*1440)</f>
        <v/>
      </c>
      <c r="L231" s="37">
        <f>IF(I231="","",I231-TIME(9,0,0))</f>
        <v/>
      </c>
      <c r="M231" s="33" t="n"/>
      <c r="N231" s="32" t="inlineStr">
        <is>
          <t>gon</t>
        </is>
      </c>
      <c r="O231" s="27" t="n"/>
      <c r="P231" s="33" t="n"/>
      <c r="Q231" s="33" t="n"/>
      <c r="R231" s="38" t="n"/>
      <c r="S231" s="28" t="n"/>
      <c r="T231" s="27" t="n"/>
      <c r="U231" s="27" t="n"/>
      <c r="V231" s="27" t="n"/>
    </row>
    <row r="232">
      <c r="A232" s="27" t="n"/>
      <c r="B232" s="27" t="n"/>
      <c r="C232" s="39" t="n"/>
      <c r="D232" s="27" t="n"/>
      <c r="E232" s="27" t="n"/>
      <c r="F232" s="27" t="n"/>
      <c r="G232" s="27" t="n"/>
      <c r="H232" s="27" t="n"/>
      <c r="I232" s="36" t="n"/>
      <c r="J232" s="36" t="n"/>
      <c r="K232" s="34">
        <f>IF(OR(I232="",J232=""),"",(J232-I232)*1440)</f>
        <v/>
      </c>
      <c r="L232" s="37">
        <f>IF(I232="","",I232-TIME(9,0,0))</f>
        <v/>
      </c>
      <c r="M232" s="33" t="n"/>
      <c r="N232" s="32" t="inlineStr">
        <is>
          <t>gon</t>
        </is>
      </c>
      <c r="O232" s="27" t="n"/>
      <c r="P232" s="33" t="n"/>
      <c r="Q232" s="33" t="n"/>
      <c r="R232" s="38" t="n"/>
      <c r="S232" s="28" t="n"/>
      <c r="T232" s="27" t="n"/>
      <c r="U232" s="27" t="n"/>
      <c r="V232" s="27" t="n"/>
    </row>
    <row r="233">
      <c r="A233" s="27" t="n"/>
      <c r="B233" s="27" t="n"/>
      <c r="C233" s="39" t="n"/>
      <c r="D233" s="27" t="n"/>
      <c r="E233" s="27" t="n"/>
      <c r="F233" s="27" t="n"/>
      <c r="G233" s="27" t="n"/>
      <c r="H233" s="27" t="n"/>
      <c r="I233" s="36" t="n"/>
      <c r="J233" s="36" t="n"/>
      <c r="K233" s="34">
        <f>IF(OR(I233="",J233=""),"",(J233-I233)*1440)</f>
        <v/>
      </c>
      <c r="L233" s="37">
        <f>IF(I233="","",I233-TIME(9,0,0))</f>
        <v/>
      </c>
      <c r="M233" s="33" t="n"/>
      <c r="N233" s="32" t="inlineStr">
        <is>
          <t>gon</t>
        </is>
      </c>
      <c r="O233" s="27" t="n"/>
      <c r="P233" s="33" t="n"/>
      <c r="Q233" s="33" t="n"/>
      <c r="R233" s="38" t="n"/>
      <c r="S233" s="28" t="n"/>
      <c r="T233" s="27" t="n"/>
      <c r="U233" s="27" t="n"/>
      <c r="V233" s="27" t="n"/>
    </row>
    <row r="234">
      <c r="A234" s="27" t="n"/>
      <c r="B234" s="27" t="n"/>
      <c r="C234" s="39" t="n"/>
      <c r="D234" s="27" t="n"/>
      <c r="E234" s="27" t="n"/>
      <c r="F234" s="27" t="n"/>
      <c r="G234" s="27" t="n"/>
      <c r="H234" s="27" t="n"/>
      <c r="I234" s="36" t="n"/>
      <c r="J234" s="36" t="n"/>
      <c r="K234" s="34">
        <f>IF(OR(I234="",J234=""),"",(J234-I234)*1440)</f>
        <v/>
      </c>
      <c r="L234" s="37">
        <f>IF(I234="","",I234-TIME(9,0,0))</f>
        <v/>
      </c>
      <c r="M234" s="33" t="n"/>
      <c r="N234" s="32" t="inlineStr">
        <is>
          <t>gon</t>
        </is>
      </c>
      <c r="O234" s="27" t="n"/>
      <c r="P234" s="33" t="n"/>
      <c r="Q234" s="33" t="n"/>
      <c r="R234" s="38" t="n"/>
      <c r="S234" s="28" t="n"/>
      <c r="T234" s="27" t="n"/>
      <c r="U234" s="27" t="n"/>
      <c r="V234" s="27" t="n"/>
    </row>
    <row r="235">
      <c r="A235" s="27" t="n"/>
      <c r="B235" s="27" t="n"/>
      <c r="C235" s="39" t="n"/>
      <c r="D235" s="27" t="n"/>
      <c r="E235" s="27" t="n"/>
      <c r="F235" s="27" t="n"/>
      <c r="G235" s="27" t="n"/>
      <c r="H235" s="27" t="n"/>
      <c r="I235" s="36" t="n"/>
      <c r="J235" s="36" t="n"/>
      <c r="K235" s="34">
        <f>IF(OR(I235="",J235=""),"",(J235-I235)*1440)</f>
        <v/>
      </c>
      <c r="L235" s="37">
        <f>IF(I235="","",I235-TIME(9,0,0))</f>
        <v/>
      </c>
      <c r="M235" s="33" t="n"/>
      <c r="N235" s="32" t="inlineStr">
        <is>
          <t>gon</t>
        </is>
      </c>
      <c r="O235" s="27" t="n"/>
      <c r="P235" s="33" t="n"/>
      <c r="Q235" s="33" t="n"/>
      <c r="R235" s="38" t="n"/>
      <c r="S235" s="28" t="n"/>
      <c r="T235" s="27" t="n"/>
      <c r="U235" s="27" t="n"/>
      <c r="V235" s="27" t="n"/>
    </row>
    <row r="236">
      <c r="A236" s="27" t="n"/>
      <c r="B236" s="27" t="n"/>
      <c r="C236" s="39" t="n"/>
      <c r="D236" s="27" t="n"/>
      <c r="E236" s="27" t="n"/>
      <c r="F236" s="27" t="n"/>
      <c r="G236" s="27" t="n"/>
      <c r="H236" s="27" t="n"/>
      <c r="I236" s="36" t="n"/>
      <c r="J236" s="36" t="n"/>
      <c r="K236" s="34">
        <f>IF(OR(I236="",J236=""),"",(J236-I236)*1440)</f>
        <v/>
      </c>
      <c r="L236" s="37">
        <f>IF(I236="","",I236-TIME(9,0,0))</f>
        <v/>
      </c>
      <c r="M236" s="33" t="n"/>
      <c r="N236" s="32" t="inlineStr">
        <is>
          <t>gon</t>
        </is>
      </c>
      <c r="O236" s="27" t="n"/>
      <c r="P236" s="33" t="n"/>
      <c r="Q236" s="33" t="n"/>
      <c r="R236" s="38" t="n"/>
      <c r="S236" s="28" t="n"/>
      <c r="T236" s="27" t="n"/>
      <c r="U236" s="27" t="n"/>
      <c r="V236" s="27" t="n"/>
    </row>
    <row r="237">
      <c r="A237" s="27" t="n"/>
      <c r="B237" s="27" t="n"/>
      <c r="C237" s="39" t="n"/>
      <c r="D237" s="27" t="n"/>
      <c r="E237" s="27" t="n"/>
      <c r="F237" s="27" t="n"/>
      <c r="G237" s="27" t="n"/>
      <c r="H237" s="27" t="n"/>
      <c r="I237" s="36" t="n"/>
      <c r="J237" s="36" t="n"/>
      <c r="K237" s="34">
        <f>IF(OR(I237="",J237=""),"",(J237-I237)*1440)</f>
        <v/>
      </c>
      <c r="L237" s="37">
        <f>IF(I237="","",I237-TIME(9,0,0))</f>
        <v/>
      </c>
      <c r="M237" s="33" t="n"/>
      <c r="N237" s="32" t="inlineStr">
        <is>
          <t>gon</t>
        </is>
      </c>
      <c r="O237" s="27" t="n"/>
      <c r="P237" s="33" t="n"/>
      <c r="Q237" s="33" t="n"/>
      <c r="R237" s="38" t="n"/>
      <c r="S237" s="28" t="n"/>
      <c r="T237" s="27" t="n"/>
      <c r="U237" s="27" t="n"/>
      <c r="V237" s="27" t="n"/>
    </row>
    <row r="238">
      <c r="A238" s="27" t="n"/>
      <c r="B238" s="27" t="n"/>
      <c r="C238" s="39" t="n"/>
      <c r="D238" s="27" t="n"/>
      <c r="E238" s="27" t="n"/>
      <c r="F238" s="27" t="n"/>
      <c r="G238" s="27" t="n"/>
      <c r="H238" s="27" t="n"/>
      <c r="I238" s="36" t="n"/>
      <c r="J238" s="36" t="n"/>
      <c r="K238" s="34">
        <f>IF(OR(I238="",J238=""),"",(J238-I238)*1440)</f>
        <v/>
      </c>
      <c r="L238" s="37">
        <f>IF(I238="","",I238-TIME(9,0,0))</f>
        <v/>
      </c>
      <c r="M238" s="33" t="n"/>
      <c r="N238" s="32" t="inlineStr">
        <is>
          <t>gon</t>
        </is>
      </c>
      <c r="O238" s="27" t="n"/>
      <c r="P238" s="33" t="n"/>
      <c r="Q238" s="33" t="n"/>
      <c r="R238" s="38" t="n"/>
      <c r="S238" s="28" t="n"/>
      <c r="T238" s="27" t="n"/>
      <c r="U238" s="27" t="n"/>
      <c r="V238" s="27" t="n"/>
    </row>
    <row r="239">
      <c r="A239" s="27" t="n"/>
      <c r="B239" s="27" t="n"/>
      <c r="C239" s="39" t="n"/>
      <c r="D239" s="27" t="n"/>
      <c r="E239" s="27" t="n"/>
      <c r="F239" s="27" t="n"/>
      <c r="G239" s="27" t="n"/>
      <c r="H239" s="27" t="n"/>
      <c r="I239" s="36" t="n"/>
      <c r="J239" s="36" t="n"/>
      <c r="K239" s="34">
        <f>IF(OR(I239="",J239=""),"",(J239-I239)*1440)</f>
        <v/>
      </c>
      <c r="L239" s="37">
        <f>IF(I239="","",I239-TIME(9,0,0))</f>
        <v/>
      </c>
      <c r="M239" s="33" t="n"/>
      <c r="N239" s="32" t="inlineStr">
        <is>
          <t>gon</t>
        </is>
      </c>
      <c r="O239" s="27" t="n"/>
      <c r="P239" s="33" t="n"/>
      <c r="Q239" s="33" t="n"/>
      <c r="R239" s="38" t="n"/>
      <c r="S239" s="28" t="n"/>
      <c r="T239" s="27" t="n"/>
      <c r="U239" s="27" t="n"/>
      <c r="V239" s="27" t="n"/>
    </row>
    <row r="240">
      <c r="A240" s="27" t="n"/>
      <c r="B240" s="27" t="n"/>
      <c r="C240" s="39" t="n"/>
      <c r="D240" s="27" t="n"/>
      <c r="E240" s="27" t="n"/>
      <c r="F240" s="27" t="n"/>
      <c r="G240" s="27" t="n"/>
      <c r="H240" s="27" t="n"/>
      <c r="I240" s="36" t="n"/>
      <c r="J240" s="36" t="n"/>
      <c r="K240" s="34">
        <f>IF(OR(I240="",J240=""),"",(J240-I240)*1440)</f>
        <v/>
      </c>
      <c r="L240" s="37">
        <f>IF(I240="","",I240-TIME(9,0,0))</f>
        <v/>
      </c>
      <c r="M240" s="33" t="n"/>
      <c r="N240" s="32" t="inlineStr">
        <is>
          <t>gon</t>
        </is>
      </c>
      <c r="O240" s="27" t="n"/>
      <c r="P240" s="33" t="n"/>
      <c r="Q240" s="33" t="n"/>
      <c r="R240" s="38" t="n"/>
      <c r="S240" s="28" t="n"/>
      <c r="T240" s="27" t="n"/>
      <c r="U240" s="27" t="n"/>
      <c r="V240" s="27" t="n"/>
    </row>
    <row r="241">
      <c r="A241" s="27" t="n"/>
      <c r="B241" s="27" t="n"/>
      <c r="C241" s="39" t="n"/>
      <c r="D241" s="27" t="n"/>
      <c r="E241" s="27" t="n"/>
      <c r="F241" s="27" t="n"/>
      <c r="G241" s="27" t="n"/>
      <c r="H241" s="27" t="n"/>
      <c r="I241" s="36" t="n"/>
      <c r="J241" s="36" t="n"/>
      <c r="K241" s="34">
        <f>IF(OR(I241="",J241=""),"",(J241-I241)*1440)</f>
        <v/>
      </c>
      <c r="L241" s="37">
        <f>IF(I241="","",I241-TIME(9,0,0))</f>
        <v/>
      </c>
      <c r="M241" s="33" t="n"/>
      <c r="N241" s="32" t="inlineStr">
        <is>
          <t>gon</t>
        </is>
      </c>
      <c r="O241" s="27" t="n"/>
      <c r="P241" s="33" t="n"/>
      <c r="Q241" s="33" t="n"/>
      <c r="R241" s="38" t="n"/>
      <c r="S241" s="28" t="n"/>
      <c r="T241" s="27" t="n"/>
      <c r="U241" s="27" t="n"/>
      <c r="V241" s="27" t="n"/>
    </row>
    <row r="242">
      <c r="A242" s="27" t="n"/>
      <c r="B242" s="27" t="n"/>
      <c r="C242" s="39" t="n"/>
      <c r="D242" s="27" t="n"/>
      <c r="E242" s="27" t="n"/>
      <c r="F242" s="27" t="n"/>
      <c r="G242" s="27" t="n"/>
      <c r="H242" s="27" t="n"/>
      <c r="I242" s="36" t="n"/>
      <c r="J242" s="36" t="n"/>
      <c r="K242" s="34">
        <f>IF(OR(I242="",J242=""),"",(J242-I242)*1440)</f>
        <v/>
      </c>
      <c r="L242" s="37">
        <f>IF(I242="","",I242-TIME(9,0,0))</f>
        <v/>
      </c>
      <c r="M242" s="33" t="n"/>
      <c r="N242" s="32" t="inlineStr">
        <is>
          <t>gon</t>
        </is>
      </c>
      <c r="O242" s="27" t="n"/>
      <c r="P242" s="33" t="n"/>
      <c r="Q242" s="33" t="n"/>
      <c r="R242" s="38" t="n"/>
      <c r="S242" s="28" t="n"/>
      <c r="T242" s="27" t="n"/>
      <c r="U242" s="27" t="n"/>
      <c r="V242" s="27" t="n"/>
    </row>
    <row r="243">
      <c r="A243" s="27" t="n"/>
      <c r="B243" s="27" t="n"/>
      <c r="C243" s="39" t="n"/>
      <c r="D243" s="27" t="n"/>
      <c r="E243" s="27" t="n"/>
      <c r="F243" s="27" t="n"/>
      <c r="G243" s="27" t="n"/>
      <c r="H243" s="27" t="n"/>
      <c r="I243" s="36" t="n"/>
      <c r="J243" s="36" t="n"/>
      <c r="K243" s="34">
        <f>IF(OR(I243="",J243=""),"",(J243-I243)*1440)</f>
        <v/>
      </c>
      <c r="L243" s="37">
        <f>IF(I243="","",I243-TIME(9,0,0))</f>
        <v/>
      </c>
      <c r="M243" s="33" t="n"/>
      <c r="N243" s="32" t="inlineStr">
        <is>
          <t>gon</t>
        </is>
      </c>
      <c r="O243" s="27" t="n"/>
      <c r="P243" s="33" t="n"/>
      <c r="Q243" s="33" t="n"/>
      <c r="R243" s="38" t="n"/>
      <c r="S243" s="28" t="n"/>
      <c r="T243" s="27" t="n"/>
      <c r="U243" s="27" t="n"/>
      <c r="V243" s="27" t="n"/>
    </row>
    <row r="244">
      <c r="A244" s="27" t="n"/>
      <c r="B244" s="27" t="n"/>
      <c r="C244" s="39" t="n"/>
      <c r="D244" s="27" t="n"/>
      <c r="E244" s="27" t="n"/>
      <c r="F244" s="27" t="n"/>
      <c r="G244" s="27" t="n"/>
      <c r="H244" s="27" t="n"/>
      <c r="I244" s="36" t="n"/>
      <c r="J244" s="36" t="n"/>
      <c r="K244" s="34">
        <f>IF(OR(I244="",J244=""),"",(J244-I244)*1440)</f>
        <v/>
      </c>
      <c r="L244" s="37">
        <f>IF(I244="","",I244-TIME(9,0,0))</f>
        <v/>
      </c>
      <c r="M244" s="33" t="n"/>
      <c r="N244" s="32" t="inlineStr">
        <is>
          <t>gon</t>
        </is>
      </c>
      <c r="O244" s="27" t="n"/>
      <c r="P244" s="33" t="n"/>
      <c r="Q244" s="33" t="n"/>
      <c r="R244" s="38" t="n"/>
      <c r="S244" s="28" t="n"/>
      <c r="T244" s="27" t="n"/>
      <c r="U244" s="27" t="n"/>
      <c r="V244" s="27" t="n"/>
    </row>
    <row r="245">
      <c r="A245" s="27" t="n"/>
      <c r="B245" s="27" t="n"/>
      <c r="C245" s="39" t="n"/>
      <c r="D245" s="27" t="n"/>
      <c r="E245" s="27" t="n"/>
      <c r="F245" s="27" t="n"/>
      <c r="G245" s="27" t="n"/>
      <c r="H245" s="27" t="n"/>
      <c r="I245" s="36" t="n"/>
      <c r="J245" s="36" t="n"/>
      <c r="K245" s="34">
        <f>IF(OR(I245="",J245=""),"",(J245-I245)*1440)</f>
        <v/>
      </c>
      <c r="L245" s="37">
        <f>IF(I245="","",I245-TIME(9,0,0))</f>
        <v/>
      </c>
      <c r="M245" s="33" t="n"/>
      <c r="N245" s="32" t="inlineStr">
        <is>
          <t>gon</t>
        </is>
      </c>
      <c r="O245" s="27" t="n"/>
      <c r="P245" s="33" t="n"/>
      <c r="Q245" s="33" t="n"/>
      <c r="R245" s="38" t="n"/>
      <c r="S245" s="28" t="n"/>
      <c r="T245" s="27" t="n"/>
      <c r="U245" s="27" t="n"/>
      <c r="V245" s="27" t="n"/>
    </row>
    <row r="246">
      <c r="A246" s="27" t="n"/>
      <c r="B246" s="27" t="n"/>
      <c r="C246" s="39" t="n"/>
      <c r="D246" s="27" t="n"/>
      <c r="E246" s="27" t="n"/>
      <c r="F246" s="27" t="n"/>
      <c r="G246" s="27" t="n"/>
      <c r="H246" s="27" t="n"/>
      <c r="I246" s="36" t="n"/>
      <c r="J246" s="36" t="n"/>
      <c r="K246" s="34">
        <f>IF(OR(I246="",J246=""),"",(J246-I246)*1440)</f>
        <v/>
      </c>
      <c r="L246" s="37">
        <f>IF(I246="","",I246-TIME(9,0,0))</f>
        <v/>
      </c>
      <c r="M246" s="33" t="n"/>
      <c r="N246" s="32" t="inlineStr">
        <is>
          <t>gon</t>
        </is>
      </c>
      <c r="O246" s="27" t="n"/>
      <c r="P246" s="33" t="n"/>
      <c r="Q246" s="33" t="n"/>
      <c r="R246" s="38" t="n"/>
      <c r="S246" s="28" t="n"/>
      <c r="T246" s="27" t="n"/>
      <c r="U246" s="27" t="n"/>
      <c r="V246" s="27" t="n"/>
    </row>
    <row r="247">
      <c r="A247" s="27" t="n"/>
      <c r="B247" s="27" t="n"/>
      <c r="C247" s="39" t="n"/>
      <c r="D247" s="27" t="n"/>
      <c r="E247" s="27" t="n"/>
      <c r="F247" s="27" t="n"/>
      <c r="G247" s="27" t="n"/>
      <c r="H247" s="27" t="n"/>
      <c r="I247" s="36" t="n"/>
      <c r="J247" s="36" t="n"/>
      <c r="K247" s="34">
        <f>IF(OR(I247="",J247=""),"",(J247-I247)*1440)</f>
        <v/>
      </c>
      <c r="L247" s="37">
        <f>IF(I247="","",I247-TIME(9,0,0))</f>
        <v/>
      </c>
      <c r="M247" s="33" t="n"/>
      <c r="N247" s="32" t="inlineStr">
        <is>
          <t>gon</t>
        </is>
      </c>
      <c r="O247" s="27" t="n"/>
      <c r="P247" s="33" t="n"/>
      <c r="Q247" s="33" t="n"/>
      <c r="R247" s="38" t="n"/>
      <c r="S247" s="28" t="n"/>
      <c r="T247" s="27" t="n"/>
      <c r="U247" s="27" t="n"/>
      <c r="V247" s="27" t="n"/>
    </row>
    <row r="248">
      <c r="A248" s="27" t="n"/>
      <c r="B248" s="27" t="n"/>
      <c r="C248" s="39" t="n"/>
      <c r="D248" s="27" t="n"/>
      <c r="E248" s="27" t="n"/>
      <c r="F248" s="27" t="n"/>
      <c r="G248" s="27" t="n"/>
      <c r="H248" s="27" t="n"/>
      <c r="I248" s="36" t="n"/>
      <c r="J248" s="36" t="n"/>
      <c r="K248" s="34">
        <f>IF(OR(I248="",J248=""),"",(J248-I248)*1440)</f>
        <v/>
      </c>
      <c r="L248" s="37">
        <f>IF(I248="","",I248-TIME(9,0,0))</f>
        <v/>
      </c>
      <c r="M248" s="33" t="n"/>
      <c r="N248" s="32" t="inlineStr">
        <is>
          <t>gon</t>
        </is>
      </c>
      <c r="O248" s="27" t="n"/>
      <c r="P248" s="33" t="n"/>
      <c r="Q248" s="33" t="n"/>
      <c r="R248" s="38" t="n"/>
      <c r="S248" s="28" t="n"/>
      <c r="T248" s="27" t="n"/>
      <c r="U248" s="27" t="n"/>
      <c r="V248" s="27" t="n"/>
    </row>
    <row r="249">
      <c r="A249" s="27" t="n"/>
      <c r="B249" s="27" t="n"/>
      <c r="C249" s="39" t="n"/>
      <c r="D249" s="27" t="n"/>
      <c r="E249" s="27" t="n"/>
      <c r="F249" s="27" t="n"/>
      <c r="G249" s="27" t="n"/>
      <c r="H249" s="27" t="n"/>
      <c r="I249" s="36" t="n"/>
      <c r="J249" s="36" t="n"/>
      <c r="K249" s="34">
        <f>IF(OR(I249="",J249=""),"",(J249-I249)*1440)</f>
        <v/>
      </c>
      <c r="L249" s="37">
        <f>IF(I249="","",I249-TIME(9,0,0))</f>
        <v/>
      </c>
      <c r="M249" s="33" t="n"/>
      <c r="N249" s="32" t="inlineStr">
        <is>
          <t>gon</t>
        </is>
      </c>
      <c r="O249" s="27" t="n"/>
      <c r="P249" s="33" t="n"/>
      <c r="Q249" s="33" t="n"/>
      <c r="R249" s="38" t="n"/>
      <c r="S249" s="28" t="n"/>
      <c r="T249" s="27" t="n"/>
      <c r="U249" s="27" t="n"/>
      <c r="V249" s="27" t="n"/>
    </row>
    <row r="250">
      <c r="A250" s="27" t="n"/>
      <c r="B250" s="27" t="n"/>
      <c r="C250" s="39" t="n"/>
      <c r="D250" s="27" t="n"/>
      <c r="E250" s="27" t="n"/>
      <c r="F250" s="27" t="n"/>
      <c r="G250" s="27" t="n"/>
      <c r="H250" s="27" t="n"/>
      <c r="I250" s="36" t="n"/>
      <c r="J250" s="36" t="n"/>
      <c r="K250" s="34">
        <f>IF(OR(I250="",J250=""),"",(J250-I250)*1440)</f>
        <v/>
      </c>
      <c r="L250" s="37">
        <f>IF(I250="","",I250-TIME(9,0,0))</f>
        <v/>
      </c>
      <c r="M250" s="33" t="n"/>
      <c r="N250" s="32" t="inlineStr">
        <is>
          <t>gon</t>
        </is>
      </c>
      <c r="O250" s="27" t="n"/>
      <c r="P250" s="33" t="n"/>
      <c r="Q250" s="33" t="n"/>
      <c r="R250" s="38" t="n"/>
      <c r="S250" s="28" t="n"/>
      <c r="T250" s="27" t="n"/>
      <c r="U250" s="27" t="n"/>
      <c r="V250" s="27" t="n"/>
    </row>
    <row r="251">
      <c r="A251" s="27" t="n"/>
      <c r="B251" s="27" t="n"/>
      <c r="C251" s="39" t="n"/>
      <c r="D251" s="27" t="n"/>
      <c r="E251" s="27" t="n"/>
      <c r="F251" s="27" t="n"/>
      <c r="G251" s="27" t="n"/>
      <c r="H251" s="27" t="n"/>
      <c r="I251" s="36" t="n"/>
      <c r="J251" s="36" t="n"/>
      <c r="K251" s="34">
        <f>IF(OR(I251="",J251=""),"",(J251-I251)*1440)</f>
        <v/>
      </c>
      <c r="L251" s="37">
        <f>IF(I251="","",I251-TIME(9,0,0))</f>
        <v/>
      </c>
      <c r="M251" s="33" t="n"/>
      <c r="N251" s="32" t="inlineStr">
        <is>
          <t>gon</t>
        </is>
      </c>
      <c r="O251" s="27" t="n"/>
      <c r="P251" s="33" t="n"/>
      <c r="Q251" s="33" t="n"/>
      <c r="R251" s="38" t="n"/>
      <c r="S251" s="28" t="n"/>
      <c r="T251" s="27" t="n"/>
      <c r="U251" s="27" t="n"/>
      <c r="V251" s="27" t="n"/>
    </row>
    <row r="252">
      <c r="A252" s="27" t="n"/>
      <c r="B252" s="27" t="n"/>
      <c r="C252" s="39" t="n"/>
      <c r="D252" s="27" t="n"/>
      <c r="E252" s="27" t="n"/>
      <c r="F252" s="27" t="n"/>
      <c r="G252" s="27" t="n"/>
      <c r="H252" s="27" t="n"/>
      <c r="I252" s="36" t="n"/>
      <c r="J252" s="36" t="n"/>
      <c r="K252" s="34">
        <f>IF(OR(I252="",J252=""),"",(J252-I252)*1440)</f>
        <v/>
      </c>
      <c r="L252" s="37">
        <f>IF(I252="","",I252-TIME(9,0,0))</f>
        <v/>
      </c>
      <c r="M252" s="33" t="n"/>
      <c r="N252" s="32" t="inlineStr">
        <is>
          <t>gon</t>
        </is>
      </c>
      <c r="O252" s="27" t="n"/>
      <c r="P252" s="33" t="n"/>
      <c r="Q252" s="33" t="n"/>
      <c r="R252" s="38" t="n"/>
      <c r="S252" s="28" t="n"/>
      <c r="T252" s="27" t="n"/>
      <c r="U252" s="27" t="n"/>
      <c r="V252" s="27" t="n"/>
    </row>
    <row r="253">
      <c r="A253" s="27" t="n"/>
      <c r="B253" s="27" t="n"/>
      <c r="C253" s="39" t="n"/>
      <c r="D253" s="27" t="n"/>
      <c r="E253" s="27" t="n"/>
      <c r="F253" s="27" t="n"/>
      <c r="G253" s="27" t="n"/>
      <c r="H253" s="27" t="n"/>
      <c r="I253" s="36" t="n"/>
      <c r="J253" s="36" t="n"/>
      <c r="K253" s="34">
        <f>IF(OR(I253="",J253=""),"",(J253-I253)*1440)</f>
        <v/>
      </c>
      <c r="L253" s="37">
        <f>IF(I253="","",I253-TIME(9,0,0))</f>
        <v/>
      </c>
      <c r="M253" s="33" t="n"/>
      <c r="N253" s="32" t="inlineStr">
        <is>
          <t>gon</t>
        </is>
      </c>
      <c r="O253" s="27" t="n"/>
      <c r="P253" s="33" t="n"/>
      <c r="Q253" s="33" t="n"/>
      <c r="R253" s="38" t="n"/>
      <c r="S253" s="28" t="n"/>
      <c r="T253" s="27" t="n"/>
      <c r="U253" s="27" t="n"/>
      <c r="V253" s="27" t="n"/>
    </row>
    <row r="254">
      <c r="A254" s="27" t="n"/>
      <c r="B254" s="27" t="n"/>
      <c r="C254" s="39" t="n"/>
      <c r="D254" s="27" t="n"/>
      <c r="E254" s="27" t="n"/>
      <c r="F254" s="27" t="n"/>
      <c r="G254" s="27" t="n"/>
      <c r="H254" s="27" t="n"/>
      <c r="I254" s="36" t="n"/>
      <c r="J254" s="36" t="n"/>
      <c r="K254" s="34">
        <f>IF(OR(I254="",J254=""),"",(J254-I254)*1440)</f>
        <v/>
      </c>
      <c r="L254" s="37">
        <f>IF(I254="","",I254-TIME(9,0,0))</f>
        <v/>
      </c>
      <c r="M254" s="33" t="n"/>
      <c r="N254" s="32" t="inlineStr">
        <is>
          <t>gon</t>
        </is>
      </c>
      <c r="O254" s="27" t="n"/>
      <c r="P254" s="33" t="n"/>
      <c r="Q254" s="33" t="n"/>
      <c r="R254" s="38" t="n"/>
      <c r="S254" s="28" t="n"/>
      <c r="T254" s="27" t="n"/>
      <c r="U254" s="27" t="n"/>
      <c r="V254" s="27" t="n"/>
    </row>
    <row r="255">
      <c r="A255" s="27" t="n"/>
      <c r="B255" s="27" t="n"/>
      <c r="C255" s="39" t="n"/>
      <c r="D255" s="27" t="n"/>
      <c r="E255" s="27" t="n"/>
      <c r="F255" s="27" t="n"/>
      <c r="G255" s="27" t="n"/>
      <c r="H255" s="27" t="n"/>
      <c r="I255" s="36" t="n"/>
      <c r="J255" s="36" t="n"/>
      <c r="K255" s="34">
        <f>IF(OR(I255="",J255=""),"",(J255-I255)*1440)</f>
        <v/>
      </c>
      <c r="L255" s="37">
        <f>IF(I255="","",I255-TIME(9,0,0))</f>
        <v/>
      </c>
      <c r="M255" s="33" t="n"/>
      <c r="N255" s="32" t="inlineStr">
        <is>
          <t>gon</t>
        </is>
      </c>
      <c r="O255" s="27" t="n"/>
      <c r="P255" s="33" t="n"/>
      <c r="Q255" s="33" t="n"/>
      <c r="R255" s="38" t="n"/>
      <c r="S255" s="28" t="n"/>
      <c r="T255" s="27" t="n"/>
      <c r="U255" s="27" t="n"/>
      <c r="V255" s="27" t="n"/>
    </row>
    <row r="256">
      <c r="A256" s="27" t="n"/>
      <c r="B256" s="27" t="n"/>
      <c r="C256" s="39" t="n"/>
      <c r="D256" s="27" t="n"/>
      <c r="E256" s="27" t="n"/>
      <c r="F256" s="27" t="n"/>
      <c r="G256" s="27" t="n"/>
      <c r="H256" s="27" t="n"/>
      <c r="I256" s="36" t="n"/>
      <c r="J256" s="36" t="n"/>
      <c r="K256" s="34">
        <f>IF(OR(I256="",J256=""),"",(J256-I256)*1440)</f>
        <v/>
      </c>
      <c r="L256" s="37">
        <f>IF(I256="","",I256-TIME(9,0,0))</f>
        <v/>
      </c>
      <c r="M256" s="33" t="n"/>
      <c r="N256" s="32" t="inlineStr">
        <is>
          <t>gon</t>
        </is>
      </c>
      <c r="O256" s="27" t="n"/>
      <c r="P256" s="33" t="n"/>
      <c r="Q256" s="33" t="n"/>
      <c r="R256" s="38" t="n"/>
      <c r="S256" s="28" t="n"/>
      <c r="T256" s="27" t="n"/>
      <c r="U256" s="27" t="n"/>
      <c r="V256" s="27" t="n"/>
    </row>
    <row r="257">
      <c r="A257" s="27" t="n"/>
      <c r="B257" s="27" t="n"/>
      <c r="C257" s="39" t="n"/>
      <c r="D257" s="27" t="n"/>
      <c r="E257" s="27" t="n"/>
      <c r="F257" s="27" t="n"/>
      <c r="G257" s="27" t="n"/>
      <c r="H257" s="27" t="n"/>
      <c r="I257" s="36" t="n"/>
      <c r="J257" s="36" t="n"/>
      <c r="K257" s="34">
        <f>IF(OR(I257="",J257=""),"",(J257-I257)*1440)</f>
        <v/>
      </c>
      <c r="L257" s="37">
        <f>IF(I257="","",I257-TIME(9,0,0))</f>
        <v/>
      </c>
      <c r="M257" s="33" t="n"/>
      <c r="N257" s="32" t="inlineStr">
        <is>
          <t>gon</t>
        </is>
      </c>
      <c r="O257" s="27" t="n"/>
      <c r="P257" s="33" t="n"/>
      <c r="Q257" s="33" t="n"/>
      <c r="R257" s="38" t="n"/>
      <c r="S257" s="28" t="n"/>
      <c r="T257" s="27" t="n"/>
      <c r="U257" s="27" t="n"/>
      <c r="V257" s="27" t="n"/>
    </row>
    <row r="258">
      <c r="A258" s="27" t="n"/>
      <c r="B258" s="27" t="n"/>
      <c r="C258" s="39" t="n"/>
      <c r="D258" s="27" t="n"/>
      <c r="E258" s="27" t="n"/>
      <c r="F258" s="27" t="n"/>
      <c r="G258" s="27" t="n"/>
      <c r="H258" s="27" t="n"/>
      <c r="I258" s="36" t="n"/>
      <c r="J258" s="36" t="n"/>
      <c r="K258" s="34">
        <f>IF(OR(I258="",J258=""),"",(J258-I258)*1440)</f>
        <v/>
      </c>
      <c r="L258" s="37">
        <f>IF(I258="","",I258-TIME(9,0,0))</f>
        <v/>
      </c>
      <c r="M258" s="33" t="n"/>
      <c r="N258" s="32" t="inlineStr">
        <is>
          <t>gon</t>
        </is>
      </c>
      <c r="O258" s="27" t="n"/>
      <c r="P258" s="33" t="n"/>
      <c r="Q258" s="33" t="n"/>
      <c r="R258" s="38" t="n"/>
      <c r="S258" s="28" t="n"/>
      <c r="T258" s="27" t="n"/>
      <c r="U258" s="27" t="n"/>
      <c r="V258" s="27" t="n"/>
    </row>
    <row r="259">
      <c r="A259" s="27" t="n"/>
      <c r="B259" s="27" t="n"/>
      <c r="C259" s="39" t="n"/>
      <c r="D259" s="27" t="n"/>
      <c r="E259" s="27" t="n"/>
      <c r="F259" s="27" t="n"/>
      <c r="G259" s="27" t="n"/>
      <c r="H259" s="27" t="n"/>
      <c r="I259" s="36" t="n"/>
      <c r="J259" s="36" t="n"/>
      <c r="K259" s="34">
        <f>IF(OR(I259="",J259=""),"",(J259-I259)*1440)</f>
        <v/>
      </c>
      <c r="L259" s="37">
        <f>IF(I259="","",I259-TIME(9,0,0))</f>
        <v/>
      </c>
      <c r="M259" s="33" t="n"/>
      <c r="N259" s="32" t="inlineStr">
        <is>
          <t>gon</t>
        </is>
      </c>
      <c r="O259" s="27" t="n"/>
      <c r="P259" s="33" t="n"/>
      <c r="Q259" s="33" t="n"/>
      <c r="R259" s="38" t="n"/>
      <c r="S259" s="28" t="n"/>
      <c r="T259" s="27" t="n"/>
      <c r="U259" s="27" t="n"/>
      <c r="V259" s="27" t="n"/>
    </row>
    <row r="260">
      <c r="A260" s="27" t="n"/>
      <c r="B260" s="27" t="n"/>
      <c r="C260" s="39" t="n"/>
      <c r="D260" s="27" t="n"/>
      <c r="E260" s="27" t="n"/>
      <c r="F260" s="27" t="n"/>
      <c r="G260" s="27" t="n"/>
      <c r="H260" s="27" t="n"/>
      <c r="I260" s="36" t="n"/>
      <c r="J260" s="36" t="n"/>
      <c r="K260" s="34">
        <f>IF(OR(I260="",J260=""),"",(J260-I260)*1440)</f>
        <v/>
      </c>
      <c r="L260" s="37">
        <f>IF(I260="","",I260-TIME(9,0,0))</f>
        <v/>
      </c>
      <c r="M260" s="33" t="n"/>
      <c r="N260" s="32" t="inlineStr">
        <is>
          <t>gon</t>
        </is>
      </c>
      <c r="O260" s="27" t="n"/>
      <c r="P260" s="33" t="n"/>
      <c r="Q260" s="33" t="n"/>
      <c r="R260" s="38" t="n"/>
      <c r="S260" s="28" t="n"/>
      <c r="T260" s="27" t="n"/>
      <c r="U260" s="27" t="n"/>
      <c r="V260" s="27" t="n"/>
    </row>
    <row r="261">
      <c r="A261" s="27" t="n"/>
      <c r="B261" s="27" t="n"/>
      <c r="C261" s="39" t="n"/>
      <c r="D261" s="27" t="n"/>
      <c r="E261" s="27" t="n"/>
      <c r="F261" s="27" t="n"/>
      <c r="G261" s="27" t="n"/>
      <c r="H261" s="27" t="n"/>
      <c r="I261" s="36" t="n"/>
      <c r="J261" s="36" t="n"/>
      <c r="K261" s="34">
        <f>IF(OR(I261="",J261=""),"",(J261-I261)*1440)</f>
        <v/>
      </c>
      <c r="L261" s="37">
        <f>IF(I261="","",I261-TIME(9,0,0))</f>
        <v/>
      </c>
      <c r="M261" s="33" t="n"/>
      <c r="N261" s="32" t="inlineStr">
        <is>
          <t>gon</t>
        </is>
      </c>
      <c r="O261" s="27" t="n"/>
      <c r="P261" s="33" t="n"/>
      <c r="Q261" s="33" t="n"/>
      <c r="R261" s="38" t="n"/>
      <c r="S261" s="28" t="n"/>
      <c r="T261" s="27" t="n"/>
      <c r="U261" s="27" t="n"/>
      <c r="V261" s="27" t="n"/>
    </row>
    <row r="262">
      <c r="A262" s="27" t="n"/>
      <c r="B262" s="27" t="n"/>
      <c r="C262" s="39" t="n"/>
      <c r="D262" s="27" t="n"/>
      <c r="E262" s="27" t="n"/>
      <c r="F262" s="27" t="n"/>
      <c r="G262" s="27" t="n"/>
      <c r="H262" s="27" t="n"/>
      <c r="I262" s="36" t="n"/>
      <c r="J262" s="36" t="n"/>
      <c r="K262" s="34">
        <f>IF(OR(I262="",J262=""),"",(J262-I262)*1440)</f>
        <v/>
      </c>
      <c r="L262" s="37">
        <f>IF(I262="","",I262-TIME(9,0,0))</f>
        <v/>
      </c>
      <c r="M262" s="33" t="n"/>
      <c r="N262" s="32" t="inlineStr">
        <is>
          <t>gon</t>
        </is>
      </c>
      <c r="O262" s="27" t="n"/>
      <c r="P262" s="33" t="n"/>
      <c r="Q262" s="33" t="n"/>
      <c r="R262" s="38" t="n"/>
      <c r="S262" s="28" t="n"/>
      <c r="T262" s="27" t="n"/>
      <c r="U262" s="27" t="n"/>
      <c r="V262" s="27" t="n"/>
    </row>
    <row r="263">
      <c r="A263" s="27" t="n"/>
      <c r="B263" s="27" t="n"/>
      <c r="C263" s="39" t="n"/>
      <c r="D263" s="27" t="n"/>
      <c r="E263" s="27" t="n"/>
      <c r="F263" s="27" t="n"/>
      <c r="G263" s="27" t="n"/>
      <c r="H263" s="27" t="n"/>
      <c r="I263" s="36" t="n"/>
      <c r="J263" s="36" t="n"/>
      <c r="K263" s="34">
        <f>IF(OR(I263="",J263=""),"",(J263-I263)*1440)</f>
        <v/>
      </c>
      <c r="L263" s="37">
        <f>IF(I263="","",I263-TIME(9,0,0))</f>
        <v/>
      </c>
      <c r="M263" s="33" t="n"/>
      <c r="N263" s="32" t="inlineStr">
        <is>
          <t>gon</t>
        </is>
      </c>
      <c r="O263" s="27" t="n"/>
      <c r="P263" s="33" t="n"/>
      <c r="Q263" s="33" t="n"/>
      <c r="R263" s="38" t="n"/>
      <c r="S263" s="28" t="n"/>
      <c r="T263" s="27" t="n"/>
      <c r="U263" s="27" t="n"/>
      <c r="V263" s="27" t="n"/>
    </row>
    <row r="264">
      <c r="A264" s="27" t="n"/>
      <c r="B264" s="27" t="n"/>
      <c r="C264" s="39" t="n"/>
      <c r="D264" s="27" t="n"/>
      <c r="E264" s="27" t="n"/>
      <c r="F264" s="27" t="n"/>
      <c r="G264" s="27" t="n"/>
      <c r="H264" s="27" t="n"/>
      <c r="I264" s="36" t="n"/>
      <c r="J264" s="36" t="n"/>
      <c r="K264" s="34">
        <f>IF(OR(I264="",J264=""),"",(J264-I264)*1440)</f>
        <v/>
      </c>
      <c r="L264" s="37">
        <f>IF(I264="","",I264-TIME(9,0,0))</f>
        <v/>
      </c>
      <c r="M264" s="33" t="n"/>
      <c r="N264" s="32" t="inlineStr">
        <is>
          <t>gon</t>
        </is>
      </c>
      <c r="O264" s="27" t="n"/>
      <c r="P264" s="33" t="n"/>
      <c r="Q264" s="33" t="n"/>
      <c r="R264" s="38" t="n"/>
      <c r="S264" s="28" t="n"/>
      <c r="T264" s="27" t="n"/>
      <c r="U264" s="27" t="n"/>
      <c r="V264" s="27" t="n"/>
    </row>
    <row r="265">
      <c r="A265" s="27" t="n"/>
      <c r="B265" s="27" t="n"/>
      <c r="C265" s="39" t="n"/>
      <c r="D265" s="27" t="n"/>
      <c r="E265" s="27" t="n"/>
      <c r="F265" s="27" t="n"/>
      <c r="G265" s="27" t="n"/>
      <c r="H265" s="27" t="n"/>
      <c r="I265" s="36" t="n"/>
      <c r="J265" s="36" t="n"/>
      <c r="K265" s="34">
        <f>IF(OR(I265="",J265=""),"",(J265-I265)*1440)</f>
        <v/>
      </c>
      <c r="L265" s="37">
        <f>IF(I265="","",I265-TIME(9,0,0))</f>
        <v/>
      </c>
      <c r="M265" s="33" t="n"/>
      <c r="N265" s="32" t="inlineStr">
        <is>
          <t>gon</t>
        </is>
      </c>
      <c r="O265" s="27" t="n"/>
      <c r="P265" s="33" t="n"/>
      <c r="Q265" s="33" t="n"/>
      <c r="R265" s="38" t="n"/>
      <c r="S265" s="28" t="n"/>
      <c r="T265" s="27" t="n"/>
      <c r="U265" s="27" t="n"/>
      <c r="V265" s="27" t="n"/>
    </row>
    <row r="266">
      <c r="A266" s="27" t="n"/>
      <c r="B266" s="27" t="n"/>
      <c r="C266" s="39" t="n"/>
      <c r="D266" s="27" t="n"/>
      <c r="E266" s="27" t="n"/>
      <c r="F266" s="27" t="n"/>
      <c r="G266" s="27" t="n"/>
      <c r="H266" s="27" t="n"/>
      <c r="I266" s="36" t="n"/>
      <c r="J266" s="36" t="n"/>
      <c r="K266" s="34">
        <f>IF(OR(I266="",J266=""),"",(J266-I266)*1440)</f>
        <v/>
      </c>
      <c r="L266" s="37">
        <f>IF(I266="","",I266-TIME(9,0,0))</f>
        <v/>
      </c>
      <c r="M266" s="33" t="n"/>
      <c r="N266" s="32" t="inlineStr">
        <is>
          <t>gon</t>
        </is>
      </c>
      <c r="O266" s="27" t="n"/>
      <c r="P266" s="33" t="n"/>
      <c r="Q266" s="33" t="n"/>
      <c r="R266" s="38" t="n"/>
      <c r="S266" s="28" t="n"/>
      <c r="T266" s="27" t="n"/>
      <c r="U266" s="27" t="n"/>
      <c r="V266" s="27" t="n"/>
    </row>
    <row r="267">
      <c r="A267" s="27" t="n"/>
      <c r="B267" s="27" t="n"/>
      <c r="C267" s="39" t="n"/>
      <c r="D267" s="27" t="n"/>
      <c r="E267" s="27" t="n"/>
      <c r="F267" s="27" t="n"/>
      <c r="G267" s="27" t="n"/>
      <c r="H267" s="27" t="n"/>
      <c r="I267" s="36" t="n"/>
      <c r="J267" s="36" t="n"/>
      <c r="K267" s="34">
        <f>IF(OR(I267="",J267=""),"",(J267-I267)*1440)</f>
        <v/>
      </c>
      <c r="L267" s="37">
        <f>IF(I267="","",I267-TIME(9,0,0))</f>
        <v/>
      </c>
      <c r="M267" s="33" t="n"/>
      <c r="N267" s="32" t="inlineStr">
        <is>
          <t>gon</t>
        </is>
      </c>
      <c r="O267" s="27" t="n"/>
      <c r="P267" s="33" t="n"/>
      <c r="Q267" s="33" t="n"/>
      <c r="R267" s="38" t="n"/>
      <c r="S267" s="28" t="n"/>
      <c r="T267" s="27" t="n"/>
      <c r="U267" s="27" t="n"/>
      <c r="V267" s="27" t="n"/>
    </row>
    <row r="268">
      <c r="A268" s="27" t="n"/>
      <c r="B268" s="27" t="n"/>
      <c r="C268" s="39" t="n"/>
      <c r="D268" s="27" t="n"/>
      <c r="E268" s="27" t="n"/>
      <c r="F268" s="27" t="n"/>
      <c r="G268" s="27" t="n"/>
      <c r="H268" s="27" t="n"/>
      <c r="I268" s="36" t="n"/>
      <c r="J268" s="36" t="n"/>
      <c r="K268" s="34">
        <f>IF(OR(I268="",J268=""),"",(J268-I268)*1440)</f>
        <v/>
      </c>
      <c r="L268" s="37">
        <f>IF(I268="","",I268-TIME(9,0,0))</f>
        <v/>
      </c>
      <c r="M268" s="33" t="n"/>
      <c r="N268" s="32" t="inlineStr">
        <is>
          <t>gon</t>
        </is>
      </c>
      <c r="O268" s="27" t="n"/>
      <c r="P268" s="33" t="n"/>
      <c r="Q268" s="33" t="n"/>
      <c r="R268" s="38" t="n"/>
      <c r="S268" s="28" t="n"/>
      <c r="T268" s="27" t="n"/>
      <c r="U268" s="27" t="n"/>
      <c r="V268" s="27" t="n"/>
    </row>
    <row r="269">
      <c r="A269" s="27" t="n"/>
      <c r="B269" s="27" t="n"/>
      <c r="C269" s="39" t="n"/>
      <c r="D269" s="27" t="n"/>
      <c r="E269" s="27" t="n"/>
      <c r="F269" s="27" t="n"/>
      <c r="G269" s="27" t="n"/>
      <c r="H269" s="27" t="n"/>
      <c r="I269" s="36" t="n"/>
      <c r="J269" s="36" t="n"/>
      <c r="K269" s="34">
        <f>IF(OR(I269="",J269=""),"",(J269-I269)*1440)</f>
        <v/>
      </c>
      <c r="L269" s="37">
        <f>IF(I269="","",I269-TIME(9,0,0))</f>
        <v/>
      </c>
      <c r="M269" s="33" t="n"/>
      <c r="N269" s="32" t="inlineStr">
        <is>
          <t>gon</t>
        </is>
      </c>
      <c r="O269" s="27" t="n"/>
      <c r="P269" s="33" t="n"/>
      <c r="Q269" s="33" t="n"/>
      <c r="R269" s="38" t="n"/>
      <c r="S269" s="28" t="n"/>
      <c r="T269" s="27" t="n"/>
      <c r="U269" s="27" t="n"/>
      <c r="V269" s="27" t="n"/>
    </row>
    <row r="270">
      <c r="A270" s="27" t="n"/>
      <c r="B270" s="27" t="n"/>
      <c r="C270" s="39" t="n"/>
      <c r="D270" s="27" t="n"/>
      <c r="E270" s="27" t="n"/>
      <c r="F270" s="27" t="n"/>
      <c r="G270" s="27" t="n"/>
      <c r="H270" s="27" t="n"/>
      <c r="I270" s="36" t="n"/>
      <c r="J270" s="36" t="n"/>
      <c r="K270" s="34">
        <f>IF(OR(I270="",J270=""),"",(J270-I270)*1440)</f>
        <v/>
      </c>
      <c r="L270" s="37">
        <f>IF(I270="","",I270-TIME(9,0,0))</f>
        <v/>
      </c>
      <c r="M270" s="33" t="n"/>
      <c r="N270" s="32" t="inlineStr">
        <is>
          <t>gon</t>
        </is>
      </c>
      <c r="O270" s="27" t="n"/>
      <c r="P270" s="33" t="n"/>
      <c r="Q270" s="33" t="n"/>
      <c r="R270" s="38" t="n"/>
      <c r="S270" s="28" t="n"/>
      <c r="T270" s="27" t="n"/>
      <c r="U270" s="27" t="n"/>
      <c r="V270" s="27" t="n"/>
    </row>
    <row r="271">
      <c r="A271" s="27" t="n"/>
      <c r="B271" s="27" t="n"/>
      <c r="C271" s="39" t="n"/>
      <c r="D271" s="27" t="n"/>
      <c r="E271" s="27" t="n"/>
      <c r="F271" s="27" t="n"/>
      <c r="G271" s="27" t="n"/>
      <c r="H271" s="27" t="n"/>
      <c r="I271" s="36" t="n"/>
      <c r="J271" s="36" t="n"/>
      <c r="K271" s="34">
        <f>IF(OR(I271="",J271=""),"",(J271-I271)*1440)</f>
        <v/>
      </c>
      <c r="L271" s="37">
        <f>IF(I271="","",I271-TIME(9,0,0))</f>
        <v/>
      </c>
      <c r="M271" s="33" t="n"/>
      <c r="N271" s="32" t="inlineStr">
        <is>
          <t>gon</t>
        </is>
      </c>
      <c r="O271" s="27" t="n"/>
      <c r="P271" s="33" t="n"/>
      <c r="Q271" s="33" t="n"/>
      <c r="R271" s="38" t="n"/>
      <c r="S271" s="28" t="n"/>
      <c r="T271" s="27" t="n"/>
      <c r="U271" s="27" t="n"/>
      <c r="V271" s="27" t="n"/>
    </row>
    <row r="272">
      <c r="A272" s="27" t="n"/>
      <c r="B272" s="27" t="n"/>
      <c r="C272" s="39" t="n"/>
      <c r="D272" s="27" t="n"/>
      <c r="E272" s="27" t="n"/>
      <c r="F272" s="27" t="n"/>
      <c r="G272" s="27" t="n"/>
      <c r="H272" s="27" t="n"/>
      <c r="I272" s="36" t="n"/>
      <c r="J272" s="36" t="n"/>
      <c r="K272" s="34">
        <f>IF(OR(I272="",J272=""),"",(J272-I272)*1440)</f>
        <v/>
      </c>
      <c r="L272" s="37">
        <f>IF(I272="","",I272-TIME(9,0,0))</f>
        <v/>
      </c>
      <c r="M272" s="33" t="n"/>
      <c r="N272" s="32" t="inlineStr">
        <is>
          <t>gon</t>
        </is>
      </c>
      <c r="O272" s="27" t="n"/>
      <c r="P272" s="33" t="n"/>
      <c r="Q272" s="33" t="n"/>
      <c r="R272" s="38" t="n"/>
      <c r="S272" s="28" t="n"/>
      <c r="T272" s="27" t="n"/>
      <c r="U272" s="27" t="n"/>
      <c r="V272" s="27" t="n"/>
    </row>
    <row r="273">
      <c r="A273" s="27" t="n"/>
      <c r="B273" s="27" t="n"/>
      <c r="C273" s="39" t="n"/>
      <c r="D273" s="27" t="n"/>
      <c r="E273" s="27" t="n"/>
      <c r="F273" s="27" t="n"/>
      <c r="G273" s="27" t="n"/>
      <c r="H273" s="27" t="n"/>
      <c r="I273" s="36" t="n"/>
      <c r="J273" s="36" t="n"/>
      <c r="K273" s="34">
        <f>IF(OR(I273="",J273=""),"",(J273-I273)*1440)</f>
        <v/>
      </c>
      <c r="L273" s="37">
        <f>IF(I273="","",I273-TIME(9,0,0))</f>
        <v/>
      </c>
      <c r="M273" s="33" t="n"/>
      <c r="N273" s="32" t="inlineStr">
        <is>
          <t>gon</t>
        </is>
      </c>
      <c r="O273" s="27" t="n"/>
      <c r="P273" s="33" t="n"/>
      <c r="Q273" s="33" t="n"/>
      <c r="R273" s="38" t="n"/>
      <c r="S273" s="28" t="n"/>
      <c r="T273" s="27" t="n"/>
      <c r="U273" s="27" t="n"/>
      <c r="V273" s="27" t="n"/>
    </row>
    <row r="274">
      <c r="A274" s="27" t="n"/>
      <c r="B274" s="27" t="n"/>
      <c r="C274" s="39" t="n"/>
      <c r="D274" s="27" t="n"/>
      <c r="E274" s="27" t="n"/>
      <c r="F274" s="27" t="n"/>
      <c r="G274" s="27" t="n"/>
      <c r="H274" s="27" t="n"/>
      <c r="I274" s="36" t="n"/>
      <c r="J274" s="36" t="n"/>
      <c r="K274" s="34">
        <f>IF(OR(I274="",J274=""),"",(J274-I274)*1440)</f>
        <v/>
      </c>
      <c r="L274" s="37">
        <f>IF(I274="","",I274-TIME(9,0,0))</f>
        <v/>
      </c>
      <c r="M274" s="33" t="n"/>
      <c r="N274" s="32" t="inlineStr">
        <is>
          <t>gon</t>
        </is>
      </c>
      <c r="O274" s="27" t="n"/>
      <c r="P274" s="33" t="n"/>
      <c r="Q274" s="33" t="n"/>
      <c r="R274" s="38" t="n"/>
      <c r="S274" s="28" t="n"/>
      <c r="T274" s="27" t="n"/>
      <c r="U274" s="27" t="n"/>
      <c r="V274" s="27" t="n"/>
    </row>
    <row r="275">
      <c r="A275" s="27" t="n"/>
      <c r="B275" s="27" t="n"/>
      <c r="C275" s="39" t="n"/>
      <c r="D275" s="27" t="n"/>
      <c r="E275" s="27" t="n"/>
      <c r="F275" s="27" t="n"/>
      <c r="G275" s="27" t="n"/>
      <c r="H275" s="27" t="n"/>
      <c r="I275" s="36" t="n"/>
      <c r="J275" s="36" t="n"/>
      <c r="K275" s="34">
        <f>IF(OR(I275="",J275=""),"",(J275-I275)*1440)</f>
        <v/>
      </c>
      <c r="L275" s="37">
        <f>IF(I275="","",I275-TIME(9,0,0))</f>
        <v/>
      </c>
      <c r="M275" s="33" t="n"/>
      <c r="N275" s="32" t="inlineStr">
        <is>
          <t>gon</t>
        </is>
      </c>
      <c r="O275" s="27" t="n"/>
      <c r="P275" s="33" t="n"/>
      <c r="Q275" s="33" t="n"/>
      <c r="R275" s="38" t="n"/>
      <c r="S275" s="28" t="n"/>
      <c r="T275" s="27" t="n"/>
      <c r="U275" s="27" t="n"/>
      <c r="V275" s="27" t="n"/>
    </row>
    <row r="276">
      <c r="A276" s="27" t="n"/>
      <c r="B276" s="27" t="n"/>
      <c r="C276" s="39" t="n"/>
      <c r="D276" s="27" t="n"/>
      <c r="E276" s="27" t="n"/>
      <c r="F276" s="27" t="n"/>
      <c r="G276" s="27" t="n"/>
      <c r="H276" s="27" t="n"/>
      <c r="I276" s="36" t="n"/>
      <c r="J276" s="36" t="n"/>
      <c r="K276" s="34">
        <f>IF(OR(I276="",J276=""),"",(J276-I276)*1440)</f>
        <v/>
      </c>
      <c r="L276" s="37">
        <f>IF(I276="","",I276-TIME(9,0,0))</f>
        <v/>
      </c>
      <c r="M276" s="33" t="n"/>
      <c r="N276" s="32" t="inlineStr">
        <is>
          <t>gon</t>
        </is>
      </c>
      <c r="O276" s="27" t="n"/>
      <c r="P276" s="33" t="n"/>
      <c r="Q276" s="33" t="n"/>
      <c r="R276" s="38" t="n"/>
      <c r="S276" s="28" t="n"/>
      <c r="T276" s="27" t="n"/>
      <c r="U276" s="27" t="n"/>
      <c r="V276" s="27" t="n"/>
    </row>
    <row r="277">
      <c r="A277" s="27" t="n"/>
      <c r="B277" s="27" t="n"/>
      <c r="C277" s="39" t="n"/>
      <c r="D277" s="27" t="n"/>
      <c r="E277" s="27" t="n"/>
      <c r="F277" s="27" t="n"/>
      <c r="G277" s="27" t="n"/>
      <c r="H277" s="27" t="n"/>
      <c r="I277" s="36" t="n"/>
      <c r="J277" s="36" t="n"/>
      <c r="K277" s="34">
        <f>IF(OR(I277="",J277=""),"",(J277-I277)*1440)</f>
        <v/>
      </c>
      <c r="L277" s="37">
        <f>IF(I277="","",I277-TIME(9,0,0))</f>
        <v/>
      </c>
      <c r="M277" s="33" t="n"/>
      <c r="N277" s="32" t="inlineStr">
        <is>
          <t>gon</t>
        </is>
      </c>
      <c r="O277" s="27" t="n"/>
      <c r="P277" s="33" t="n"/>
      <c r="Q277" s="33" t="n"/>
      <c r="R277" s="38" t="n"/>
      <c r="S277" s="28" t="n"/>
      <c r="T277" s="27" t="n"/>
      <c r="U277" s="27" t="n"/>
      <c r="V277" s="27" t="n"/>
    </row>
    <row r="278">
      <c r="A278" s="27" t="n"/>
      <c r="B278" s="27" t="n"/>
      <c r="C278" s="39" t="n"/>
      <c r="D278" s="27" t="n"/>
      <c r="E278" s="27" t="n"/>
      <c r="F278" s="27" t="n"/>
      <c r="G278" s="27" t="n"/>
      <c r="H278" s="27" t="n"/>
      <c r="I278" s="36" t="n"/>
      <c r="J278" s="36" t="n"/>
      <c r="K278" s="34">
        <f>IF(OR(I278="",J278=""),"",(J278-I278)*1440)</f>
        <v/>
      </c>
      <c r="L278" s="37">
        <f>IF(I278="","",I278-TIME(9,0,0))</f>
        <v/>
      </c>
      <c r="M278" s="33" t="n"/>
      <c r="N278" s="32" t="inlineStr">
        <is>
          <t>gon</t>
        </is>
      </c>
      <c r="O278" s="27" t="n"/>
      <c r="P278" s="33" t="n"/>
      <c r="Q278" s="33" t="n"/>
      <c r="R278" s="38" t="n"/>
      <c r="S278" s="28" t="n"/>
      <c r="T278" s="27" t="n"/>
      <c r="U278" s="27" t="n"/>
      <c r="V278" s="27" t="n"/>
    </row>
    <row r="279">
      <c r="A279" s="27" t="n"/>
      <c r="B279" s="27" t="n"/>
      <c r="C279" s="39" t="n"/>
      <c r="D279" s="27" t="n"/>
      <c r="E279" s="27" t="n"/>
      <c r="F279" s="27" t="n"/>
      <c r="G279" s="27" t="n"/>
      <c r="H279" s="27" t="n"/>
      <c r="I279" s="36" t="n"/>
      <c r="J279" s="36" t="n"/>
      <c r="K279" s="34">
        <f>IF(OR(I279="",J279=""),"",(J279-I279)*1440)</f>
        <v/>
      </c>
      <c r="L279" s="37">
        <f>IF(I279="","",I279-TIME(9,0,0))</f>
        <v/>
      </c>
      <c r="M279" s="33" t="n"/>
      <c r="N279" s="32" t="inlineStr">
        <is>
          <t>gon</t>
        </is>
      </c>
      <c r="O279" s="27" t="n"/>
      <c r="P279" s="33" t="n"/>
      <c r="Q279" s="33" t="n"/>
      <c r="R279" s="38" t="n"/>
      <c r="S279" s="28" t="n"/>
      <c r="T279" s="27" t="n"/>
      <c r="U279" s="27" t="n"/>
      <c r="V279" s="27" t="n"/>
    </row>
    <row r="280">
      <c r="A280" s="27" t="n"/>
      <c r="B280" s="27" t="n"/>
      <c r="C280" s="39" t="n"/>
      <c r="D280" s="27" t="n"/>
      <c r="E280" s="27" t="n"/>
      <c r="F280" s="27" t="n"/>
      <c r="G280" s="27" t="n"/>
      <c r="H280" s="27" t="n"/>
      <c r="I280" s="36" t="n"/>
      <c r="J280" s="36" t="n"/>
      <c r="K280" s="34">
        <f>IF(OR(I280="",J280=""),"",(J280-I280)*1440)</f>
        <v/>
      </c>
      <c r="L280" s="37">
        <f>IF(I280="","",I280-TIME(9,0,0))</f>
        <v/>
      </c>
      <c r="M280" s="33" t="n"/>
      <c r="N280" s="32" t="inlineStr">
        <is>
          <t>gon</t>
        </is>
      </c>
      <c r="O280" s="27" t="n"/>
      <c r="P280" s="33" t="n"/>
      <c r="Q280" s="33" t="n"/>
      <c r="R280" s="38" t="n"/>
      <c r="S280" s="28" t="n"/>
      <c r="T280" s="27" t="n"/>
      <c r="U280" s="27" t="n"/>
      <c r="V280" s="27" t="n"/>
    </row>
    <row r="281">
      <c r="A281" s="27" t="n"/>
      <c r="B281" s="27" t="n"/>
      <c r="C281" s="39" t="n"/>
      <c r="D281" s="27" t="n"/>
      <c r="E281" s="27" t="n"/>
      <c r="F281" s="27" t="n"/>
      <c r="G281" s="27" t="n"/>
      <c r="H281" s="27" t="n"/>
      <c r="I281" s="36" t="n"/>
      <c r="J281" s="36" t="n"/>
      <c r="K281" s="34">
        <f>IF(OR(I281="",J281=""),"",(J281-I281)*1440)</f>
        <v/>
      </c>
      <c r="L281" s="37">
        <f>IF(I281="","",I281-TIME(9,0,0))</f>
        <v/>
      </c>
      <c r="M281" s="33" t="n"/>
      <c r="N281" s="32" t="inlineStr">
        <is>
          <t>gon</t>
        </is>
      </c>
      <c r="O281" s="27" t="n"/>
      <c r="P281" s="33" t="n"/>
      <c r="Q281" s="33" t="n"/>
      <c r="R281" s="38" t="n"/>
      <c r="S281" s="28" t="n"/>
      <c r="T281" s="27" t="n"/>
      <c r="U281" s="27" t="n"/>
      <c r="V281" s="27" t="n"/>
    </row>
    <row r="282">
      <c r="A282" s="27" t="n"/>
      <c r="B282" s="27" t="n"/>
      <c r="C282" s="39" t="n"/>
      <c r="D282" s="27" t="n"/>
      <c r="E282" s="27" t="n"/>
      <c r="F282" s="27" t="n"/>
      <c r="G282" s="27" t="n"/>
      <c r="H282" s="27" t="n"/>
      <c r="I282" s="36" t="n"/>
      <c r="J282" s="36" t="n"/>
      <c r="K282" s="34">
        <f>IF(OR(I282="",J282=""),"",(J282-I282)*1440)</f>
        <v/>
      </c>
      <c r="L282" s="37">
        <f>IF(I282="","",I282-TIME(9,0,0))</f>
        <v/>
      </c>
      <c r="M282" s="33" t="n"/>
      <c r="N282" s="32" t="inlineStr">
        <is>
          <t>gon</t>
        </is>
      </c>
      <c r="O282" s="27" t="n"/>
      <c r="P282" s="33" t="n"/>
      <c r="Q282" s="33" t="n"/>
      <c r="R282" s="38" t="n"/>
      <c r="S282" s="28" t="n"/>
      <c r="T282" s="27" t="n"/>
      <c r="U282" s="27" t="n"/>
      <c r="V282" s="27" t="n"/>
    </row>
    <row r="283">
      <c r="A283" s="27" t="n"/>
      <c r="B283" s="27" t="n"/>
      <c r="C283" s="39" t="n"/>
      <c r="D283" s="27" t="n"/>
      <c r="E283" s="27" t="n"/>
      <c r="F283" s="27" t="n"/>
      <c r="G283" s="27" t="n"/>
      <c r="H283" s="27" t="n"/>
      <c r="I283" s="36" t="n"/>
      <c r="J283" s="36" t="n"/>
      <c r="K283" s="34">
        <f>IF(OR(I283="",J283=""),"",(J283-I283)*1440)</f>
        <v/>
      </c>
      <c r="L283" s="37">
        <f>IF(I283="","",I283-TIME(9,0,0))</f>
        <v/>
      </c>
      <c r="M283" s="33" t="n"/>
      <c r="N283" s="32" t="inlineStr">
        <is>
          <t>gon</t>
        </is>
      </c>
      <c r="O283" s="27" t="n"/>
      <c r="P283" s="33" t="n"/>
      <c r="Q283" s="33" t="n"/>
      <c r="R283" s="38" t="n"/>
      <c r="S283" s="28" t="n"/>
      <c r="T283" s="27" t="n"/>
      <c r="U283" s="27" t="n"/>
      <c r="V283" s="27" t="n"/>
    </row>
    <row r="284">
      <c r="A284" s="27" t="n"/>
      <c r="B284" s="27" t="n"/>
      <c r="C284" s="39" t="n"/>
      <c r="D284" s="27" t="n"/>
      <c r="E284" s="27" t="n"/>
      <c r="F284" s="27" t="n"/>
      <c r="G284" s="27" t="n"/>
      <c r="H284" s="27" t="n"/>
      <c r="I284" s="36" t="n"/>
      <c r="J284" s="36" t="n"/>
      <c r="K284" s="34">
        <f>IF(OR(I284="",J284=""),"",(J284-I284)*1440)</f>
        <v/>
      </c>
      <c r="L284" s="37">
        <f>IF(I284="","",I284-TIME(9,0,0))</f>
        <v/>
      </c>
      <c r="M284" s="33" t="n"/>
      <c r="N284" s="32" t="inlineStr">
        <is>
          <t>gon</t>
        </is>
      </c>
      <c r="O284" s="27" t="n"/>
      <c r="P284" s="33" t="n"/>
      <c r="Q284" s="33" t="n"/>
      <c r="R284" s="38" t="n"/>
      <c r="S284" s="28" t="n"/>
      <c r="T284" s="27" t="n"/>
      <c r="U284" s="27" t="n"/>
      <c r="V284" s="27" t="n"/>
    </row>
    <row r="285">
      <c r="A285" s="27" t="n"/>
      <c r="B285" s="27" t="n"/>
      <c r="C285" s="39" t="n"/>
      <c r="D285" s="27" t="n"/>
      <c r="E285" s="27" t="n"/>
      <c r="F285" s="27" t="n"/>
      <c r="G285" s="27" t="n"/>
      <c r="H285" s="27" t="n"/>
      <c r="I285" s="36" t="n"/>
      <c r="J285" s="36" t="n"/>
      <c r="K285" s="34">
        <f>IF(OR(I285="",J285=""),"",(J285-I285)*1440)</f>
        <v/>
      </c>
      <c r="L285" s="37">
        <f>IF(I285="","",I285-TIME(9,0,0))</f>
        <v/>
      </c>
      <c r="M285" s="33" t="n"/>
      <c r="N285" s="32" t="inlineStr">
        <is>
          <t>gon</t>
        </is>
      </c>
      <c r="O285" s="27" t="n"/>
      <c r="P285" s="33" t="n"/>
      <c r="Q285" s="33" t="n"/>
      <c r="R285" s="38" t="n"/>
      <c r="S285" s="28" t="n"/>
      <c r="T285" s="27" t="n"/>
      <c r="U285" s="27" t="n"/>
      <c r="V285" s="27" t="n"/>
    </row>
    <row r="286">
      <c r="A286" s="27" t="n"/>
      <c r="B286" s="27" t="n"/>
      <c r="C286" s="39" t="n"/>
      <c r="D286" s="27" t="n"/>
      <c r="E286" s="27" t="n"/>
      <c r="F286" s="27" t="n"/>
      <c r="G286" s="27" t="n"/>
      <c r="H286" s="27" t="n"/>
      <c r="I286" s="36" t="n"/>
      <c r="J286" s="36" t="n"/>
      <c r="K286" s="34">
        <f>IF(OR(I286="",J286=""),"",(J286-I286)*1440)</f>
        <v/>
      </c>
      <c r="L286" s="37">
        <f>IF(I286="","",I286-TIME(9,0,0))</f>
        <v/>
      </c>
      <c r="M286" s="33" t="n"/>
      <c r="N286" s="32" t="inlineStr">
        <is>
          <t>gon</t>
        </is>
      </c>
      <c r="O286" s="27" t="n"/>
      <c r="P286" s="33" t="n"/>
      <c r="Q286" s="33" t="n"/>
      <c r="R286" s="38" t="n"/>
      <c r="S286" s="28" t="n"/>
      <c r="T286" s="27" t="n"/>
      <c r="U286" s="27" t="n"/>
      <c r="V286" s="27" t="n"/>
    </row>
    <row r="287">
      <c r="A287" s="27" t="n"/>
      <c r="B287" s="27" t="n"/>
      <c r="C287" s="39" t="n"/>
      <c r="D287" s="27" t="n"/>
      <c r="E287" s="27" t="n"/>
      <c r="F287" s="27" t="n"/>
      <c r="G287" s="27" t="n"/>
      <c r="H287" s="27" t="n"/>
      <c r="I287" s="36" t="n"/>
      <c r="J287" s="36" t="n"/>
      <c r="K287" s="34">
        <f>IF(OR(I287="",J287=""),"",(J287-I287)*1440)</f>
        <v/>
      </c>
      <c r="L287" s="37">
        <f>IF(I287="","",I287-TIME(9,0,0))</f>
        <v/>
      </c>
      <c r="M287" s="33" t="n"/>
      <c r="N287" s="32" t="inlineStr">
        <is>
          <t>gon</t>
        </is>
      </c>
      <c r="O287" s="27" t="n"/>
      <c r="P287" s="33" t="n"/>
      <c r="Q287" s="33" t="n"/>
      <c r="R287" s="38" t="n"/>
      <c r="S287" s="28" t="n"/>
      <c r="T287" s="27" t="n"/>
      <c r="U287" s="27" t="n"/>
      <c r="V287" s="27" t="n"/>
    </row>
    <row r="288">
      <c r="A288" s="27" t="n"/>
      <c r="B288" s="27" t="n"/>
      <c r="C288" s="39" t="n"/>
      <c r="D288" s="27" t="n"/>
      <c r="E288" s="27" t="n"/>
      <c r="F288" s="27" t="n"/>
      <c r="G288" s="27" t="n"/>
      <c r="H288" s="27" t="n"/>
      <c r="I288" s="36" t="n"/>
      <c r="J288" s="36" t="n"/>
      <c r="K288" s="34">
        <f>IF(OR(I288="",J288=""),"",(J288-I288)*1440)</f>
        <v/>
      </c>
      <c r="L288" s="37">
        <f>IF(I288="","",I288-TIME(9,0,0))</f>
        <v/>
      </c>
      <c r="M288" s="33" t="n"/>
      <c r="N288" s="32" t="inlineStr">
        <is>
          <t>gon</t>
        </is>
      </c>
      <c r="O288" s="27" t="n"/>
      <c r="P288" s="33" t="n"/>
      <c r="Q288" s="33" t="n"/>
      <c r="R288" s="38" t="n"/>
      <c r="S288" s="28" t="n"/>
      <c r="T288" s="27" t="n"/>
      <c r="U288" s="27" t="n"/>
      <c r="V288" s="27" t="n"/>
    </row>
    <row r="289">
      <c r="A289" s="27" t="n"/>
      <c r="B289" s="27" t="n"/>
      <c r="C289" s="39" t="n"/>
      <c r="D289" s="27" t="n"/>
      <c r="E289" s="27" t="n"/>
      <c r="F289" s="27" t="n"/>
      <c r="G289" s="27" t="n"/>
      <c r="H289" s="27" t="n"/>
      <c r="I289" s="36" t="n"/>
      <c r="J289" s="36" t="n"/>
      <c r="K289" s="34">
        <f>IF(OR(I289="",J289=""),"",(J289-I289)*1440)</f>
        <v/>
      </c>
      <c r="L289" s="37">
        <f>IF(I289="","",I289-TIME(9,0,0))</f>
        <v/>
      </c>
      <c r="M289" s="33" t="n"/>
      <c r="N289" s="32" t="inlineStr">
        <is>
          <t>gon</t>
        </is>
      </c>
      <c r="O289" s="27" t="n"/>
      <c r="P289" s="33" t="n"/>
      <c r="Q289" s="33" t="n"/>
      <c r="R289" s="38" t="n"/>
      <c r="S289" s="28" t="n"/>
      <c r="T289" s="27" t="n"/>
      <c r="U289" s="27" t="n"/>
      <c r="V289" s="27" t="n"/>
    </row>
    <row r="290">
      <c r="A290" s="27" t="n"/>
      <c r="B290" s="27" t="n"/>
      <c r="C290" s="39" t="n"/>
      <c r="D290" s="27" t="n"/>
      <c r="E290" s="27" t="n"/>
      <c r="F290" s="27" t="n"/>
      <c r="G290" s="27" t="n"/>
      <c r="H290" s="27" t="n"/>
      <c r="I290" s="36" t="n"/>
      <c r="J290" s="36" t="n"/>
      <c r="K290" s="34">
        <f>IF(OR(I290="",J290=""),"",(J290-I290)*1440)</f>
        <v/>
      </c>
      <c r="L290" s="37">
        <f>IF(I290="","",I290-TIME(9,0,0))</f>
        <v/>
      </c>
      <c r="M290" s="33" t="n"/>
      <c r="N290" s="32" t="inlineStr">
        <is>
          <t>gon</t>
        </is>
      </c>
      <c r="O290" s="27" t="n"/>
      <c r="P290" s="33" t="n"/>
      <c r="Q290" s="33" t="n"/>
      <c r="R290" s="38" t="n"/>
      <c r="S290" s="28" t="n"/>
      <c r="T290" s="27" t="n"/>
      <c r="U290" s="27" t="n"/>
      <c r="V290" s="27" t="n"/>
    </row>
    <row r="291">
      <c r="A291" s="27" t="n"/>
      <c r="B291" s="27" t="n"/>
      <c r="C291" s="39" t="n"/>
      <c r="D291" s="27" t="n"/>
      <c r="E291" s="27" t="n"/>
      <c r="F291" s="27" t="n"/>
      <c r="G291" s="27" t="n"/>
      <c r="H291" s="27" t="n"/>
      <c r="I291" s="36" t="n"/>
      <c r="J291" s="36" t="n"/>
      <c r="K291" s="34">
        <f>IF(OR(I291="",J291=""),"",(J291-I291)*1440)</f>
        <v/>
      </c>
      <c r="L291" s="37">
        <f>IF(I291="","",I291-TIME(9,0,0))</f>
        <v/>
      </c>
      <c r="M291" s="33" t="n"/>
      <c r="N291" s="32" t="inlineStr">
        <is>
          <t>gon</t>
        </is>
      </c>
      <c r="O291" s="27" t="n"/>
      <c r="P291" s="33" t="n"/>
      <c r="Q291" s="33" t="n"/>
      <c r="R291" s="38" t="n"/>
      <c r="S291" s="28" t="n"/>
      <c r="T291" s="27" t="n"/>
      <c r="U291" s="27" t="n"/>
      <c r="V291" s="27" t="n"/>
    </row>
    <row r="292">
      <c r="A292" s="27" t="n"/>
      <c r="B292" s="27" t="n"/>
      <c r="C292" s="39" t="n"/>
      <c r="D292" s="27" t="n"/>
      <c r="E292" s="27" t="n"/>
      <c r="F292" s="27" t="n"/>
      <c r="G292" s="27" t="n"/>
      <c r="H292" s="27" t="n"/>
      <c r="I292" s="36" t="n"/>
      <c r="J292" s="36" t="n"/>
      <c r="K292" s="34">
        <f>IF(OR(I292="",J292=""),"",(J292-I292)*1440)</f>
        <v/>
      </c>
      <c r="L292" s="37">
        <f>IF(I292="","",I292-TIME(9,0,0))</f>
        <v/>
      </c>
      <c r="M292" s="33" t="n"/>
      <c r="N292" s="32" t="inlineStr">
        <is>
          <t>gon</t>
        </is>
      </c>
      <c r="O292" s="27" t="n"/>
      <c r="P292" s="33" t="n"/>
      <c r="Q292" s="33" t="n"/>
      <c r="R292" s="38" t="n"/>
      <c r="S292" s="28" t="n"/>
      <c r="T292" s="27" t="n"/>
      <c r="U292" s="27" t="n"/>
      <c r="V292" s="27" t="n"/>
    </row>
    <row r="293">
      <c r="A293" s="27" t="n"/>
      <c r="B293" s="27" t="n"/>
      <c r="C293" s="39" t="n"/>
      <c r="D293" s="27" t="n"/>
      <c r="E293" s="27" t="n"/>
      <c r="F293" s="27" t="n"/>
      <c r="G293" s="27" t="n"/>
      <c r="H293" s="27" t="n"/>
      <c r="I293" s="36" t="n"/>
      <c r="J293" s="36" t="n"/>
      <c r="K293" s="34">
        <f>IF(OR(I293="",J293=""),"",(J293-I293)*1440)</f>
        <v/>
      </c>
      <c r="L293" s="37">
        <f>IF(I293="","",I293-TIME(9,0,0))</f>
        <v/>
      </c>
      <c r="M293" s="33" t="n"/>
      <c r="N293" s="32" t="inlineStr">
        <is>
          <t>gon</t>
        </is>
      </c>
      <c r="O293" s="27" t="n"/>
      <c r="P293" s="33" t="n"/>
      <c r="Q293" s="33" t="n"/>
      <c r="R293" s="38" t="n"/>
      <c r="S293" s="28" t="n"/>
      <c r="T293" s="27" t="n"/>
      <c r="U293" s="27" t="n"/>
      <c r="V293" s="27" t="n"/>
    </row>
    <row r="294">
      <c r="A294" s="27" t="n"/>
      <c r="B294" s="27" t="n"/>
      <c r="C294" s="39" t="n"/>
      <c r="D294" s="27" t="n"/>
      <c r="E294" s="27" t="n"/>
      <c r="F294" s="27" t="n"/>
      <c r="G294" s="27" t="n"/>
      <c r="H294" s="27" t="n"/>
      <c r="I294" s="36" t="n"/>
      <c r="J294" s="36" t="n"/>
      <c r="K294" s="34">
        <f>IF(OR(I294="",J294=""),"",(J294-I294)*1440)</f>
        <v/>
      </c>
      <c r="L294" s="37">
        <f>IF(I294="","",I294-TIME(9,0,0))</f>
        <v/>
      </c>
      <c r="M294" s="33" t="n"/>
      <c r="N294" s="32" t="inlineStr">
        <is>
          <t>gon</t>
        </is>
      </c>
      <c r="O294" s="27" t="n"/>
      <c r="P294" s="33" t="n"/>
      <c r="Q294" s="33" t="n"/>
      <c r="R294" s="38" t="n"/>
      <c r="S294" s="28" t="n"/>
      <c r="T294" s="27" t="n"/>
      <c r="U294" s="27" t="n"/>
      <c r="V294" s="27" t="n"/>
    </row>
    <row r="295">
      <c r="A295" s="27" t="n"/>
      <c r="B295" s="27" t="n"/>
      <c r="C295" s="39" t="n"/>
      <c r="D295" s="27" t="n"/>
      <c r="E295" s="27" t="n"/>
      <c r="F295" s="27" t="n"/>
      <c r="G295" s="27" t="n"/>
      <c r="H295" s="27" t="n"/>
      <c r="I295" s="36" t="n"/>
      <c r="J295" s="36" t="n"/>
      <c r="K295" s="34">
        <f>IF(OR(I295="",J295=""),"",(J295-I295)*1440)</f>
        <v/>
      </c>
      <c r="L295" s="37">
        <f>IF(I295="","",I295-TIME(9,0,0))</f>
        <v/>
      </c>
      <c r="M295" s="33" t="n"/>
      <c r="N295" s="32" t="inlineStr">
        <is>
          <t>gon</t>
        </is>
      </c>
      <c r="O295" s="27" t="n"/>
      <c r="P295" s="33" t="n"/>
      <c r="Q295" s="33" t="n"/>
      <c r="R295" s="38" t="n"/>
      <c r="S295" s="28" t="n"/>
      <c r="T295" s="27" t="n"/>
      <c r="U295" s="27" t="n"/>
      <c r="V295" s="27" t="n"/>
    </row>
    <row r="296">
      <c r="A296" s="27" t="n"/>
      <c r="B296" s="27" t="n"/>
      <c r="C296" s="39" t="n"/>
      <c r="D296" s="27" t="n"/>
      <c r="E296" s="27" t="n"/>
      <c r="F296" s="27" t="n"/>
      <c r="G296" s="27" t="n"/>
      <c r="H296" s="27" t="n"/>
      <c r="I296" s="36" t="n"/>
      <c r="J296" s="36" t="n"/>
      <c r="K296" s="34">
        <f>IF(OR(I296="",J296=""),"",(J296-I296)*1440)</f>
        <v/>
      </c>
      <c r="L296" s="37">
        <f>IF(I296="","",I296-TIME(9,0,0))</f>
        <v/>
      </c>
      <c r="M296" s="33" t="n"/>
      <c r="N296" s="32" t="inlineStr">
        <is>
          <t>gon</t>
        </is>
      </c>
      <c r="O296" s="27" t="n"/>
      <c r="P296" s="33" t="n"/>
      <c r="Q296" s="33" t="n"/>
      <c r="R296" s="38" t="n"/>
      <c r="S296" s="28" t="n"/>
      <c r="T296" s="27" t="n"/>
      <c r="U296" s="27" t="n"/>
      <c r="V296" s="27" t="n"/>
    </row>
    <row r="297">
      <c r="A297" s="27" t="n"/>
      <c r="B297" s="27" t="n"/>
      <c r="C297" s="39" t="n"/>
      <c r="D297" s="27" t="n"/>
      <c r="E297" s="27" t="n"/>
      <c r="F297" s="27" t="n"/>
      <c r="G297" s="27" t="n"/>
      <c r="H297" s="27" t="n"/>
      <c r="I297" s="36" t="n"/>
      <c r="J297" s="36" t="n"/>
      <c r="K297" s="34">
        <f>IF(OR(I297="",J297=""),"",(J297-I297)*1440)</f>
        <v/>
      </c>
      <c r="L297" s="37">
        <f>IF(I297="","",I297-TIME(9,0,0))</f>
        <v/>
      </c>
      <c r="M297" s="33" t="n"/>
      <c r="N297" s="32" t="inlineStr">
        <is>
          <t>gon</t>
        </is>
      </c>
      <c r="O297" s="27" t="n"/>
      <c r="P297" s="33" t="n"/>
      <c r="Q297" s="33" t="n"/>
      <c r="R297" s="38" t="n"/>
      <c r="S297" s="28" t="n"/>
      <c r="T297" s="27" t="n"/>
      <c r="U297" s="27" t="n"/>
      <c r="V297" s="27" t="n"/>
    </row>
    <row r="298">
      <c r="A298" s="27" t="n"/>
      <c r="B298" s="27" t="n"/>
      <c r="C298" s="39" t="n"/>
      <c r="D298" s="27" t="n"/>
      <c r="E298" s="27" t="n"/>
      <c r="F298" s="27" t="n"/>
      <c r="G298" s="27" t="n"/>
      <c r="H298" s="27" t="n"/>
      <c r="I298" s="36" t="n"/>
      <c r="J298" s="36" t="n"/>
      <c r="K298" s="34">
        <f>IF(OR(I298="",J298=""),"",(J298-I298)*1440)</f>
        <v/>
      </c>
      <c r="L298" s="37">
        <f>IF(I298="","",I298-TIME(9,0,0))</f>
        <v/>
      </c>
      <c r="M298" s="33" t="n"/>
      <c r="N298" s="32" t="inlineStr">
        <is>
          <t>gon</t>
        </is>
      </c>
      <c r="O298" s="27" t="n"/>
      <c r="P298" s="33" t="n"/>
      <c r="Q298" s="33" t="n"/>
      <c r="R298" s="38" t="n"/>
      <c r="S298" s="28" t="n"/>
      <c r="T298" s="27" t="n"/>
      <c r="U298" s="27" t="n"/>
      <c r="V298" s="27" t="n"/>
    </row>
    <row r="299">
      <c r="A299" s="27" t="n"/>
      <c r="B299" s="27" t="n"/>
      <c r="C299" s="39" t="n"/>
      <c r="D299" s="27" t="n"/>
      <c r="E299" s="27" t="n"/>
      <c r="F299" s="27" t="n"/>
      <c r="G299" s="27" t="n"/>
      <c r="H299" s="27" t="n"/>
      <c r="I299" s="36" t="n"/>
      <c r="J299" s="36" t="n"/>
      <c r="K299" s="34">
        <f>IF(OR(I299="",J299=""),"",(J299-I299)*1440)</f>
        <v/>
      </c>
      <c r="L299" s="37">
        <f>IF(I299="","",I299-TIME(9,0,0))</f>
        <v/>
      </c>
      <c r="M299" s="33" t="n"/>
      <c r="N299" s="32" t="inlineStr">
        <is>
          <t>gon</t>
        </is>
      </c>
      <c r="O299" s="27" t="n"/>
      <c r="P299" s="33" t="n"/>
      <c r="Q299" s="33" t="n"/>
      <c r="R299" s="38" t="n"/>
      <c r="S299" s="28" t="n"/>
      <c r="T299" s="27" t="n"/>
      <c r="U299" s="27" t="n"/>
      <c r="V299" s="27" t="n"/>
    </row>
    <row r="300">
      <c r="A300" s="27" t="n"/>
      <c r="B300" s="27" t="n"/>
      <c r="C300" s="39" t="n"/>
      <c r="D300" s="27" t="n"/>
      <c r="E300" s="27" t="n"/>
      <c r="F300" s="27" t="n"/>
      <c r="G300" s="27" t="n"/>
      <c r="H300" s="27" t="n"/>
      <c r="I300" s="36" t="n"/>
      <c r="J300" s="36" t="n"/>
      <c r="K300" s="34">
        <f>IF(OR(I300="",J300=""),"",(J300-I300)*1440)</f>
        <v/>
      </c>
      <c r="L300" s="37">
        <f>IF(I300="","",I300-TIME(9,0,0))</f>
        <v/>
      </c>
      <c r="M300" s="33" t="n"/>
      <c r="N300" s="32" t="inlineStr">
        <is>
          <t>gon</t>
        </is>
      </c>
      <c r="O300" s="27" t="n"/>
      <c r="P300" s="33" t="n"/>
      <c r="Q300" s="33" t="n"/>
      <c r="R300" s="38" t="n"/>
      <c r="S300" s="28" t="n"/>
      <c r="T300" s="27" t="n"/>
      <c r="U300" s="27" t="n"/>
      <c r="V300" s="27" t="n"/>
    </row>
    <row r="301">
      <c r="A301" s="27" t="n"/>
      <c r="B301" s="27" t="n"/>
      <c r="C301" s="39" t="n"/>
      <c r="D301" s="27" t="n"/>
      <c r="E301" s="27" t="n"/>
      <c r="F301" s="27" t="n"/>
      <c r="G301" s="27" t="n"/>
      <c r="H301" s="27" t="n"/>
      <c r="I301" s="36" t="n"/>
      <c r="J301" s="36" t="n"/>
      <c r="K301" s="34">
        <f>IF(OR(I301="",J301=""),"",(J301-I301)*1440)</f>
        <v/>
      </c>
      <c r="L301" s="37">
        <f>IF(I301="","",I301-TIME(9,0,0))</f>
        <v/>
      </c>
      <c r="M301" s="33" t="n"/>
      <c r="N301" s="32" t="inlineStr">
        <is>
          <t>gon</t>
        </is>
      </c>
      <c r="O301" s="27" t="n"/>
      <c r="P301" s="33" t="n"/>
      <c r="Q301" s="33" t="n"/>
      <c r="R301" s="38" t="n"/>
      <c r="S301" s="28" t="n"/>
      <c r="T301" s="27" t="n"/>
      <c r="U301" s="27" t="n"/>
      <c r="V301" s="27" t="n"/>
    </row>
    <row r="302">
      <c r="A302" s="27" t="n"/>
      <c r="B302" s="27" t="n"/>
      <c r="C302" s="39" t="n"/>
      <c r="D302" s="27" t="n"/>
      <c r="E302" s="27" t="n"/>
      <c r="F302" s="27" t="n"/>
      <c r="G302" s="27" t="n"/>
      <c r="H302" s="27" t="n"/>
      <c r="I302" s="36" t="n"/>
      <c r="J302" s="36" t="n"/>
      <c r="K302" s="34">
        <f>IF(OR(I302="",J302=""),"",(J302-I302)*1440)</f>
        <v/>
      </c>
      <c r="L302" s="37">
        <f>IF(I302="","",I302-TIME(9,0,0))</f>
        <v/>
      </c>
      <c r="M302" s="33" t="n"/>
      <c r="N302" s="32" t="inlineStr">
        <is>
          <t>gon</t>
        </is>
      </c>
      <c r="O302" s="27" t="n"/>
      <c r="P302" s="33" t="n"/>
      <c r="Q302" s="33" t="n"/>
      <c r="R302" s="38" t="n"/>
      <c r="S302" s="28" t="n"/>
      <c r="T302" s="27" t="n"/>
      <c r="U302" s="27" t="n"/>
      <c r="V302" s="27" t="n"/>
    </row>
    <row r="303">
      <c r="A303" s="27" t="n"/>
      <c r="B303" s="27" t="n"/>
      <c r="C303" s="39" t="n"/>
      <c r="D303" s="27" t="n"/>
      <c r="E303" s="27" t="n"/>
      <c r="F303" s="27" t="n"/>
      <c r="G303" s="27" t="n"/>
      <c r="H303" s="27" t="n"/>
      <c r="I303" s="36" t="n"/>
      <c r="J303" s="36" t="n"/>
      <c r="K303" s="34">
        <f>IF(OR(I303="",J303=""),"",(J303-I303)*1440)</f>
        <v/>
      </c>
      <c r="L303" s="37">
        <f>IF(I303="","",I303-TIME(9,0,0))</f>
        <v/>
      </c>
      <c r="M303" s="33" t="n"/>
      <c r="N303" s="32" t="inlineStr">
        <is>
          <t>gon</t>
        </is>
      </c>
      <c r="O303" s="27" t="n"/>
      <c r="P303" s="33" t="n"/>
      <c r="Q303" s="33" t="n"/>
      <c r="R303" s="38" t="n"/>
      <c r="S303" s="28" t="n"/>
      <c r="T303" s="27" t="n"/>
      <c r="U303" s="27" t="n"/>
      <c r="V303" s="27" t="n"/>
    </row>
    <row r="304">
      <c r="A304" s="27" t="n"/>
      <c r="B304" s="27" t="n"/>
      <c r="C304" s="39" t="n"/>
      <c r="D304" s="27" t="n"/>
      <c r="E304" s="27" t="n"/>
      <c r="F304" s="27" t="n"/>
      <c r="G304" s="27" t="n"/>
      <c r="H304" s="27" t="n"/>
      <c r="I304" s="36" t="n"/>
      <c r="J304" s="36" t="n"/>
      <c r="K304" s="34">
        <f>IF(OR(I304="",J304=""),"",(J304-I304)*1440)</f>
        <v/>
      </c>
      <c r="L304" s="37">
        <f>IF(I304="","",I304-TIME(9,0,0))</f>
        <v/>
      </c>
      <c r="M304" s="33" t="n"/>
      <c r="N304" s="32" t="inlineStr">
        <is>
          <t>gon</t>
        </is>
      </c>
      <c r="O304" s="27" t="n"/>
      <c r="P304" s="33" t="n"/>
      <c r="Q304" s="33" t="n"/>
      <c r="R304" s="38" t="n"/>
      <c r="S304" s="28" t="n"/>
      <c r="T304" s="27" t="n"/>
      <c r="U304" s="27" t="n"/>
      <c r="V304" s="27" t="n"/>
    </row>
    <row r="305">
      <c r="A305" s="27" t="n"/>
      <c r="B305" s="27" t="n"/>
      <c r="C305" s="39" t="n"/>
      <c r="D305" s="27" t="n"/>
      <c r="E305" s="27" t="n"/>
      <c r="F305" s="27" t="n"/>
      <c r="G305" s="27" t="n"/>
      <c r="H305" s="27" t="n"/>
      <c r="I305" s="36" t="n"/>
      <c r="J305" s="36" t="n"/>
      <c r="K305" s="34">
        <f>IF(OR(I305="",J305=""),"",(J305-I305)*1440)</f>
        <v/>
      </c>
      <c r="L305" s="37">
        <f>IF(I305="","",I305-TIME(9,0,0))</f>
        <v/>
      </c>
      <c r="M305" s="33" t="n"/>
      <c r="N305" s="32" t="inlineStr">
        <is>
          <t>gon</t>
        </is>
      </c>
      <c r="O305" s="27" t="n"/>
      <c r="P305" s="33" t="n"/>
      <c r="Q305" s="33" t="n"/>
      <c r="R305" s="38" t="n"/>
      <c r="S305" s="28" t="n"/>
      <c r="T305" s="27" t="n"/>
      <c r="U305" s="27" t="n"/>
      <c r="V305" s="27" t="n"/>
    </row>
    <row r="306">
      <c r="A306" s="27" t="n"/>
      <c r="B306" s="27" t="n"/>
      <c r="C306" s="39" t="n"/>
      <c r="D306" s="27" t="n"/>
      <c r="E306" s="27" t="n"/>
      <c r="F306" s="27" t="n"/>
      <c r="G306" s="27" t="n"/>
      <c r="H306" s="27" t="n"/>
      <c r="I306" s="36" t="n"/>
      <c r="J306" s="36" t="n"/>
      <c r="K306" s="34">
        <f>IF(OR(I306="",J306=""),"",(J306-I306)*1440)</f>
        <v/>
      </c>
      <c r="L306" s="37">
        <f>IF(I306="","",I306-TIME(9,0,0))</f>
        <v/>
      </c>
      <c r="M306" s="33" t="n"/>
      <c r="N306" s="32" t="inlineStr">
        <is>
          <t>gon</t>
        </is>
      </c>
      <c r="O306" s="27" t="n"/>
      <c r="P306" s="33" t="n"/>
      <c r="Q306" s="33" t="n"/>
      <c r="R306" s="38" t="n"/>
      <c r="S306" s="28" t="n"/>
      <c r="T306" s="27" t="n"/>
      <c r="U306" s="27" t="n"/>
      <c r="V306" s="27" t="n"/>
    </row>
    <row r="307">
      <c r="A307" s="27" t="n"/>
      <c r="B307" s="27" t="n"/>
      <c r="C307" s="39" t="n"/>
      <c r="D307" s="27" t="n"/>
      <c r="E307" s="27" t="n"/>
      <c r="F307" s="27" t="n"/>
      <c r="G307" s="27" t="n"/>
      <c r="H307" s="27" t="n"/>
      <c r="I307" s="36" t="n"/>
      <c r="J307" s="36" t="n"/>
      <c r="K307" s="34">
        <f>IF(OR(I307="",J307=""),"",(J307-I307)*1440)</f>
        <v/>
      </c>
      <c r="L307" s="37">
        <f>IF(I307="","",I307-TIME(9,0,0))</f>
        <v/>
      </c>
      <c r="M307" s="33" t="n"/>
      <c r="N307" s="32" t="inlineStr">
        <is>
          <t>gon</t>
        </is>
      </c>
      <c r="O307" s="27" t="n"/>
      <c r="P307" s="33" t="n"/>
      <c r="Q307" s="33" t="n"/>
      <c r="R307" s="38" t="n"/>
      <c r="S307" s="28" t="n"/>
      <c r="T307" s="27" t="n"/>
      <c r="U307" s="27" t="n"/>
      <c r="V307" s="27" t="n"/>
    </row>
    <row r="308">
      <c r="A308" s="27" t="n"/>
      <c r="B308" s="27" t="n"/>
      <c r="C308" s="39" t="n"/>
      <c r="D308" s="27" t="n"/>
      <c r="E308" s="27" t="n"/>
      <c r="F308" s="27" t="n"/>
      <c r="G308" s="27" t="n"/>
      <c r="H308" s="27" t="n"/>
      <c r="I308" s="36" t="n"/>
      <c r="J308" s="36" t="n"/>
      <c r="K308" s="34">
        <f>IF(OR(I308="",J308=""),"",(J308-I308)*1440)</f>
        <v/>
      </c>
      <c r="L308" s="37">
        <f>IF(I308="","",I308-TIME(9,0,0))</f>
        <v/>
      </c>
      <c r="M308" s="33" t="n"/>
      <c r="N308" s="32" t="inlineStr">
        <is>
          <t>gon</t>
        </is>
      </c>
      <c r="O308" s="27" t="n"/>
      <c r="P308" s="33" t="n"/>
      <c r="Q308" s="33" t="n"/>
      <c r="R308" s="38" t="n"/>
      <c r="S308" s="28" t="n"/>
      <c r="T308" s="27" t="n"/>
      <c r="U308" s="27" t="n"/>
      <c r="V308" s="27" t="n"/>
    </row>
    <row r="309">
      <c r="A309" s="27" t="n"/>
      <c r="B309" s="27" t="n"/>
      <c r="C309" s="39" t="n"/>
      <c r="D309" s="27" t="n"/>
      <c r="E309" s="27" t="n"/>
      <c r="F309" s="27" t="n"/>
      <c r="G309" s="27" t="n"/>
      <c r="H309" s="27" t="n"/>
      <c r="I309" s="36" t="n"/>
      <c r="J309" s="36" t="n"/>
      <c r="K309" s="34">
        <f>IF(OR(I309="",J309=""),"",(J309-I309)*1440)</f>
        <v/>
      </c>
      <c r="L309" s="37">
        <f>IF(I309="","",I309-TIME(9,0,0))</f>
        <v/>
      </c>
      <c r="M309" s="33" t="n"/>
      <c r="N309" s="32" t="inlineStr">
        <is>
          <t>gon</t>
        </is>
      </c>
      <c r="O309" s="27" t="n"/>
      <c r="P309" s="33" t="n"/>
      <c r="Q309" s="33" t="n"/>
      <c r="R309" s="38" t="n"/>
      <c r="S309" s="28" t="n"/>
      <c r="T309" s="27" t="n"/>
      <c r="U309" s="27" t="n"/>
      <c r="V309" s="27" t="n"/>
    </row>
    <row r="310">
      <c r="A310" s="27" t="n"/>
      <c r="B310" s="27" t="n"/>
      <c r="C310" s="39" t="n"/>
      <c r="D310" s="27" t="n"/>
      <c r="E310" s="27" t="n"/>
      <c r="F310" s="27" t="n"/>
      <c r="G310" s="27" t="n"/>
      <c r="H310" s="27" t="n"/>
      <c r="I310" s="36" t="n"/>
      <c r="J310" s="36" t="n"/>
      <c r="K310" s="34">
        <f>IF(OR(I310="",J310=""),"",(J310-I310)*1440)</f>
        <v/>
      </c>
      <c r="L310" s="37">
        <f>IF(I310="","",I310-TIME(9,0,0))</f>
        <v/>
      </c>
      <c r="M310" s="33" t="n"/>
      <c r="N310" s="32" t="inlineStr">
        <is>
          <t>gon</t>
        </is>
      </c>
      <c r="O310" s="27" t="n"/>
      <c r="P310" s="33" t="n"/>
      <c r="Q310" s="33" t="n"/>
      <c r="R310" s="38" t="n"/>
      <c r="S310" s="28" t="n"/>
      <c r="T310" s="27" t="n"/>
      <c r="U310" s="27" t="n"/>
      <c r="V310" s="27" t="n"/>
    </row>
    <row r="311">
      <c r="A311" s="27" t="n"/>
      <c r="B311" s="27" t="n"/>
      <c r="C311" s="39" t="n"/>
      <c r="D311" s="27" t="n"/>
      <c r="E311" s="27" t="n"/>
      <c r="F311" s="27" t="n"/>
      <c r="G311" s="27" t="n"/>
      <c r="H311" s="27" t="n"/>
      <c r="I311" s="36" t="n"/>
      <c r="J311" s="36" t="n"/>
      <c r="K311" s="34">
        <f>IF(OR(I311="",J311=""),"",(J311-I311)*1440)</f>
        <v/>
      </c>
      <c r="L311" s="37">
        <f>IF(I311="","",I311-TIME(9,0,0))</f>
        <v/>
      </c>
      <c r="M311" s="33" t="n"/>
      <c r="N311" s="32" t="inlineStr">
        <is>
          <t>gon</t>
        </is>
      </c>
      <c r="O311" s="27" t="n"/>
      <c r="P311" s="33" t="n"/>
      <c r="Q311" s="33" t="n"/>
      <c r="R311" s="38" t="n"/>
      <c r="S311" s="28" t="n"/>
      <c r="T311" s="27" t="n"/>
      <c r="U311" s="27" t="n"/>
      <c r="V311" s="27" t="n"/>
    </row>
    <row r="312">
      <c r="A312" s="27" t="n"/>
      <c r="B312" s="27" t="n"/>
      <c r="C312" s="39" t="n"/>
      <c r="D312" s="27" t="n"/>
      <c r="E312" s="27" t="n"/>
      <c r="F312" s="27" t="n"/>
      <c r="G312" s="27" t="n"/>
      <c r="H312" s="27" t="n"/>
      <c r="I312" s="36" t="n"/>
      <c r="J312" s="36" t="n"/>
      <c r="K312" s="34">
        <f>IF(OR(I312="",J312=""),"",(J312-I312)*1440)</f>
        <v/>
      </c>
      <c r="L312" s="37">
        <f>IF(I312="","",I312-TIME(9,0,0))</f>
        <v/>
      </c>
      <c r="M312" s="33" t="n"/>
      <c r="N312" s="32" t="inlineStr">
        <is>
          <t>gon</t>
        </is>
      </c>
      <c r="O312" s="27" t="n"/>
      <c r="P312" s="33" t="n"/>
      <c r="Q312" s="33" t="n"/>
      <c r="R312" s="38" t="n"/>
      <c r="S312" s="28" t="n"/>
      <c r="T312" s="27" t="n"/>
      <c r="U312" s="27" t="n"/>
      <c r="V312" s="27" t="n"/>
    </row>
    <row r="313">
      <c r="A313" s="27" t="n"/>
      <c r="B313" s="27" t="n"/>
      <c r="C313" s="39" t="n"/>
      <c r="D313" s="27" t="n"/>
      <c r="E313" s="27" t="n"/>
      <c r="F313" s="27" t="n"/>
      <c r="G313" s="27" t="n"/>
      <c r="H313" s="27" t="n"/>
      <c r="I313" s="36" t="n"/>
      <c r="J313" s="36" t="n"/>
      <c r="K313" s="34">
        <f>IF(OR(I313="",J313=""),"",(J313-I313)*1440)</f>
        <v/>
      </c>
      <c r="L313" s="37">
        <f>IF(I313="","",I313-TIME(9,0,0))</f>
        <v/>
      </c>
      <c r="M313" s="33" t="n"/>
      <c r="N313" s="32" t="inlineStr">
        <is>
          <t>gon</t>
        </is>
      </c>
      <c r="O313" s="27" t="n"/>
      <c r="P313" s="33" t="n"/>
      <c r="Q313" s="33" t="n"/>
      <c r="R313" s="38" t="n"/>
      <c r="S313" s="28" t="n"/>
      <c r="T313" s="27" t="n"/>
      <c r="U313" s="27" t="n"/>
      <c r="V313" s="27" t="n"/>
    </row>
    <row r="314">
      <c r="A314" s="27" t="n"/>
      <c r="B314" s="27" t="n"/>
      <c r="C314" s="39" t="n"/>
      <c r="D314" s="27" t="n"/>
      <c r="E314" s="27" t="n"/>
      <c r="F314" s="27" t="n"/>
      <c r="G314" s="27" t="n"/>
      <c r="H314" s="27" t="n"/>
      <c r="I314" s="36" t="n"/>
      <c r="J314" s="36" t="n"/>
      <c r="K314" s="34">
        <f>IF(OR(I314="",J314=""),"",(J314-I314)*1440)</f>
        <v/>
      </c>
      <c r="L314" s="37">
        <f>IF(I314="","",I314-TIME(9,0,0))</f>
        <v/>
      </c>
      <c r="M314" s="33" t="n"/>
      <c r="N314" s="32" t="inlineStr">
        <is>
          <t>gon</t>
        </is>
      </c>
      <c r="O314" s="27" t="n"/>
      <c r="P314" s="33" t="n"/>
      <c r="Q314" s="33" t="n"/>
      <c r="R314" s="38" t="n"/>
      <c r="S314" s="28" t="n"/>
      <c r="T314" s="27" t="n"/>
      <c r="U314" s="27" t="n"/>
      <c r="V314" s="27" t="n"/>
    </row>
    <row r="315">
      <c r="A315" s="27" t="n"/>
      <c r="B315" s="27" t="n"/>
      <c r="C315" s="39" t="n"/>
      <c r="D315" s="27" t="n"/>
      <c r="E315" s="27" t="n"/>
      <c r="F315" s="27" t="n"/>
      <c r="G315" s="27" t="n"/>
      <c r="H315" s="27" t="n"/>
      <c r="I315" s="36" t="n"/>
      <c r="J315" s="36" t="n"/>
      <c r="K315" s="34">
        <f>IF(OR(I315="",J315=""),"",(J315-I315)*1440)</f>
        <v/>
      </c>
      <c r="L315" s="37">
        <f>IF(I315="","",I315-TIME(9,0,0))</f>
        <v/>
      </c>
      <c r="M315" s="33" t="n"/>
      <c r="N315" s="32" t="inlineStr">
        <is>
          <t>gon</t>
        </is>
      </c>
      <c r="O315" s="27" t="n"/>
      <c r="P315" s="33" t="n"/>
      <c r="Q315" s="33" t="n"/>
      <c r="R315" s="38" t="n"/>
      <c r="S315" s="28" t="n"/>
      <c r="T315" s="27" t="n"/>
      <c r="U315" s="27" t="n"/>
      <c r="V315" s="27" t="n"/>
    </row>
    <row r="316">
      <c r="A316" s="27" t="n"/>
      <c r="B316" s="27" t="n"/>
      <c r="C316" s="39" t="n"/>
      <c r="D316" s="27" t="n"/>
      <c r="E316" s="27" t="n"/>
      <c r="F316" s="27" t="n"/>
      <c r="G316" s="27" t="n"/>
      <c r="H316" s="27" t="n"/>
      <c r="I316" s="36" t="n"/>
      <c r="J316" s="36" t="n"/>
      <c r="K316" s="34">
        <f>IF(OR(I316="",J316=""),"",(J316-I316)*1440)</f>
        <v/>
      </c>
      <c r="L316" s="37">
        <f>IF(I316="","",I316-TIME(9,0,0))</f>
        <v/>
      </c>
      <c r="M316" s="33" t="n"/>
      <c r="N316" s="32" t="inlineStr">
        <is>
          <t>gon</t>
        </is>
      </c>
      <c r="O316" s="27" t="n"/>
      <c r="P316" s="33" t="n"/>
      <c r="Q316" s="33" t="n"/>
      <c r="R316" s="38" t="n"/>
      <c r="S316" s="28" t="n"/>
      <c r="T316" s="27" t="n"/>
      <c r="U316" s="27" t="n"/>
      <c r="V316" s="27" t="n"/>
    </row>
    <row r="317">
      <c r="A317" s="27" t="n"/>
      <c r="B317" s="27" t="n"/>
      <c r="C317" s="39" t="n"/>
      <c r="D317" s="27" t="n"/>
      <c r="E317" s="27" t="n"/>
      <c r="F317" s="27" t="n"/>
      <c r="G317" s="27" t="n"/>
      <c r="H317" s="27" t="n"/>
      <c r="I317" s="36" t="n"/>
      <c r="J317" s="36" t="n"/>
      <c r="K317" s="34">
        <f>IF(OR(I317="",J317=""),"",(J317-I317)*1440)</f>
        <v/>
      </c>
      <c r="L317" s="37">
        <f>IF(I317="","",I317-TIME(9,0,0))</f>
        <v/>
      </c>
      <c r="M317" s="33" t="n"/>
      <c r="N317" s="32" t="inlineStr">
        <is>
          <t>gon</t>
        </is>
      </c>
      <c r="O317" s="27" t="n"/>
      <c r="P317" s="33" t="n"/>
      <c r="Q317" s="33" t="n"/>
      <c r="R317" s="38" t="n"/>
      <c r="S317" s="28" t="n"/>
      <c r="T317" s="27" t="n"/>
      <c r="U317" s="27" t="n"/>
      <c r="V317" s="27" t="n"/>
    </row>
    <row r="318">
      <c r="A318" s="27" t="n"/>
      <c r="B318" s="27" t="n"/>
      <c r="C318" s="39" t="n"/>
      <c r="D318" s="27" t="n"/>
      <c r="E318" s="27" t="n"/>
      <c r="F318" s="27" t="n"/>
      <c r="G318" s="27" t="n"/>
      <c r="H318" s="27" t="n"/>
      <c r="I318" s="36" t="n"/>
      <c r="J318" s="36" t="n"/>
      <c r="K318" s="34">
        <f>IF(OR(I318="",J318=""),"",(J318-I318)*1440)</f>
        <v/>
      </c>
      <c r="L318" s="37">
        <f>IF(I318="","",I318-TIME(9,0,0))</f>
        <v/>
      </c>
      <c r="M318" s="33" t="n"/>
      <c r="N318" s="32" t="inlineStr">
        <is>
          <t>gon</t>
        </is>
      </c>
      <c r="O318" s="27" t="n"/>
      <c r="P318" s="33" t="n"/>
      <c r="Q318" s="33" t="n"/>
      <c r="R318" s="38" t="n"/>
      <c r="S318" s="28" t="n"/>
      <c r="T318" s="27" t="n"/>
      <c r="U318" s="27" t="n"/>
      <c r="V318" s="27" t="n"/>
    </row>
    <row r="319">
      <c r="A319" s="27" t="n"/>
      <c r="B319" s="27" t="n"/>
      <c r="C319" s="39" t="n"/>
      <c r="D319" s="27" t="n"/>
      <c r="E319" s="27" t="n"/>
      <c r="F319" s="27" t="n"/>
      <c r="G319" s="27" t="n"/>
      <c r="H319" s="27" t="n"/>
      <c r="I319" s="36" t="n"/>
      <c r="J319" s="36" t="n"/>
      <c r="K319" s="34">
        <f>IF(OR(I319="",J319=""),"",(J319-I319)*1440)</f>
        <v/>
      </c>
      <c r="L319" s="37">
        <f>IF(I319="","",I319-TIME(9,0,0))</f>
        <v/>
      </c>
      <c r="M319" s="33" t="n"/>
      <c r="N319" s="32" t="inlineStr">
        <is>
          <t>gon</t>
        </is>
      </c>
      <c r="O319" s="27" t="n"/>
      <c r="P319" s="33" t="n"/>
      <c r="Q319" s="33" t="n"/>
      <c r="R319" s="38" t="n"/>
      <c r="S319" s="28" t="n"/>
      <c r="T319" s="27" t="n"/>
      <c r="U319" s="27" t="n"/>
      <c r="V319" s="27" t="n"/>
    </row>
    <row r="320">
      <c r="A320" s="27" t="n"/>
      <c r="B320" s="27" t="n"/>
      <c r="C320" s="39" t="n"/>
      <c r="D320" s="27" t="n"/>
      <c r="E320" s="27" t="n"/>
      <c r="F320" s="27" t="n"/>
      <c r="G320" s="27" t="n"/>
      <c r="H320" s="27" t="n"/>
      <c r="I320" s="36" t="n"/>
      <c r="J320" s="36" t="n"/>
      <c r="K320" s="34">
        <f>IF(OR(I320="",J320=""),"",(J320-I320)*1440)</f>
        <v/>
      </c>
      <c r="L320" s="37">
        <f>IF(I320="","",I320-TIME(9,0,0))</f>
        <v/>
      </c>
      <c r="M320" s="33" t="n"/>
      <c r="N320" s="32" t="inlineStr">
        <is>
          <t>gon</t>
        </is>
      </c>
      <c r="O320" s="27" t="n"/>
      <c r="P320" s="33" t="n"/>
      <c r="Q320" s="33" t="n"/>
      <c r="R320" s="38" t="n"/>
      <c r="S320" s="28" t="n"/>
      <c r="T320" s="27" t="n"/>
      <c r="U320" s="27" t="n"/>
      <c r="V320" s="27" t="n"/>
    </row>
    <row r="321">
      <c r="A321" s="27" t="n"/>
      <c r="B321" s="27" t="n"/>
      <c r="C321" s="39" t="n"/>
      <c r="D321" s="27" t="n"/>
      <c r="E321" s="27" t="n"/>
      <c r="F321" s="27" t="n"/>
      <c r="G321" s="27" t="n"/>
      <c r="H321" s="27" t="n"/>
      <c r="I321" s="36" t="n"/>
      <c r="J321" s="36" t="n"/>
      <c r="K321" s="34">
        <f>IF(OR(I321="",J321=""),"",(J321-I321)*1440)</f>
        <v/>
      </c>
      <c r="L321" s="37">
        <f>IF(I321="","",I321-TIME(9,0,0))</f>
        <v/>
      </c>
      <c r="M321" s="33" t="n"/>
      <c r="N321" s="32" t="inlineStr">
        <is>
          <t>gon</t>
        </is>
      </c>
      <c r="O321" s="27" t="n"/>
      <c r="P321" s="33" t="n"/>
      <c r="Q321" s="33" t="n"/>
      <c r="R321" s="38" t="n"/>
      <c r="S321" s="28" t="n"/>
      <c r="T321" s="27" t="n"/>
      <c r="U321" s="27" t="n"/>
      <c r="V321" s="27" t="n"/>
    </row>
    <row r="322">
      <c r="A322" s="27" t="n"/>
      <c r="B322" s="27" t="n"/>
      <c r="C322" s="39" t="n"/>
      <c r="D322" s="27" t="n"/>
      <c r="E322" s="27" t="n"/>
      <c r="F322" s="27" t="n"/>
      <c r="G322" s="27" t="n"/>
      <c r="H322" s="27" t="n"/>
      <c r="I322" s="36" t="n"/>
      <c r="J322" s="36" t="n"/>
      <c r="K322" s="34">
        <f>IF(OR(I322="",J322=""),"",(J322-I322)*1440)</f>
        <v/>
      </c>
      <c r="L322" s="37">
        <f>IF(I322="","",I322-TIME(9,0,0))</f>
        <v/>
      </c>
      <c r="M322" s="33" t="n"/>
      <c r="N322" s="32" t="inlineStr">
        <is>
          <t>gon</t>
        </is>
      </c>
      <c r="O322" s="27" t="n"/>
      <c r="P322" s="33" t="n"/>
      <c r="Q322" s="33" t="n"/>
      <c r="R322" s="38" t="n"/>
      <c r="S322" s="28" t="n"/>
      <c r="T322" s="27" t="n"/>
      <c r="U322" s="27" t="n"/>
      <c r="V322" s="27" t="n"/>
    </row>
    <row r="323">
      <c r="A323" s="27" t="n"/>
      <c r="B323" s="27" t="n"/>
      <c r="C323" s="39" t="n"/>
      <c r="D323" s="27" t="n"/>
      <c r="E323" s="27" t="n"/>
      <c r="F323" s="27" t="n"/>
      <c r="G323" s="27" t="n"/>
      <c r="H323" s="27" t="n"/>
      <c r="I323" s="36" t="n"/>
      <c r="J323" s="36" t="n"/>
      <c r="K323" s="34">
        <f>IF(OR(I323="",J323=""),"",(J323-I323)*1440)</f>
        <v/>
      </c>
      <c r="L323" s="37">
        <f>IF(I323="","",I323-TIME(9,0,0))</f>
        <v/>
      </c>
      <c r="M323" s="33" t="n"/>
      <c r="N323" s="32" t="inlineStr">
        <is>
          <t>gon</t>
        </is>
      </c>
      <c r="O323" s="27" t="n"/>
      <c r="P323" s="33" t="n"/>
      <c r="Q323" s="33" t="n"/>
      <c r="R323" s="38" t="n"/>
      <c r="S323" s="28" t="n"/>
      <c r="T323" s="27" t="n"/>
      <c r="U323" s="27" t="n"/>
      <c r="V323" s="27" t="n"/>
    </row>
    <row r="324">
      <c r="A324" s="27" t="n"/>
      <c r="B324" s="27" t="n"/>
      <c r="C324" s="39" t="n"/>
      <c r="D324" s="27" t="n"/>
      <c r="E324" s="27" t="n"/>
      <c r="F324" s="27" t="n"/>
      <c r="G324" s="27" t="n"/>
      <c r="H324" s="27" t="n"/>
      <c r="I324" s="36" t="n"/>
      <c r="J324" s="36" t="n"/>
      <c r="K324" s="34">
        <f>IF(OR(I324="",J324=""),"",(J324-I324)*1440)</f>
        <v/>
      </c>
      <c r="L324" s="37">
        <f>IF(I324="","",I324-TIME(9,0,0))</f>
        <v/>
      </c>
      <c r="M324" s="33" t="n"/>
      <c r="N324" s="32" t="inlineStr">
        <is>
          <t>gon</t>
        </is>
      </c>
      <c r="O324" s="27" t="n"/>
      <c r="P324" s="33" t="n"/>
      <c r="Q324" s="33" t="n"/>
      <c r="R324" s="38" t="n"/>
      <c r="S324" s="28" t="n"/>
      <c r="T324" s="27" t="n"/>
      <c r="U324" s="27" t="n"/>
      <c r="V324" s="27" t="n"/>
    </row>
    <row r="325">
      <c r="A325" s="27" t="n"/>
      <c r="B325" s="27" t="n"/>
      <c r="C325" s="39" t="n"/>
      <c r="D325" s="27" t="n"/>
      <c r="E325" s="27" t="n"/>
      <c r="F325" s="27" t="n"/>
      <c r="G325" s="27" t="n"/>
      <c r="H325" s="27" t="n"/>
      <c r="I325" s="36" t="n"/>
      <c r="J325" s="36" t="n"/>
      <c r="K325" s="34">
        <f>IF(OR(I325="",J325=""),"",(J325-I325)*1440)</f>
        <v/>
      </c>
      <c r="L325" s="37">
        <f>IF(I325="","",I325-TIME(9,0,0))</f>
        <v/>
      </c>
      <c r="M325" s="33" t="n"/>
      <c r="N325" s="32" t="inlineStr">
        <is>
          <t>gon</t>
        </is>
      </c>
      <c r="O325" s="27" t="n"/>
      <c r="P325" s="33" t="n"/>
      <c r="Q325" s="33" t="n"/>
      <c r="R325" s="38" t="n"/>
      <c r="S325" s="28" t="n"/>
      <c r="T325" s="27" t="n"/>
      <c r="U325" s="27" t="n"/>
      <c r="V325" s="27" t="n"/>
    </row>
    <row r="326">
      <c r="A326" s="27" t="n"/>
      <c r="B326" s="27" t="n"/>
      <c r="C326" s="39" t="n"/>
      <c r="D326" s="27" t="n"/>
      <c r="E326" s="27" t="n"/>
      <c r="F326" s="27" t="n"/>
      <c r="G326" s="27" t="n"/>
      <c r="H326" s="27" t="n"/>
      <c r="I326" s="36" t="n"/>
      <c r="J326" s="36" t="n"/>
      <c r="K326" s="34">
        <f>IF(OR(I326="",J326=""),"",(J326-I326)*1440)</f>
        <v/>
      </c>
      <c r="L326" s="37">
        <f>IF(I326="","",I326-TIME(9,0,0))</f>
        <v/>
      </c>
      <c r="M326" s="33" t="n"/>
      <c r="N326" s="32" t="inlineStr">
        <is>
          <t>gon</t>
        </is>
      </c>
      <c r="O326" s="27" t="n"/>
      <c r="P326" s="33" t="n"/>
      <c r="Q326" s="33" t="n"/>
      <c r="R326" s="38" t="n"/>
      <c r="S326" s="28" t="n"/>
      <c r="T326" s="27" t="n"/>
      <c r="U326" s="27" t="n"/>
      <c r="V326" s="27" t="n"/>
    </row>
    <row r="327">
      <c r="A327" s="27" t="n"/>
      <c r="B327" s="27" t="n"/>
      <c r="C327" s="39" t="n"/>
      <c r="D327" s="27" t="n"/>
      <c r="E327" s="27" t="n"/>
      <c r="F327" s="27" t="n"/>
      <c r="G327" s="27" t="n"/>
      <c r="H327" s="27" t="n"/>
      <c r="I327" s="36" t="n"/>
      <c r="J327" s="36" t="n"/>
      <c r="K327" s="34">
        <f>IF(OR(I327="",J327=""),"",(J327-I327)*1440)</f>
        <v/>
      </c>
      <c r="L327" s="37">
        <f>IF(I327="","",I327-TIME(9,0,0))</f>
        <v/>
      </c>
      <c r="M327" s="33" t="n"/>
      <c r="N327" s="32" t="inlineStr">
        <is>
          <t>gon</t>
        </is>
      </c>
      <c r="O327" s="27" t="n"/>
      <c r="P327" s="33" t="n"/>
      <c r="Q327" s="33" t="n"/>
      <c r="R327" s="38" t="n"/>
      <c r="S327" s="28" t="n"/>
      <c r="T327" s="27" t="n"/>
      <c r="U327" s="27" t="n"/>
      <c r="V327" s="27" t="n"/>
    </row>
    <row r="328">
      <c r="A328" s="27" t="n"/>
      <c r="B328" s="27" t="n"/>
      <c r="C328" s="39" t="n"/>
      <c r="D328" s="27" t="n"/>
      <c r="E328" s="27" t="n"/>
      <c r="F328" s="27" t="n"/>
      <c r="G328" s="27" t="n"/>
      <c r="H328" s="27" t="n"/>
      <c r="I328" s="36" t="n"/>
      <c r="J328" s="36" t="n"/>
      <c r="K328" s="34">
        <f>IF(OR(I328="",J328=""),"",(J328-I328)*1440)</f>
        <v/>
      </c>
      <c r="L328" s="37">
        <f>IF(I328="","",I328-TIME(9,0,0))</f>
        <v/>
      </c>
      <c r="M328" s="33" t="n"/>
      <c r="N328" s="32" t="inlineStr">
        <is>
          <t>gon</t>
        </is>
      </c>
      <c r="O328" s="27" t="n"/>
      <c r="P328" s="33" t="n"/>
      <c r="Q328" s="33" t="n"/>
      <c r="R328" s="38" t="n"/>
      <c r="S328" s="28" t="n"/>
      <c r="T328" s="27" t="n"/>
      <c r="U328" s="27" t="n"/>
      <c r="V328" s="27" t="n"/>
    </row>
    <row r="329">
      <c r="A329" s="27" t="n"/>
      <c r="B329" s="27" t="n"/>
      <c r="C329" s="39" t="n"/>
      <c r="D329" s="27" t="n"/>
      <c r="E329" s="27" t="n"/>
      <c r="F329" s="27" t="n"/>
      <c r="G329" s="27" t="n"/>
      <c r="H329" s="27" t="n"/>
      <c r="I329" s="36" t="n"/>
      <c r="J329" s="36" t="n"/>
      <c r="K329" s="34">
        <f>IF(OR(I329="",J329=""),"",(J329-I329)*1440)</f>
        <v/>
      </c>
      <c r="L329" s="37">
        <f>IF(I329="","",I329-TIME(9,0,0))</f>
        <v/>
      </c>
      <c r="M329" s="33" t="n"/>
      <c r="N329" s="32" t="inlineStr">
        <is>
          <t>gon</t>
        </is>
      </c>
      <c r="O329" s="27" t="n"/>
      <c r="P329" s="33" t="n"/>
      <c r="Q329" s="33" t="n"/>
      <c r="R329" s="38" t="n"/>
      <c r="S329" s="28" t="n"/>
      <c r="T329" s="27" t="n"/>
      <c r="U329" s="27" t="n"/>
      <c r="V329" s="27" t="n"/>
    </row>
    <row r="330">
      <c r="A330" s="27" t="n"/>
      <c r="B330" s="27" t="n"/>
      <c r="C330" s="39" t="n"/>
      <c r="D330" s="27" t="n"/>
      <c r="E330" s="27" t="n"/>
      <c r="F330" s="27" t="n"/>
      <c r="G330" s="27" t="n"/>
      <c r="H330" s="27" t="n"/>
      <c r="I330" s="36" t="n"/>
      <c r="J330" s="36" t="n"/>
      <c r="K330" s="34">
        <f>IF(OR(I330="",J330=""),"",(J330-I330)*1440)</f>
        <v/>
      </c>
      <c r="L330" s="37">
        <f>IF(I330="","",I330-TIME(9,0,0))</f>
        <v/>
      </c>
      <c r="M330" s="33" t="n"/>
      <c r="N330" s="32" t="inlineStr">
        <is>
          <t>gon</t>
        </is>
      </c>
      <c r="O330" s="27" t="n"/>
      <c r="P330" s="33" t="n"/>
      <c r="Q330" s="33" t="n"/>
      <c r="R330" s="38" t="n"/>
      <c r="S330" s="28" t="n"/>
      <c r="T330" s="27" t="n"/>
      <c r="U330" s="27" t="n"/>
      <c r="V330" s="27" t="n"/>
    </row>
    <row r="331">
      <c r="A331" s="27" t="n"/>
      <c r="B331" s="27" t="n"/>
      <c r="C331" s="39" t="n"/>
      <c r="D331" s="27" t="n"/>
      <c r="E331" s="27" t="n"/>
      <c r="F331" s="27" t="n"/>
      <c r="G331" s="27" t="n"/>
      <c r="H331" s="27" t="n"/>
      <c r="I331" s="36" t="n"/>
      <c r="J331" s="36" t="n"/>
      <c r="K331" s="34">
        <f>IF(OR(I331="",J331=""),"",(J331-I331)*1440)</f>
        <v/>
      </c>
      <c r="L331" s="37">
        <f>IF(I331="","",I331-TIME(9,0,0))</f>
        <v/>
      </c>
      <c r="M331" s="33" t="n"/>
      <c r="N331" s="32" t="inlineStr">
        <is>
          <t>gon</t>
        </is>
      </c>
      <c r="O331" s="27" t="n"/>
      <c r="P331" s="33" t="n"/>
      <c r="Q331" s="33" t="n"/>
      <c r="R331" s="38" t="n"/>
      <c r="S331" s="28" t="n"/>
      <c r="T331" s="27" t="n"/>
      <c r="U331" s="27" t="n"/>
      <c r="V331" s="27" t="n"/>
    </row>
    <row r="332">
      <c r="A332" s="27" t="n"/>
      <c r="B332" s="27" t="n"/>
      <c r="C332" s="39" t="n"/>
      <c r="D332" s="27" t="n"/>
      <c r="E332" s="27" t="n"/>
      <c r="F332" s="27" t="n"/>
      <c r="G332" s="27" t="n"/>
      <c r="H332" s="27" t="n"/>
      <c r="I332" s="36" t="n"/>
      <c r="J332" s="36" t="n"/>
      <c r="K332" s="34">
        <f>IF(OR(I332="",J332=""),"",(J332-I332)*1440)</f>
        <v/>
      </c>
      <c r="L332" s="37">
        <f>IF(I332="","",I332-TIME(9,0,0))</f>
        <v/>
      </c>
      <c r="M332" s="33" t="n"/>
      <c r="N332" s="32" t="inlineStr">
        <is>
          <t>gon</t>
        </is>
      </c>
      <c r="O332" s="27" t="n"/>
      <c r="P332" s="33" t="n"/>
      <c r="Q332" s="33" t="n"/>
      <c r="R332" s="38" t="n"/>
      <c r="S332" s="28" t="n"/>
      <c r="T332" s="27" t="n"/>
      <c r="U332" s="27" t="n"/>
      <c r="V332" s="27" t="n"/>
    </row>
    <row r="333">
      <c r="A333" s="27" t="n"/>
      <c r="B333" s="27" t="n"/>
      <c r="C333" s="39" t="n"/>
      <c r="D333" s="27" t="n"/>
      <c r="E333" s="27" t="n"/>
      <c r="F333" s="27" t="n"/>
      <c r="G333" s="27" t="n"/>
      <c r="H333" s="27" t="n"/>
      <c r="I333" s="36" t="n"/>
      <c r="J333" s="36" t="n"/>
      <c r="K333" s="34">
        <f>IF(OR(I333="",J333=""),"",(J333-I333)*1440)</f>
        <v/>
      </c>
      <c r="L333" s="37">
        <f>IF(I333="","",I333-TIME(9,0,0))</f>
        <v/>
      </c>
      <c r="M333" s="33" t="n"/>
      <c r="N333" s="32" t="inlineStr">
        <is>
          <t>gon</t>
        </is>
      </c>
      <c r="O333" s="27" t="n"/>
      <c r="P333" s="33" t="n"/>
      <c r="Q333" s="33" t="n"/>
      <c r="R333" s="38" t="n"/>
      <c r="S333" s="28" t="n"/>
      <c r="T333" s="27" t="n"/>
      <c r="U333" s="27" t="n"/>
      <c r="V333" s="27" t="n"/>
    </row>
    <row r="334">
      <c r="A334" s="27" t="n"/>
      <c r="B334" s="27" t="n"/>
      <c r="C334" s="39" t="n"/>
      <c r="D334" s="27" t="n"/>
      <c r="E334" s="27" t="n"/>
      <c r="F334" s="27" t="n"/>
      <c r="G334" s="27" t="n"/>
      <c r="H334" s="27" t="n"/>
      <c r="I334" s="36" t="n"/>
      <c r="J334" s="36" t="n"/>
      <c r="K334" s="34">
        <f>IF(OR(I334="",J334=""),"",(J334-I334)*1440)</f>
        <v/>
      </c>
      <c r="L334" s="37">
        <f>IF(I334="","",I334-TIME(9,0,0))</f>
        <v/>
      </c>
      <c r="M334" s="33" t="n"/>
      <c r="N334" s="32" t="inlineStr">
        <is>
          <t>gon</t>
        </is>
      </c>
      <c r="O334" s="27" t="n"/>
      <c r="P334" s="33" t="n"/>
      <c r="Q334" s="33" t="n"/>
      <c r="R334" s="38" t="n"/>
      <c r="S334" s="28" t="n"/>
      <c r="T334" s="27" t="n"/>
      <c r="U334" s="27" t="n"/>
      <c r="V334" s="27" t="n"/>
    </row>
    <row r="335">
      <c r="A335" s="27" t="n"/>
      <c r="B335" s="27" t="n"/>
      <c r="C335" s="39" t="n"/>
      <c r="D335" s="27" t="n"/>
      <c r="E335" s="27" t="n"/>
      <c r="F335" s="27" t="n"/>
      <c r="G335" s="27" t="n"/>
      <c r="H335" s="27" t="n"/>
      <c r="I335" s="36" t="n"/>
      <c r="J335" s="36" t="n"/>
      <c r="K335" s="34">
        <f>IF(OR(I335="",J335=""),"",(J335-I335)*1440)</f>
        <v/>
      </c>
      <c r="L335" s="37">
        <f>IF(I335="","",I335-TIME(9,0,0))</f>
        <v/>
      </c>
      <c r="M335" s="33" t="n"/>
      <c r="N335" s="32" t="inlineStr">
        <is>
          <t>gon</t>
        </is>
      </c>
      <c r="O335" s="27" t="n"/>
      <c r="P335" s="33" t="n"/>
      <c r="Q335" s="33" t="n"/>
      <c r="R335" s="38" t="n"/>
      <c r="S335" s="28" t="n"/>
      <c r="T335" s="27" t="n"/>
      <c r="U335" s="27" t="n"/>
      <c r="V335" s="27" t="n"/>
    </row>
    <row r="336">
      <c r="A336" s="27" t="n"/>
      <c r="B336" s="27" t="n"/>
      <c r="C336" s="39" t="n"/>
      <c r="D336" s="27" t="n"/>
      <c r="E336" s="27" t="n"/>
      <c r="F336" s="27" t="n"/>
      <c r="G336" s="27" t="n"/>
      <c r="H336" s="27" t="n"/>
      <c r="I336" s="36" t="n"/>
      <c r="J336" s="36" t="n"/>
      <c r="K336" s="34">
        <f>IF(OR(I336="",J336=""),"",(J336-I336)*1440)</f>
        <v/>
      </c>
      <c r="L336" s="37">
        <f>IF(I336="","",I336-TIME(9,0,0))</f>
        <v/>
      </c>
      <c r="M336" s="33" t="n"/>
      <c r="N336" s="32" t="inlineStr">
        <is>
          <t>gon</t>
        </is>
      </c>
      <c r="O336" s="27" t="n"/>
      <c r="P336" s="33" t="n"/>
      <c r="Q336" s="33" t="n"/>
      <c r="R336" s="38" t="n"/>
      <c r="S336" s="28" t="n"/>
      <c r="T336" s="27" t="n"/>
      <c r="U336" s="27" t="n"/>
      <c r="V336" s="27" t="n"/>
    </row>
    <row r="337">
      <c r="A337" s="27" t="n"/>
      <c r="B337" s="27" t="n"/>
      <c r="C337" s="39" t="n"/>
      <c r="D337" s="27" t="n"/>
      <c r="E337" s="27" t="n"/>
      <c r="F337" s="27" t="n"/>
      <c r="G337" s="27" t="n"/>
      <c r="H337" s="27" t="n"/>
      <c r="I337" s="36" t="n"/>
      <c r="J337" s="36" t="n"/>
      <c r="K337" s="34">
        <f>IF(OR(I337="",J337=""),"",(J337-I337)*1440)</f>
        <v/>
      </c>
      <c r="L337" s="37">
        <f>IF(I337="","",I337-TIME(9,0,0))</f>
        <v/>
      </c>
      <c r="M337" s="33" t="n"/>
      <c r="N337" s="32" t="inlineStr">
        <is>
          <t>gon</t>
        </is>
      </c>
      <c r="O337" s="27" t="n"/>
      <c r="P337" s="33" t="n"/>
      <c r="Q337" s="33" t="n"/>
      <c r="R337" s="38" t="n"/>
      <c r="S337" s="28" t="n"/>
      <c r="T337" s="27" t="n"/>
      <c r="U337" s="27" t="n"/>
      <c r="V337" s="27" t="n"/>
    </row>
    <row r="338">
      <c r="A338" s="27" t="n"/>
      <c r="B338" s="27" t="n"/>
      <c r="C338" s="39" t="n"/>
      <c r="D338" s="27" t="n"/>
      <c r="E338" s="27" t="n"/>
      <c r="F338" s="27" t="n"/>
      <c r="G338" s="27" t="n"/>
      <c r="H338" s="27" t="n"/>
      <c r="I338" s="36" t="n"/>
      <c r="J338" s="36" t="n"/>
      <c r="K338" s="34">
        <f>IF(OR(I338="",J338=""),"",(J338-I338)*1440)</f>
        <v/>
      </c>
      <c r="L338" s="37">
        <f>IF(I338="","",I338-TIME(9,0,0))</f>
        <v/>
      </c>
      <c r="M338" s="33" t="n"/>
      <c r="N338" s="32" t="inlineStr">
        <is>
          <t>gon</t>
        </is>
      </c>
      <c r="O338" s="27" t="n"/>
      <c r="P338" s="33" t="n"/>
      <c r="Q338" s="33" t="n"/>
      <c r="R338" s="38" t="n"/>
      <c r="S338" s="28" t="n"/>
      <c r="T338" s="27" t="n"/>
      <c r="U338" s="27" t="n"/>
      <c r="V338" s="27" t="n"/>
    </row>
    <row r="339">
      <c r="A339" s="27" t="n"/>
      <c r="B339" s="27" t="n"/>
      <c r="C339" s="39" t="n"/>
      <c r="D339" s="27" t="n"/>
      <c r="E339" s="27" t="n"/>
      <c r="F339" s="27" t="n"/>
      <c r="G339" s="27" t="n"/>
      <c r="H339" s="27" t="n"/>
      <c r="I339" s="36" t="n"/>
      <c r="J339" s="36" t="n"/>
      <c r="K339" s="34">
        <f>IF(OR(I339="",J339=""),"",(J339-I339)*1440)</f>
        <v/>
      </c>
      <c r="L339" s="37">
        <f>IF(I339="","",I339-TIME(9,0,0))</f>
        <v/>
      </c>
      <c r="M339" s="33" t="n"/>
      <c r="N339" s="32" t="inlineStr">
        <is>
          <t>gon</t>
        </is>
      </c>
      <c r="O339" s="27" t="n"/>
      <c r="P339" s="33" t="n"/>
      <c r="Q339" s="33" t="n"/>
      <c r="R339" s="38" t="n"/>
      <c r="S339" s="28" t="n"/>
      <c r="T339" s="27" t="n"/>
      <c r="U339" s="27" t="n"/>
      <c r="V339" s="27" t="n"/>
    </row>
    <row r="340">
      <c r="A340" s="27" t="n"/>
      <c r="B340" s="27" t="n"/>
      <c r="C340" s="39" t="n"/>
      <c r="D340" s="27" t="n"/>
      <c r="E340" s="27" t="n"/>
      <c r="F340" s="27" t="n"/>
      <c r="G340" s="27" t="n"/>
      <c r="H340" s="27" t="n"/>
      <c r="I340" s="36" t="n"/>
      <c r="J340" s="36" t="n"/>
      <c r="K340" s="34">
        <f>IF(OR(I340="",J340=""),"",(J340-I340)*1440)</f>
        <v/>
      </c>
      <c r="L340" s="37">
        <f>IF(I340="","",I340-TIME(9,0,0))</f>
        <v/>
      </c>
      <c r="M340" s="33" t="n"/>
      <c r="N340" s="32" t="inlineStr">
        <is>
          <t>gon</t>
        </is>
      </c>
      <c r="O340" s="27" t="n"/>
      <c r="P340" s="33" t="n"/>
      <c r="Q340" s="33" t="n"/>
      <c r="R340" s="38" t="n"/>
      <c r="S340" s="28" t="n"/>
      <c r="T340" s="27" t="n"/>
      <c r="U340" s="27" t="n"/>
      <c r="V340" s="27" t="n"/>
    </row>
    <row r="341">
      <c r="A341" s="27" t="n"/>
      <c r="B341" s="27" t="n"/>
      <c r="C341" s="39" t="n"/>
      <c r="D341" s="27" t="n"/>
      <c r="E341" s="27" t="n"/>
      <c r="F341" s="27" t="n"/>
      <c r="G341" s="27" t="n"/>
      <c r="H341" s="27" t="n"/>
      <c r="I341" s="36" t="n"/>
      <c r="J341" s="36" t="n"/>
      <c r="K341" s="34">
        <f>IF(OR(I341="",J341=""),"",(J341-I341)*1440)</f>
        <v/>
      </c>
      <c r="L341" s="37">
        <f>IF(I341="","",I341-TIME(9,0,0))</f>
        <v/>
      </c>
      <c r="M341" s="33" t="n"/>
      <c r="N341" s="32" t="inlineStr">
        <is>
          <t>gon</t>
        </is>
      </c>
      <c r="O341" s="27" t="n"/>
      <c r="P341" s="33" t="n"/>
      <c r="Q341" s="33" t="n"/>
      <c r="R341" s="38" t="n"/>
      <c r="S341" s="28" t="n"/>
      <c r="T341" s="27" t="n"/>
      <c r="U341" s="27" t="n"/>
      <c r="V341" s="27" t="n"/>
    </row>
    <row r="342">
      <c r="A342" s="27" t="n"/>
      <c r="B342" s="27" t="n"/>
      <c r="C342" s="39" t="n"/>
      <c r="D342" s="27" t="n"/>
      <c r="E342" s="27" t="n"/>
      <c r="F342" s="27" t="n"/>
      <c r="G342" s="27" t="n"/>
      <c r="H342" s="27" t="n"/>
      <c r="I342" s="36" t="n"/>
      <c r="J342" s="36" t="n"/>
      <c r="K342" s="34">
        <f>IF(OR(I342="",J342=""),"",(J342-I342)*1440)</f>
        <v/>
      </c>
      <c r="L342" s="37">
        <f>IF(I342="","",I342-TIME(9,0,0))</f>
        <v/>
      </c>
      <c r="M342" s="33" t="n"/>
      <c r="N342" s="32" t="inlineStr">
        <is>
          <t>gon</t>
        </is>
      </c>
      <c r="O342" s="27" t="n"/>
      <c r="P342" s="33" t="n"/>
      <c r="Q342" s="33" t="n"/>
      <c r="R342" s="38" t="n"/>
      <c r="S342" s="28" t="n"/>
      <c r="T342" s="27" t="n"/>
      <c r="U342" s="27" t="n"/>
      <c r="V342" s="27" t="n"/>
    </row>
    <row r="343">
      <c r="A343" s="27" t="n"/>
      <c r="B343" s="27" t="n"/>
      <c r="C343" s="39" t="n"/>
      <c r="D343" s="27" t="n"/>
      <c r="E343" s="27" t="n"/>
      <c r="F343" s="27" t="n"/>
      <c r="G343" s="27" t="n"/>
      <c r="H343" s="27" t="n"/>
      <c r="I343" s="36" t="n"/>
      <c r="J343" s="36" t="n"/>
      <c r="K343" s="34">
        <f>IF(OR(I343="",J343=""),"",(J343-I343)*1440)</f>
        <v/>
      </c>
      <c r="L343" s="37">
        <f>IF(I343="","",I343-TIME(9,0,0))</f>
        <v/>
      </c>
      <c r="M343" s="33" t="n"/>
      <c r="N343" s="32" t="inlineStr">
        <is>
          <t>gon</t>
        </is>
      </c>
      <c r="O343" s="27" t="n"/>
      <c r="P343" s="33" t="n"/>
      <c r="Q343" s="33" t="n"/>
      <c r="R343" s="38" t="n"/>
      <c r="S343" s="28" t="n"/>
      <c r="T343" s="27" t="n"/>
      <c r="U343" s="27" t="n"/>
      <c r="V343" s="27" t="n"/>
    </row>
    <row r="344">
      <c r="A344" s="27" t="n"/>
      <c r="B344" s="27" t="n"/>
      <c r="C344" s="39" t="n"/>
      <c r="D344" s="27" t="n"/>
      <c r="E344" s="27" t="n"/>
      <c r="F344" s="27" t="n"/>
      <c r="G344" s="27" t="n"/>
      <c r="H344" s="27" t="n"/>
      <c r="I344" s="36" t="n"/>
      <c r="J344" s="36" t="n"/>
      <c r="K344" s="34">
        <f>IF(OR(I344="",J344=""),"",(J344-I344)*1440)</f>
        <v/>
      </c>
      <c r="L344" s="37">
        <f>IF(I344="","",I344-TIME(9,0,0))</f>
        <v/>
      </c>
      <c r="M344" s="33" t="n"/>
      <c r="N344" s="32" t="inlineStr">
        <is>
          <t>gon</t>
        </is>
      </c>
      <c r="O344" s="27" t="n"/>
      <c r="P344" s="33" t="n"/>
      <c r="Q344" s="33" t="n"/>
      <c r="R344" s="38" t="n"/>
      <c r="S344" s="28" t="n"/>
      <c r="T344" s="27" t="n"/>
      <c r="U344" s="27" t="n"/>
      <c r="V344" s="27" t="n"/>
    </row>
    <row r="345">
      <c r="A345" s="27" t="n"/>
      <c r="B345" s="27" t="n"/>
      <c r="C345" s="39" t="n"/>
      <c r="D345" s="27" t="n"/>
      <c r="E345" s="27" t="n"/>
      <c r="F345" s="27" t="n"/>
      <c r="G345" s="27" t="n"/>
      <c r="H345" s="27" t="n"/>
      <c r="I345" s="36" t="n"/>
      <c r="J345" s="36" t="n"/>
      <c r="K345" s="34">
        <f>IF(OR(I345="",J345=""),"",(J345-I345)*1440)</f>
        <v/>
      </c>
      <c r="L345" s="37">
        <f>IF(I345="","",I345-TIME(9,0,0))</f>
        <v/>
      </c>
      <c r="M345" s="33" t="n"/>
      <c r="N345" s="32" t="inlineStr">
        <is>
          <t>gon</t>
        </is>
      </c>
      <c r="O345" s="27" t="n"/>
      <c r="P345" s="33" t="n"/>
      <c r="Q345" s="33" t="n"/>
      <c r="R345" s="38" t="n"/>
      <c r="S345" s="28" t="n"/>
      <c r="T345" s="27" t="n"/>
      <c r="U345" s="27" t="n"/>
      <c r="V345" s="27" t="n"/>
    </row>
    <row r="346">
      <c r="A346" s="27" t="n"/>
      <c r="B346" s="27" t="n"/>
      <c r="C346" s="39" t="n"/>
      <c r="D346" s="27" t="n"/>
      <c r="E346" s="27" t="n"/>
      <c r="F346" s="27" t="n"/>
      <c r="G346" s="27" t="n"/>
      <c r="H346" s="27" t="n"/>
      <c r="I346" s="36" t="n"/>
      <c r="J346" s="36" t="n"/>
      <c r="K346" s="34">
        <f>IF(OR(I346="",J346=""),"",(J346-I346)*1440)</f>
        <v/>
      </c>
      <c r="L346" s="37">
        <f>IF(I346="","",I346-TIME(9,0,0))</f>
        <v/>
      </c>
      <c r="M346" s="33" t="n"/>
      <c r="N346" s="32" t="inlineStr">
        <is>
          <t>gon</t>
        </is>
      </c>
      <c r="O346" s="27" t="n"/>
      <c r="P346" s="33" t="n"/>
      <c r="Q346" s="33" t="n"/>
      <c r="R346" s="38" t="n"/>
      <c r="S346" s="28" t="n"/>
      <c r="T346" s="27" t="n"/>
      <c r="U346" s="27" t="n"/>
      <c r="V346" s="27" t="n"/>
    </row>
    <row r="347">
      <c r="A347" s="27" t="n"/>
      <c r="B347" s="27" t="n"/>
      <c r="C347" s="39" t="n"/>
      <c r="D347" s="27" t="n"/>
      <c r="E347" s="27" t="n"/>
      <c r="F347" s="27" t="n"/>
      <c r="G347" s="27" t="n"/>
      <c r="H347" s="27" t="n"/>
      <c r="I347" s="36" t="n"/>
      <c r="J347" s="36" t="n"/>
      <c r="K347" s="34">
        <f>IF(OR(I347="",J347=""),"",(J347-I347)*1440)</f>
        <v/>
      </c>
      <c r="L347" s="37">
        <f>IF(I347="","",I347-TIME(9,0,0))</f>
        <v/>
      </c>
      <c r="M347" s="33" t="n"/>
      <c r="N347" s="32" t="inlineStr">
        <is>
          <t>gon</t>
        </is>
      </c>
      <c r="O347" s="27" t="n"/>
      <c r="P347" s="33" t="n"/>
      <c r="Q347" s="33" t="n"/>
      <c r="R347" s="38" t="n"/>
      <c r="S347" s="28" t="n"/>
      <c r="T347" s="27" t="n"/>
      <c r="U347" s="27" t="n"/>
      <c r="V347" s="27" t="n"/>
    </row>
    <row r="348">
      <c r="A348" s="27" t="n"/>
      <c r="B348" s="27" t="n"/>
      <c r="C348" s="39" t="n"/>
      <c r="D348" s="27" t="n"/>
      <c r="E348" s="27" t="n"/>
      <c r="F348" s="27" t="n"/>
      <c r="G348" s="27" t="n"/>
      <c r="H348" s="27" t="n"/>
      <c r="I348" s="36" t="n"/>
      <c r="J348" s="36" t="n"/>
      <c r="K348" s="34">
        <f>IF(OR(I348="",J348=""),"",(J348-I348)*1440)</f>
        <v/>
      </c>
      <c r="L348" s="37">
        <f>IF(I348="","",I348-TIME(9,0,0))</f>
        <v/>
      </c>
      <c r="M348" s="33" t="n"/>
      <c r="N348" s="32" t="inlineStr">
        <is>
          <t>gon</t>
        </is>
      </c>
      <c r="O348" s="27" t="n"/>
      <c r="P348" s="33" t="n"/>
      <c r="Q348" s="33" t="n"/>
      <c r="R348" s="38" t="n"/>
      <c r="S348" s="28" t="n"/>
      <c r="T348" s="27" t="n"/>
      <c r="U348" s="27" t="n"/>
      <c r="V348" s="27" t="n"/>
    </row>
    <row r="349">
      <c r="A349" s="27" t="n"/>
      <c r="B349" s="27" t="n"/>
      <c r="C349" s="39" t="n"/>
      <c r="D349" s="27" t="n"/>
      <c r="E349" s="27" t="n"/>
      <c r="F349" s="27" t="n"/>
      <c r="G349" s="27" t="n"/>
      <c r="H349" s="27" t="n"/>
      <c r="I349" s="36" t="n"/>
      <c r="J349" s="36" t="n"/>
      <c r="K349" s="34">
        <f>IF(OR(I349="",J349=""),"",(J349-I349)*1440)</f>
        <v/>
      </c>
      <c r="L349" s="37">
        <f>IF(I349="","",I349-TIME(9,0,0))</f>
        <v/>
      </c>
      <c r="M349" s="33" t="n"/>
      <c r="N349" s="32" t="inlineStr">
        <is>
          <t>gon</t>
        </is>
      </c>
      <c r="O349" s="27" t="n"/>
      <c r="P349" s="33" t="n"/>
      <c r="Q349" s="33" t="n"/>
      <c r="R349" s="38" t="n"/>
      <c r="S349" s="28" t="n"/>
      <c r="T349" s="27" t="n"/>
      <c r="U349" s="27" t="n"/>
      <c r="V349" s="27" t="n"/>
    </row>
    <row r="350">
      <c r="A350" s="27" t="n"/>
      <c r="B350" s="27" t="n"/>
      <c r="C350" s="39" t="n"/>
      <c r="D350" s="27" t="n"/>
      <c r="E350" s="27" t="n"/>
      <c r="F350" s="27" t="n"/>
      <c r="G350" s="27" t="n"/>
      <c r="H350" s="27" t="n"/>
      <c r="I350" s="36" t="n"/>
      <c r="J350" s="36" t="n"/>
      <c r="K350" s="34">
        <f>IF(OR(I350="",J350=""),"",(J350-I350)*1440)</f>
        <v/>
      </c>
      <c r="L350" s="37">
        <f>IF(I350="","",I350-TIME(9,0,0))</f>
        <v/>
      </c>
      <c r="M350" s="33" t="n"/>
      <c r="N350" s="32" t="inlineStr">
        <is>
          <t>gon</t>
        </is>
      </c>
      <c r="O350" s="27" t="n"/>
      <c r="P350" s="33" t="n"/>
      <c r="Q350" s="33" t="n"/>
      <c r="R350" s="38" t="n"/>
      <c r="S350" s="28" t="n"/>
      <c r="T350" s="27" t="n"/>
      <c r="U350" s="27" t="n"/>
      <c r="V350" s="27" t="n"/>
    </row>
    <row r="351">
      <c r="A351" s="27" t="n"/>
      <c r="B351" s="27" t="n"/>
      <c r="C351" s="39" t="n"/>
      <c r="D351" s="27" t="n"/>
      <c r="E351" s="27" t="n"/>
      <c r="F351" s="27" t="n"/>
      <c r="G351" s="27" t="n"/>
      <c r="H351" s="27" t="n"/>
      <c r="I351" s="36" t="n"/>
      <c r="J351" s="36" t="n"/>
      <c r="K351" s="34">
        <f>IF(OR(I351="",J351=""),"",(J351-I351)*1440)</f>
        <v/>
      </c>
      <c r="L351" s="37">
        <f>IF(I351="","",I351-TIME(9,0,0))</f>
        <v/>
      </c>
      <c r="M351" s="33" t="n"/>
      <c r="N351" s="32" t="inlineStr">
        <is>
          <t>gon</t>
        </is>
      </c>
      <c r="O351" s="27" t="n"/>
      <c r="P351" s="33" t="n"/>
      <c r="Q351" s="33" t="n"/>
      <c r="R351" s="38" t="n"/>
      <c r="S351" s="28" t="n"/>
      <c r="T351" s="27" t="n"/>
      <c r="U351" s="27" t="n"/>
      <c r="V351" s="27" t="n"/>
    </row>
    <row r="352">
      <c r="A352" s="27" t="n"/>
      <c r="B352" s="27" t="n"/>
      <c r="C352" s="39" t="n"/>
      <c r="D352" s="27" t="n"/>
      <c r="E352" s="27" t="n"/>
      <c r="F352" s="27" t="n"/>
      <c r="G352" s="27" t="n"/>
      <c r="H352" s="27" t="n"/>
      <c r="I352" s="36" t="n"/>
      <c r="J352" s="36" t="n"/>
      <c r="K352" s="34">
        <f>IF(OR(I352="",J352=""),"",(J352-I352)*1440)</f>
        <v/>
      </c>
      <c r="L352" s="37">
        <f>IF(I352="","",I352-TIME(9,0,0))</f>
        <v/>
      </c>
      <c r="M352" s="33" t="n"/>
      <c r="N352" s="32" t="inlineStr">
        <is>
          <t>gon</t>
        </is>
      </c>
      <c r="O352" s="27" t="n"/>
      <c r="P352" s="33" t="n"/>
      <c r="Q352" s="33" t="n"/>
      <c r="R352" s="38" t="n"/>
      <c r="S352" s="28" t="n"/>
      <c r="T352" s="27" t="n"/>
      <c r="U352" s="27" t="n"/>
      <c r="V352" s="27" t="n"/>
    </row>
    <row r="353">
      <c r="A353" s="27" t="n"/>
      <c r="B353" s="27" t="n"/>
      <c r="C353" s="39" t="n"/>
      <c r="D353" s="27" t="n"/>
      <c r="E353" s="27" t="n"/>
      <c r="F353" s="27" t="n"/>
      <c r="G353" s="27" t="n"/>
      <c r="H353" s="27" t="n"/>
      <c r="I353" s="36" t="n"/>
      <c r="J353" s="36" t="n"/>
      <c r="K353" s="34">
        <f>IF(OR(I353="",J353=""),"",(J353-I353)*1440)</f>
        <v/>
      </c>
      <c r="L353" s="37">
        <f>IF(I353="","",I353-TIME(9,0,0))</f>
        <v/>
      </c>
      <c r="M353" s="33" t="n"/>
      <c r="N353" s="32" t="inlineStr">
        <is>
          <t>gon</t>
        </is>
      </c>
      <c r="O353" s="27" t="n"/>
      <c r="P353" s="33" t="n"/>
      <c r="Q353" s="33" t="n"/>
      <c r="R353" s="38" t="n"/>
      <c r="S353" s="28" t="n"/>
      <c r="T353" s="27" t="n"/>
      <c r="U353" s="27" t="n"/>
      <c r="V353" s="27" t="n"/>
    </row>
    <row r="354">
      <c r="A354" s="27" t="n"/>
      <c r="B354" s="27" t="n"/>
      <c r="C354" s="39" t="n"/>
      <c r="D354" s="27" t="n"/>
      <c r="E354" s="27" t="n"/>
      <c r="F354" s="27" t="n"/>
      <c r="G354" s="27" t="n"/>
      <c r="H354" s="27" t="n"/>
      <c r="I354" s="36" t="n"/>
      <c r="J354" s="36" t="n"/>
      <c r="K354" s="34">
        <f>IF(OR(I354="",J354=""),"",(J354-I354)*1440)</f>
        <v/>
      </c>
      <c r="L354" s="37">
        <f>IF(I354="","",I354-TIME(9,0,0))</f>
        <v/>
      </c>
      <c r="M354" s="33" t="n"/>
      <c r="N354" s="32" t="inlineStr">
        <is>
          <t>gon</t>
        </is>
      </c>
      <c r="O354" s="27" t="n"/>
      <c r="P354" s="33" t="n"/>
      <c r="Q354" s="33" t="n"/>
      <c r="R354" s="38" t="n"/>
      <c r="S354" s="28" t="n"/>
      <c r="T354" s="27" t="n"/>
      <c r="U354" s="27" t="n"/>
      <c r="V354" s="27" t="n"/>
    </row>
    <row r="355">
      <c r="A355" s="27" t="n"/>
      <c r="B355" s="27" t="n"/>
      <c r="C355" s="39" t="n"/>
      <c r="D355" s="27" t="n"/>
      <c r="E355" s="27" t="n"/>
      <c r="F355" s="27" t="n"/>
      <c r="G355" s="27" t="n"/>
      <c r="H355" s="27" t="n"/>
      <c r="I355" s="36" t="n"/>
      <c r="J355" s="36" t="n"/>
      <c r="K355" s="34">
        <f>IF(OR(I355="",J355=""),"",(J355-I355)*1440)</f>
        <v/>
      </c>
      <c r="L355" s="37">
        <f>IF(I355="","",I355-TIME(9,0,0))</f>
        <v/>
      </c>
      <c r="M355" s="33" t="n"/>
      <c r="N355" s="32" t="inlineStr">
        <is>
          <t>gon</t>
        </is>
      </c>
      <c r="O355" s="27" t="n"/>
      <c r="P355" s="33" t="n"/>
      <c r="Q355" s="33" t="n"/>
      <c r="R355" s="38" t="n"/>
      <c r="S355" s="28" t="n"/>
      <c r="T355" s="27" t="n"/>
      <c r="U355" s="27" t="n"/>
      <c r="V355" s="27" t="n"/>
    </row>
    <row r="356">
      <c r="A356" s="27" t="n"/>
      <c r="B356" s="27" t="n"/>
      <c r="C356" s="39" t="n"/>
      <c r="D356" s="27" t="n"/>
      <c r="E356" s="27" t="n"/>
      <c r="F356" s="27" t="n"/>
      <c r="G356" s="27" t="n"/>
      <c r="H356" s="27" t="n"/>
      <c r="I356" s="36" t="n"/>
      <c r="J356" s="36" t="n"/>
      <c r="K356" s="34">
        <f>IF(OR(I356="",J356=""),"",(J356-I356)*1440)</f>
        <v/>
      </c>
      <c r="L356" s="37">
        <f>IF(I356="","",I356-TIME(9,0,0))</f>
        <v/>
      </c>
      <c r="M356" s="33" t="n"/>
      <c r="N356" s="32" t="inlineStr">
        <is>
          <t>gon</t>
        </is>
      </c>
      <c r="O356" s="27" t="n"/>
      <c r="P356" s="33" t="n"/>
      <c r="Q356" s="33" t="n"/>
      <c r="R356" s="38" t="n"/>
      <c r="S356" s="28" t="n"/>
      <c r="T356" s="27" t="n"/>
      <c r="U356" s="27" t="n"/>
      <c r="V356" s="27" t="n"/>
    </row>
    <row r="357">
      <c r="A357" s="27" t="n"/>
      <c r="B357" s="27" t="n"/>
      <c r="C357" s="39" t="n"/>
      <c r="D357" s="27" t="n"/>
      <c r="E357" s="27" t="n"/>
      <c r="F357" s="27" t="n"/>
      <c r="G357" s="27" t="n"/>
      <c r="H357" s="27" t="n"/>
      <c r="I357" s="36" t="n"/>
      <c r="J357" s="36" t="n"/>
      <c r="K357" s="34">
        <f>IF(OR(I357="",J357=""),"",(J357-I357)*1440)</f>
        <v/>
      </c>
      <c r="L357" s="37">
        <f>IF(I357="","",I357-TIME(9,0,0))</f>
        <v/>
      </c>
      <c r="M357" s="33" t="n"/>
      <c r="N357" s="32" t="inlineStr">
        <is>
          <t>gon</t>
        </is>
      </c>
      <c r="O357" s="27" t="n"/>
      <c r="P357" s="33" t="n"/>
      <c r="Q357" s="33" t="n"/>
      <c r="R357" s="38" t="n"/>
      <c r="S357" s="28" t="n"/>
      <c r="T357" s="27" t="n"/>
      <c r="U357" s="27" t="n"/>
      <c r="V357" s="27" t="n"/>
    </row>
    <row r="358">
      <c r="A358" s="27" t="n"/>
      <c r="B358" s="27" t="n"/>
      <c r="C358" s="39" t="n"/>
      <c r="D358" s="27" t="n"/>
      <c r="E358" s="27" t="n"/>
      <c r="F358" s="27" t="n"/>
      <c r="G358" s="27" t="n"/>
      <c r="H358" s="27" t="n"/>
      <c r="I358" s="36" t="n"/>
      <c r="J358" s="36" t="n"/>
      <c r="K358" s="34">
        <f>IF(OR(I358="",J358=""),"",(J358-I358)*1440)</f>
        <v/>
      </c>
      <c r="L358" s="37">
        <f>IF(I358="","",I358-TIME(9,0,0))</f>
        <v/>
      </c>
      <c r="M358" s="33" t="n"/>
      <c r="N358" s="32" t="inlineStr">
        <is>
          <t>gon</t>
        </is>
      </c>
      <c r="O358" s="27" t="n"/>
      <c r="P358" s="33" t="n"/>
      <c r="Q358" s="33" t="n"/>
      <c r="R358" s="38" t="n"/>
      <c r="S358" s="28" t="n"/>
      <c r="T358" s="27" t="n"/>
      <c r="U358" s="27" t="n"/>
      <c r="V358" s="27" t="n"/>
    </row>
    <row r="359">
      <c r="A359" s="27" t="n"/>
      <c r="B359" s="27" t="n"/>
      <c r="C359" s="39" t="n"/>
      <c r="D359" s="27" t="n"/>
      <c r="E359" s="27" t="n"/>
      <c r="F359" s="27" t="n"/>
      <c r="G359" s="27" t="n"/>
      <c r="H359" s="27" t="n"/>
      <c r="I359" s="36" t="n"/>
      <c r="J359" s="36" t="n"/>
      <c r="K359" s="34">
        <f>IF(OR(I359="",J359=""),"",(J359-I359)*1440)</f>
        <v/>
      </c>
      <c r="L359" s="37">
        <f>IF(I359="","",I359-TIME(9,0,0))</f>
        <v/>
      </c>
      <c r="M359" s="33" t="n"/>
      <c r="N359" s="32" t="inlineStr">
        <is>
          <t>gon</t>
        </is>
      </c>
      <c r="O359" s="27" t="n"/>
      <c r="P359" s="33" t="n"/>
      <c r="Q359" s="33" t="n"/>
      <c r="R359" s="38" t="n"/>
      <c r="S359" s="28" t="n"/>
      <c r="T359" s="27" t="n"/>
      <c r="U359" s="27" t="n"/>
      <c r="V359" s="27" t="n"/>
    </row>
    <row r="360">
      <c r="A360" s="27" t="n"/>
      <c r="B360" s="27" t="n"/>
      <c r="C360" s="39" t="n"/>
      <c r="D360" s="27" t="n"/>
      <c r="E360" s="27" t="n"/>
      <c r="F360" s="27" t="n"/>
      <c r="G360" s="27" t="n"/>
      <c r="H360" s="27" t="n"/>
      <c r="I360" s="36" t="n"/>
      <c r="J360" s="36" t="n"/>
      <c r="K360" s="34">
        <f>IF(OR(I360="",J360=""),"",(J360-I360)*1440)</f>
        <v/>
      </c>
      <c r="L360" s="37">
        <f>IF(I360="","",I360-TIME(9,0,0))</f>
        <v/>
      </c>
      <c r="M360" s="33" t="n"/>
      <c r="N360" s="32" t="inlineStr">
        <is>
          <t>gon</t>
        </is>
      </c>
      <c r="O360" s="27" t="n"/>
      <c r="P360" s="33" t="n"/>
      <c r="Q360" s="33" t="n"/>
      <c r="R360" s="38" t="n"/>
      <c r="S360" s="28" t="n"/>
      <c r="T360" s="27" t="n"/>
      <c r="U360" s="27" t="n"/>
      <c r="V360" s="27" t="n"/>
    </row>
    <row r="361">
      <c r="A361" s="27" t="n"/>
      <c r="B361" s="27" t="n"/>
      <c r="C361" s="39" t="n"/>
      <c r="D361" s="27" t="n"/>
      <c r="E361" s="27" t="n"/>
      <c r="F361" s="27" t="n"/>
      <c r="G361" s="27" t="n"/>
      <c r="H361" s="27" t="n"/>
      <c r="I361" s="36" t="n"/>
      <c r="J361" s="36" t="n"/>
      <c r="K361" s="34">
        <f>IF(OR(I361="",J361=""),"",(J361-I361)*1440)</f>
        <v/>
      </c>
      <c r="L361" s="37">
        <f>IF(I361="","",I361-TIME(9,0,0))</f>
        <v/>
      </c>
      <c r="M361" s="33" t="n"/>
      <c r="N361" s="32" t="inlineStr">
        <is>
          <t>gon</t>
        </is>
      </c>
      <c r="O361" s="27" t="n"/>
      <c r="P361" s="33" t="n"/>
      <c r="Q361" s="33" t="n"/>
      <c r="R361" s="38" t="n"/>
      <c r="S361" s="28" t="n"/>
      <c r="T361" s="27" t="n"/>
      <c r="U361" s="27" t="n"/>
      <c r="V361" s="27" t="n"/>
    </row>
    <row r="362">
      <c r="A362" s="27" t="n"/>
      <c r="B362" s="27" t="n"/>
      <c r="C362" s="39" t="n"/>
      <c r="D362" s="27" t="n"/>
      <c r="E362" s="27" t="n"/>
      <c r="F362" s="27" t="n"/>
      <c r="G362" s="27" t="n"/>
      <c r="H362" s="27" t="n"/>
      <c r="I362" s="36" t="n"/>
      <c r="J362" s="36" t="n"/>
      <c r="K362" s="34">
        <f>IF(OR(I362="",J362=""),"",(J362-I362)*1440)</f>
        <v/>
      </c>
      <c r="L362" s="37">
        <f>IF(I362="","",I362-TIME(9,0,0))</f>
        <v/>
      </c>
      <c r="M362" s="33" t="n"/>
      <c r="N362" s="32" t="inlineStr">
        <is>
          <t>gon</t>
        </is>
      </c>
      <c r="O362" s="27" t="n"/>
      <c r="P362" s="33" t="n"/>
      <c r="Q362" s="33" t="n"/>
      <c r="R362" s="38" t="n"/>
      <c r="S362" s="28" t="n"/>
      <c r="T362" s="27" t="n"/>
      <c r="U362" s="27" t="n"/>
      <c r="V362" s="27" t="n"/>
    </row>
    <row r="363">
      <c r="A363" s="27" t="n"/>
      <c r="B363" s="27" t="n"/>
      <c r="C363" s="39" t="n"/>
      <c r="D363" s="27" t="n"/>
      <c r="E363" s="27" t="n"/>
      <c r="F363" s="27" t="n"/>
      <c r="G363" s="27" t="n"/>
      <c r="H363" s="27" t="n"/>
      <c r="I363" s="36" t="n"/>
      <c r="J363" s="36" t="n"/>
      <c r="K363" s="34">
        <f>IF(OR(I363="",J363=""),"",(J363-I363)*1440)</f>
        <v/>
      </c>
      <c r="L363" s="37">
        <f>IF(I363="","",I363-TIME(9,0,0))</f>
        <v/>
      </c>
      <c r="M363" s="33" t="n"/>
      <c r="N363" s="32" t="inlineStr">
        <is>
          <t>gon</t>
        </is>
      </c>
      <c r="O363" s="27" t="n"/>
      <c r="P363" s="33" t="n"/>
      <c r="Q363" s="33" t="n"/>
      <c r="R363" s="38" t="n"/>
      <c r="S363" s="28" t="n"/>
      <c r="T363" s="27" t="n"/>
      <c r="U363" s="27" t="n"/>
      <c r="V363" s="27" t="n"/>
    </row>
    <row r="364">
      <c r="A364" s="27" t="n"/>
      <c r="B364" s="27" t="n"/>
      <c r="C364" s="39" t="n"/>
      <c r="D364" s="27" t="n"/>
      <c r="E364" s="27" t="n"/>
      <c r="F364" s="27" t="n"/>
      <c r="G364" s="27" t="n"/>
      <c r="H364" s="27" t="n"/>
      <c r="I364" s="36" t="n"/>
      <c r="J364" s="36" t="n"/>
      <c r="K364" s="34">
        <f>IF(OR(I364="",J364=""),"",(J364-I364)*1440)</f>
        <v/>
      </c>
      <c r="L364" s="37">
        <f>IF(I364="","",I364-TIME(9,0,0))</f>
        <v/>
      </c>
      <c r="M364" s="33" t="n"/>
      <c r="N364" s="32" t="inlineStr">
        <is>
          <t>gon</t>
        </is>
      </c>
      <c r="O364" s="27" t="n"/>
      <c r="P364" s="33" t="n"/>
      <c r="Q364" s="33" t="n"/>
      <c r="R364" s="38" t="n"/>
      <c r="S364" s="28" t="n"/>
      <c r="T364" s="27" t="n"/>
      <c r="U364" s="27" t="n"/>
      <c r="V364" s="27" t="n"/>
    </row>
    <row r="365">
      <c r="A365" s="27" t="n"/>
      <c r="B365" s="27" t="n"/>
      <c r="C365" s="39" t="n"/>
      <c r="D365" s="27" t="n"/>
      <c r="E365" s="27" t="n"/>
      <c r="F365" s="27" t="n"/>
      <c r="G365" s="27" t="n"/>
      <c r="H365" s="27" t="n"/>
      <c r="I365" s="36" t="n"/>
      <c r="J365" s="36" t="n"/>
      <c r="K365" s="34">
        <f>IF(OR(I365="",J365=""),"",(J365-I365)*1440)</f>
        <v/>
      </c>
      <c r="L365" s="37">
        <f>IF(I365="","",I365-TIME(9,0,0))</f>
        <v/>
      </c>
      <c r="M365" s="33" t="n"/>
      <c r="N365" s="32" t="inlineStr">
        <is>
          <t>gon</t>
        </is>
      </c>
      <c r="O365" s="27" t="n"/>
      <c r="P365" s="33" t="n"/>
      <c r="Q365" s="33" t="n"/>
      <c r="R365" s="38" t="n"/>
      <c r="S365" s="28" t="n"/>
      <c r="T365" s="27" t="n"/>
      <c r="U365" s="27" t="n"/>
      <c r="V365" s="27" t="n"/>
    </row>
    <row r="366">
      <c r="A366" s="27" t="n"/>
      <c r="B366" s="27" t="n"/>
      <c r="C366" s="39" t="n"/>
      <c r="D366" s="27" t="n"/>
      <c r="E366" s="27" t="n"/>
      <c r="F366" s="27" t="n"/>
      <c r="G366" s="27" t="n"/>
      <c r="H366" s="27" t="n"/>
      <c r="I366" s="36" t="n"/>
      <c r="J366" s="36" t="n"/>
      <c r="K366" s="34">
        <f>IF(OR(I366="",J366=""),"",(J366-I366)*1440)</f>
        <v/>
      </c>
      <c r="L366" s="37">
        <f>IF(I366="","",I366-TIME(9,0,0))</f>
        <v/>
      </c>
      <c r="M366" s="33" t="n"/>
      <c r="N366" s="32" t="inlineStr">
        <is>
          <t>gon</t>
        </is>
      </c>
      <c r="O366" s="27" t="n"/>
      <c r="P366" s="33" t="n"/>
      <c r="Q366" s="33" t="n"/>
      <c r="R366" s="38" t="n"/>
      <c r="S366" s="28" t="n"/>
      <c r="T366" s="27" t="n"/>
      <c r="U366" s="27" t="n"/>
      <c r="V366" s="27" t="n"/>
    </row>
    <row r="367">
      <c r="A367" s="27" t="n"/>
      <c r="B367" s="27" t="n"/>
      <c r="C367" s="39" t="n"/>
      <c r="D367" s="27" t="n"/>
      <c r="E367" s="27" t="n"/>
      <c r="F367" s="27" t="n"/>
      <c r="G367" s="27" t="n"/>
      <c r="H367" s="27" t="n"/>
      <c r="I367" s="36" t="n"/>
      <c r="J367" s="36" t="n"/>
      <c r="K367" s="34">
        <f>IF(OR(I367="",J367=""),"",(J367-I367)*1440)</f>
        <v/>
      </c>
      <c r="L367" s="37">
        <f>IF(I367="","",I367-TIME(9,0,0))</f>
        <v/>
      </c>
      <c r="M367" s="33" t="n"/>
      <c r="N367" s="32" t="inlineStr">
        <is>
          <t>gon</t>
        </is>
      </c>
      <c r="O367" s="27" t="n"/>
      <c r="P367" s="33" t="n"/>
      <c r="Q367" s="33" t="n"/>
      <c r="R367" s="38" t="n"/>
      <c r="S367" s="28" t="n"/>
      <c r="T367" s="27" t="n"/>
      <c r="U367" s="27" t="n"/>
      <c r="V367" s="27" t="n"/>
    </row>
    <row r="368">
      <c r="A368" s="27" t="n"/>
      <c r="B368" s="27" t="n"/>
      <c r="C368" s="39" t="n"/>
      <c r="D368" s="27" t="n"/>
      <c r="E368" s="27" t="n"/>
      <c r="F368" s="27" t="n"/>
      <c r="G368" s="27" t="n"/>
      <c r="H368" s="27" t="n"/>
      <c r="I368" s="36" t="n"/>
      <c r="J368" s="36" t="n"/>
      <c r="K368" s="34">
        <f>IF(OR(I368="",J368=""),"",(J368-I368)*1440)</f>
        <v/>
      </c>
      <c r="L368" s="37">
        <f>IF(I368="","",I368-TIME(9,0,0))</f>
        <v/>
      </c>
      <c r="M368" s="33" t="n"/>
      <c r="N368" s="32" t="inlineStr">
        <is>
          <t>gon</t>
        </is>
      </c>
      <c r="O368" s="27" t="n"/>
      <c r="P368" s="33" t="n"/>
      <c r="Q368" s="33" t="n"/>
      <c r="R368" s="38" t="n"/>
      <c r="S368" s="28" t="n"/>
      <c r="T368" s="27" t="n"/>
      <c r="U368" s="27" t="n"/>
      <c r="V368" s="27" t="n"/>
    </row>
    <row r="369">
      <c r="A369" s="27" t="n"/>
      <c r="B369" s="27" t="n"/>
      <c r="C369" s="39" t="n"/>
      <c r="D369" s="27" t="n"/>
      <c r="E369" s="27" t="n"/>
      <c r="F369" s="27" t="n"/>
      <c r="G369" s="27" t="n"/>
      <c r="H369" s="27" t="n"/>
      <c r="I369" s="36" t="n"/>
      <c r="J369" s="36" t="n"/>
      <c r="K369" s="34">
        <f>IF(OR(I369="",J369=""),"",(J369-I369)*1440)</f>
        <v/>
      </c>
      <c r="L369" s="37">
        <f>IF(I369="","",I369-TIME(9,0,0))</f>
        <v/>
      </c>
      <c r="M369" s="33" t="n"/>
      <c r="N369" s="32" t="inlineStr">
        <is>
          <t>gon</t>
        </is>
      </c>
      <c r="O369" s="27" t="n"/>
      <c r="P369" s="33" t="n"/>
      <c r="Q369" s="33" t="n"/>
      <c r="R369" s="38" t="n"/>
      <c r="S369" s="28" t="n"/>
      <c r="T369" s="27" t="n"/>
      <c r="U369" s="27" t="n"/>
      <c r="V369" s="27" t="n"/>
    </row>
    <row r="370">
      <c r="A370" s="27" t="n"/>
      <c r="B370" s="27" t="n"/>
      <c r="C370" s="39" t="n"/>
      <c r="D370" s="27" t="n"/>
      <c r="E370" s="27" t="n"/>
      <c r="F370" s="27" t="n"/>
      <c r="G370" s="27" t="n"/>
      <c r="H370" s="27" t="n"/>
      <c r="I370" s="36" t="n"/>
      <c r="J370" s="36" t="n"/>
      <c r="K370" s="34">
        <f>IF(OR(I370="",J370=""),"",(J370-I370)*1440)</f>
        <v/>
      </c>
      <c r="L370" s="37">
        <f>IF(I370="","",I370-TIME(9,0,0))</f>
        <v/>
      </c>
      <c r="M370" s="33" t="n"/>
      <c r="N370" s="32" t="inlineStr">
        <is>
          <t>gon</t>
        </is>
      </c>
      <c r="O370" s="27" t="n"/>
      <c r="P370" s="33" t="n"/>
      <c r="Q370" s="33" t="n"/>
      <c r="R370" s="38" t="n"/>
      <c r="S370" s="28" t="n"/>
      <c r="T370" s="27" t="n"/>
      <c r="U370" s="27" t="n"/>
      <c r="V370" s="27" t="n"/>
    </row>
    <row r="371">
      <c r="A371" s="27" t="n"/>
      <c r="B371" s="27" t="n"/>
      <c r="C371" s="39" t="n"/>
      <c r="D371" s="27" t="n"/>
      <c r="E371" s="27" t="n"/>
      <c r="F371" s="27" t="n"/>
      <c r="G371" s="27" t="n"/>
      <c r="H371" s="27" t="n"/>
      <c r="I371" s="36" t="n"/>
      <c r="J371" s="36" t="n"/>
      <c r="K371" s="34">
        <f>IF(OR(I371="",J371=""),"",(J371-I371)*1440)</f>
        <v/>
      </c>
      <c r="L371" s="37">
        <f>IF(I371="","",I371-TIME(9,0,0))</f>
        <v/>
      </c>
      <c r="M371" s="33" t="n"/>
      <c r="N371" s="32" t="inlineStr">
        <is>
          <t>gon</t>
        </is>
      </c>
      <c r="O371" s="27" t="n"/>
      <c r="P371" s="33" t="n"/>
      <c r="Q371" s="33" t="n"/>
      <c r="R371" s="38" t="n"/>
      <c r="S371" s="28" t="n"/>
      <c r="T371" s="27" t="n"/>
      <c r="U371" s="27" t="n"/>
      <c r="V371" s="27" t="n"/>
    </row>
    <row r="372">
      <c r="A372" s="27" t="n"/>
      <c r="B372" s="27" t="n"/>
      <c r="C372" s="39" t="n"/>
      <c r="D372" s="27" t="n"/>
      <c r="E372" s="27" t="n"/>
      <c r="F372" s="27" t="n"/>
      <c r="G372" s="27" t="n"/>
      <c r="H372" s="27" t="n"/>
      <c r="I372" s="36" t="n"/>
      <c r="J372" s="36" t="n"/>
      <c r="K372" s="34">
        <f>IF(OR(I372="",J372=""),"",(J372-I372)*1440)</f>
        <v/>
      </c>
      <c r="L372" s="37">
        <f>IF(I372="","",I372-TIME(9,0,0))</f>
        <v/>
      </c>
      <c r="M372" s="33" t="n"/>
      <c r="N372" s="32" t="inlineStr">
        <is>
          <t>gon</t>
        </is>
      </c>
      <c r="O372" s="27" t="n"/>
      <c r="P372" s="33" t="n"/>
      <c r="Q372" s="33" t="n"/>
      <c r="R372" s="38" t="n"/>
      <c r="S372" s="28" t="n"/>
      <c r="T372" s="27" t="n"/>
      <c r="U372" s="27" t="n"/>
      <c r="V372" s="27" t="n"/>
    </row>
    <row r="373">
      <c r="A373" s="27" t="n"/>
      <c r="B373" s="27" t="n"/>
      <c r="C373" s="39" t="n"/>
      <c r="D373" s="27" t="n"/>
      <c r="E373" s="27" t="n"/>
      <c r="F373" s="27" t="n"/>
      <c r="G373" s="27" t="n"/>
      <c r="H373" s="27" t="n"/>
      <c r="I373" s="36" t="n"/>
      <c r="J373" s="36" t="n"/>
      <c r="K373" s="34">
        <f>IF(OR(I373="",J373=""),"",(J373-I373)*1440)</f>
        <v/>
      </c>
      <c r="L373" s="37">
        <f>IF(I373="","",I373-TIME(9,0,0))</f>
        <v/>
      </c>
      <c r="M373" s="33" t="n"/>
      <c r="N373" s="32" t="inlineStr">
        <is>
          <t>gon</t>
        </is>
      </c>
      <c r="O373" s="27" t="n"/>
      <c r="P373" s="33" t="n"/>
      <c r="Q373" s="33" t="n"/>
      <c r="R373" s="38" t="n"/>
      <c r="S373" s="28" t="n"/>
      <c r="T373" s="27" t="n"/>
      <c r="U373" s="27" t="n"/>
      <c r="V373" s="27" t="n"/>
    </row>
    <row r="374">
      <c r="A374" s="27" t="n"/>
      <c r="B374" s="27" t="n"/>
      <c r="C374" s="39" t="n"/>
      <c r="D374" s="27" t="n"/>
      <c r="E374" s="27" t="n"/>
      <c r="F374" s="27" t="n"/>
      <c r="G374" s="27" t="n"/>
      <c r="H374" s="27" t="n"/>
      <c r="I374" s="36" t="n"/>
      <c r="J374" s="36" t="n"/>
      <c r="K374" s="34">
        <f>IF(OR(I374="",J374=""),"",(J374-I374)*1440)</f>
        <v/>
      </c>
      <c r="L374" s="37">
        <f>IF(I374="","",I374-TIME(9,0,0))</f>
        <v/>
      </c>
      <c r="M374" s="33" t="n"/>
      <c r="N374" s="32" t="inlineStr">
        <is>
          <t>gon</t>
        </is>
      </c>
      <c r="O374" s="27" t="n"/>
      <c r="P374" s="33" t="n"/>
      <c r="Q374" s="33" t="n"/>
      <c r="R374" s="38" t="n"/>
      <c r="S374" s="28" t="n"/>
      <c r="T374" s="27" t="n"/>
      <c r="U374" s="27" t="n"/>
      <c r="V374" s="27" t="n"/>
    </row>
    <row r="375">
      <c r="A375" s="27" t="n"/>
      <c r="B375" s="27" t="n"/>
      <c r="C375" s="39" t="n"/>
      <c r="D375" s="27" t="n"/>
      <c r="E375" s="27" t="n"/>
      <c r="F375" s="27" t="n"/>
      <c r="G375" s="27" t="n"/>
      <c r="H375" s="27" t="n"/>
      <c r="I375" s="36" t="n"/>
      <c r="J375" s="36" t="n"/>
      <c r="K375" s="34">
        <f>IF(OR(I375="",J375=""),"",(J375-I375)*1440)</f>
        <v/>
      </c>
      <c r="L375" s="37">
        <f>IF(I375="","",I375-TIME(9,0,0))</f>
        <v/>
      </c>
      <c r="M375" s="33" t="n"/>
      <c r="N375" s="32" t="inlineStr">
        <is>
          <t>gon</t>
        </is>
      </c>
      <c r="O375" s="27" t="n"/>
      <c r="P375" s="33" t="n"/>
      <c r="Q375" s="33" t="n"/>
      <c r="R375" s="38" t="n"/>
      <c r="S375" s="28" t="n"/>
      <c r="T375" s="27" t="n"/>
      <c r="U375" s="27" t="n"/>
      <c r="V375" s="27" t="n"/>
    </row>
    <row r="376">
      <c r="A376" s="27" t="n"/>
      <c r="B376" s="27" t="n"/>
      <c r="C376" s="39" t="n"/>
      <c r="D376" s="27" t="n"/>
      <c r="E376" s="27" t="n"/>
      <c r="F376" s="27" t="n"/>
      <c r="G376" s="27" t="n"/>
      <c r="H376" s="27" t="n"/>
      <c r="I376" s="36" t="n"/>
      <c r="J376" s="36" t="n"/>
      <c r="K376" s="34">
        <f>IF(OR(I376="",J376=""),"",(J376-I376)*1440)</f>
        <v/>
      </c>
      <c r="L376" s="37">
        <f>IF(I376="","",I376-TIME(9,0,0))</f>
        <v/>
      </c>
      <c r="M376" s="33" t="n"/>
      <c r="N376" s="32" t="inlineStr">
        <is>
          <t>gon</t>
        </is>
      </c>
      <c r="O376" s="27" t="n"/>
      <c r="P376" s="33" t="n"/>
      <c r="Q376" s="33" t="n"/>
      <c r="R376" s="38" t="n"/>
      <c r="S376" s="28" t="n"/>
      <c r="T376" s="27" t="n"/>
      <c r="U376" s="27" t="n"/>
      <c r="V376" s="27" t="n"/>
    </row>
    <row r="377">
      <c r="A377" s="27" t="n"/>
      <c r="B377" s="27" t="n"/>
      <c r="C377" s="39" t="n"/>
      <c r="D377" s="27" t="n"/>
      <c r="E377" s="27" t="n"/>
      <c r="F377" s="27" t="n"/>
      <c r="G377" s="27" t="n"/>
      <c r="H377" s="27" t="n"/>
      <c r="I377" s="36" t="n"/>
      <c r="J377" s="36" t="n"/>
      <c r="K377" s="34">
        <f>IF(OR(I377="",J377=""),"",(J377-I377)*1440)</f>
        <v/>
      </c>
      <c r="L377" s="37">
        <f>IF(I377="","",I377-TIME(9,0,0))</f>
        <v/>
      </c>
      <c r="M377" s="33" t="n"/>
      <c r="N377" s="32" t="inlineStr">
        <is>
          <t>gon</t>
        </is>
      </c>
      <c r="O377" s="27" t="n"/>
      <c r="P377" s="33" t="n"/>
      <c r="Q377" s="33" t="n"/>
      <c r="R377" s="38" t="n"/>
      <c r="S377" s="28" t="n"/>
      <c r="T377" s="27" t="n"/>
      <c r="U377" s="27" t="n"/>
      <c r="V377" s="27" t="n"/>
    </row>
    <row r="378">
      <c r="A378" s="27" t="n"/>
      <c r="B378" s="27" t="n"/>
      <c r="C378" s="39" t="n"/>
      <c r="D378" s="27" t="n"/>
      <c r="E378" s="27" t="n"/>
      <c r="F378" s="27" t="n"/>
      <c r="G378" s="27" t="n"/>
      <c r="H378" s="27" t="n"/>
      <c r="I378" s="36" t="n"/>
      <c r="J378" s="36" t="n"/>
      <c r="K378" s="34">
        <f>IF(OR(I378="",J378=""),"",(J378-I378)*1440)</f>
        <v/>
      </c>
      <c r="L378" s="37">
        <f>IF(I378="","",I378-TIME(9,0,0))</f>
        <v/>
      </c>
      <c r="M378" s="33" t="n"/>
      <c r="N378" s="32" t="inlineStr">
        <is>
          <t>gon</t>
        </is>
      </c>
      <c r="O378" s="27" t="n"/>
      <c r="P378" s="33" t="n"/>
      <c r="Q378" s="33" t="n"/>
      <c r="R378" s="38" t="n"/>
      <c r="S378" s="28" t="n"/>
      <c r="T378" s="27" t="n"/>
      <c r="U378" s="27" t="n"/>
      <c r="V378" s="27" t="n"/>
    </row>
    <row r="379">
      <c r="A379" s="27" t="n"/>
      <c r="B379" s="27" t="n"/>
      <c r="C379" s="39" t="n"/>
      <c r="D379" s="27" t="n"/>
      <c r="E379" s="27" t="n"/>
      <c r="F379" s="27" t="n"/>
      <c r="G379" s="27" t="n"/>
      <c r="H379" s="27" t="n"/>
      <c r="I379" s="36" t="n"/>
      <c r="J379" s="36" t="n"/>
      <c r="K379" s="34">
        <f>IF(OR(I379="",J379=""),"",(J379-I379)*1440)</f>
        <v/>
      </c>
      <c r="L379" s="37">
        <f>IF(I379="","",I379-TIME(9,0,0))</f>
        <v/>
      </c>
      <c r="M379" s="33" t="n"/>
      <c r="N379" s="32" t="inlineStr">
        <is>
          <t>gon</t>
        </is>
      </c>
      <c r="O379" s="27" t="n"/>
      <c r="P379" s="33" t="n"/>
      <c r="Q379" s="33" t="n"/>
      <c r="R379" s="38" t="n"/>
      <c r="S379" s="28" t="n"/>
      <c r="T379" s="27" t="n"/>
      <c r="U379" s="27" t="n"/>
      <c r="V379" s="27" t="n"/>
    </row>
    <row r="380">
      <c r="A380" s="27" t="n"/>
      <c r="B380" s="27" t="n"/>
      <c r="C380" s="39" t="n"/>
      <c r="D380" s="27" t="n"/>
      <c r="E380" s="27" t="n"/>
      <c r="F380" s="27" t="n"/>
      <c r="G380" s="27" t="n"/>
      <c r="H380" s="27" t="n"/>
      <c r="I380" s="36" t="n"/>
      <c r="J380" s="36" t="n"/>
      <c r="K380" s="34">
        <f>IF(OR(I380="",J380=""),"",(J380-I380)*1440)</f>
        <v/>
      </c>
      <c r="L380" s="37">
        <f>IF(I380="","",I380-TIME(9,0,0))</f>
        <v/>
      </c>
      <c r="M380" s="33" t="n"/>
      <c r="N380" s="32" t="inlineStr">
        <is>
          <t>gon</t>
        </is>
      </c>
      <c r="O380" s="27" t="n"/>
      <c r="P380" s="33" t="n"/>
      <c r="Q380" s="33" t="n"/>
      <c r="R380" s="38" t="n"/>
      <c r="S380" s="28" t="n"/>
      <c r="T380" s="27" t="n"/>
      <c r="U380" s="27" t="n"/>
      <c r="V380" s="27" t="n"/>
    </row>
    <row r="381">
      <c r="A381" s="27" t="n"/>
      <c r="B381" s="27" t="n"/>
      <c r="C381" s="39" t="n"/>
      <c r="D381" s="27" t="n"/>
      <c r="E381" s="27" t="n"/>
      <c r="F381" s="27" t="n"/>
      <c r="G381" s="27" t="n"/>
      <c r="H381" s="27" t="n"/>
      <c r="I381" s="36" t="n"/>
      <c r="J381" s="36" t="n"/>
      <c r="K381" s="34">
        <f>IF(OR(I381="",J381=""),"",(J381-I381)*1440)</f>
        <v/>
      </c>
      <c r="L381" s="37">
        <f>IF(I381="","",I381-TIME(9,0,0))</f>
        <v/>
      </c>
      <c r="M381" s="33" t="n"/>
      <c r="N381" s="32" t="inlineStr">
        <is>
          <t>gon</t>
        </is>
      </c>
      <c r="O381" s="27" t="n"/>
      <c r="P381" s="33" t="n"/>
      <c r="Q381" s="33" t="n"/>
      <c r="R381" s="38" t="n"/>
      <c r="S381" s="28" t="n"/>
      <c r="T381" s="27" t="n"/>
      <c r="U381" s="27" t="n"/>
      <c r="V381" s="27" t="n"/>
    </row>
    <row r="382">
      <c r="A382" s="27" t="n"/>
      <c r="B382" s="27" t="n"/>
      <c r="C382" s="39" t="n"/>
      <c r="D382" s="27" t="n"/>
      <c r="E382" s="27" t="n"/>
      <c r="F382" s="27" t="n"/>
      <c r="G382" s="27" t="n"/>
      <c r="H382" s="27" t="n"/>
      <c r="I382" s="36" t="n"/>
      <c r="J382" s="36" t="n"/>
      <c r="K382" s="34">
        <f>IF(OR(I382="",J382=""),"",(J382-I382)*1440)</f>
        <v/>
      </c>
      <c r="L382" s="37">
        <f>IF(I382="","",I382-TIME(9,0,0))</f>
        <v/>
      </c>
      <c r="M382" s="33" t="n"/>
      <c r="N382" s="32" t="inlineStr">
        <is>
          <t>gon</t>
        </is>
      </c>
      <c r="O382" s="27" t="n"/>
      <c r="P382" s="33" t="n"/>
      <c r="Q382" s="33" t="n"/>
      <c r="R382" s="38" t="n"/>
      <c r="S382" s="28" t="n"/>
      <c r="T382" s="27" t="n"/>
      <c r="U382" s="27" t="n"/>
      <c r="V382" s="27" t="n"/>
    </row>
    <row r="383">
      <c r="A383" s="27" t="n"/>
      <c r="B383" s="27" t="n"/>
      <c r="C383" s="39" t="n"/>
      <c r="D383" s="27" t="n"/>
      <c r="E383" s="27" t="n"/>
      <c r="F383" s="27" t="n"/>
      <c r="G383" s="27" t="n"/>
      <c r="H383" s="27" t="n"/>
      <c r="I383" s="36" t="n"/>
      <c r="J383" s="36" t="n"/>
      <c r="K383" s="34">
        <f>IF(OR(I383="",J383=""),"",(J383-I383)*1440)</f>
        <v/>
      </c>
      <c r="L383" s="37">
        <f>IF(I383="","",I383-TIME(9,0,0))</f>
        <v/>
      </c>
      <c r="M383" s="33" t="n"/>
      <c r="N383" s="32" t="inlineStr">
        <is>
          <t>gon</t>
        </is>
      </c>
      <c r="O383" s="27" t="n"/>
      <c r="P383" s="33" t="n"/>
      <c r="Q383" s="33" t="n"/>
      <c r="R383" s="38" t="n"/>
      <c r="S383" s="28" t="n"/>
      <c r="T383" s="27" t="n"/>
      <c r="U383" s="27" t="n"/>
      <c r="V383" s="27" t="n"/>
    </row>
    <row r="384">
      <c r="A384" s="27" t="n"/>
      <c r="B384" s="27" t="n"/>
      <c r="C384" s="39" t="n"/>
      <c r="D384" s="27" t="n"/>
      <c r="E384" s="27" t="n"/>
      <c r="F384" s="27" t="n"/>
      <c r="G384" s="27" t="n"/>
      <c r="H384" s="27" t="n"/>
      <c r="I384" s="36" t="n"/>
      <c r="J384" s="36" t="n"/>
      <c r="K384" s="34">
        <f>IF(OR(I384="",J384=""),"",(J384-I384)*1440)</f>
        <v/>
      </c>
      <c r="L384" s="37">
        <f>IF(I384="","",I384-TIME(9,0,0))</f>
        <v/>
      </c>
      <c r="M384" s="33" t="n"/>
      <c r="N384" s="32" t="inlineStr">
        <is>
          <t>gon</t>
        </is>
      </c>
      <c r="O384" s="27" t="n"/>
      <c r="P384" s="33" t="n"/>
      <c r="Q384" s="33" t="n"/>
      <c r="R384" s="38" t="n"/>
      <c r="S384" s="28" t="n"/>
      <c r="T384" s="27" t="n"/>
      <c r="U384" s="27" t="n"/>
      <c r="V384" s="27" t="n"/>
    </row>
    <row r="385">
      <c r="A385" s="27" t="n"/>
      <c r="B385" s="27" t="n"/>
      <c r="C385" s="39" t="n"/>
      <c r="D385" s="27" t="n"/>
      <c r="E385" s="27" t="n"/>
      <c r="F385" s="27" t="n"/>
      <c r="G385" s="27" t="n"/>
      <c r="H385" s="27" t="n"/>
      <c r="I385" s="36" t="n"/>
      <c r="J385" s="36" t="n"/>
      <c r="K385" s="34">
        <f>IF(OR(I385="",J385=""),"",(J385-I385)*1440)</f>
        <v/>
      </c>
      <c r="L385" s="37">
        <f>IF(I385="","",I385-TIME(9,0,0))</f>
        <v/>
      </c>
      <c r="M385" s="33" t="n"/>
      <c r="N385" s="32" t="inlineStr">
        <is>
          <t>gon</t>
        </is>
      </c>
      <c r="O385" s="27" t="n"/>
      <c r="P385" s="33" t="n"/>
      <c r="Q385" s="33" t="n"/>
      <c r="R385" s="38" t="n"/>
      <c r="S385" s="28" t="n"/>
      <c r="T385" s="27" t="n"/>
      <c r="U385" s="27" t="n"/>
      <c r="V385" s="27" t="n"/>
    </row>
    <row r="386">
      <c r="A386" s="27" t="n"/>
      <c r="B386" s="27" t="n"/>
      <c r="C386" s="39" t="n"/>
      <c r="D386" s="27" t="n"/>
      <c r="E386" s="27" t="n"/>
      <c r="F386" s="27" t="n"/>
      <c r="G386" s="27" t="n"/>
      <c r="H386" s="27" t="n"/>
      <c r="I386" s="36" t="n"/>
      <c r="J386" s="36" t="n"/>
      <c r="K386" s="34">
        <f>IF(OR(I386="",J386=""),"",(J386-I386)*1440)</f>
        <v/>
      </c>
      <c r="L386" s="37">
        <f>IF(I386="","",I386-TIME(9,0,0))</f>
        <v/>
      </c>
      <c r="M386" s="33" t="n"/>
      <c r="N386" s="32" t="inlineStr">
        <is>
          <t>gon</t>
        </is>
      </c>
      <c r="O386" s="27" t="n"/>
      <c r="P386" s="33" t="n"/>
      <c r="Q386" s="33" t="n"/>
      <c r="R386" s="38" t="n"/>
      <c r="S386" s="28" t="n"/>
      <c r="T386" s="27" t="n"/>
      <c r="U386" s="27" t="n"/>
      <c r="V386" s="27" t="n"/>
    </row>
    <row r="387">
      <c r="A387" s="27" t="n"/>
      <c r="B387" s="27" t="n"/>
      <c r="C387" s="39" t="n"/>
      <c r="D387" s="27" t="n"/>
      <c r="E387" s="27" t="n"/>
      <c r="F387" s="27" t="n"/>
      <c r="G387" s="27" t="n"/>
      <c r="H387" s="27" t="n"/>
      <c r="I387" s="36" t="n"/>
      <c r="J387" s="36" t="n"/>
      <c r="K387" s="34">
        <f>IF(OR(I387="",J387=""),"",(J387-I387)*1440)</f>
        <v/>
      </c>
      <c r="L387" s="37">
        <f>IF(I387="","",I387-TIME(9,0,0))</f>
        <v/>
      </c>
      <c r="M387" s="33" t="n"/>
      <c r="N387" s="32" t="inlineStr">
        <is>
          <t>gon</t>
        </is>
      </c>
      <c r="O387" s="27" t="n"/>
      <c r="P387" s="33" t="n"/>
      <c r="Q387" s="33" t="n"/>
      <c r="R387" s="38" t="n"/>
      <c r="S387" s="28" t="n"/>
      <c r="T387" s="27" t="n"/>
      <c r="U387" s="27" t="n"/>
      <c r="V387" s="27" t="n"/>
    </row>
    <row r="388">
      <c r="A388" s="27" t="n"/>
      <c r="B388" s="27" t="n"/>
      <c r="C388" s="39" t="n"/>
      <c r="D388" s="27" t="n"/>
      <c r="E388" s="27" t="n"/>
      <c r="F388" s="27" t="n"/>
      <c r="G388" s="27" t="n"/>
      <c r="H388" s="27" t="n"/>
      <c r="I388" s="36" t="n"/>
      <c r="J388" s="36" t="n"/>
      <c r="K388" s="34">
        <f>IF(OR(I388="",J388=""),"",(J388-I388)*1440)</f>
        <v/>
      </c>
      <c r="L388" s="37">
        <f>IF(I388="","",I388-TIME(9,0,0))</f>
        <v/>
      </c>
      <c r="M388" s="33" t="n"/>
      <c r="N388" s="32" t="inlineStr">
        <is>
          <t>gon</t>
        </is>
      </c>
      <c r="O388" s="27" t="n"/>
      <c r="P388" s="33" t="n"/>
      <c r="Q388" s="33" t="n"/>
      <c r="R388" s="38" t="n"/>
      <c r="S388" s="28" t="n"/>
      <c r="T388" s="27" t="n"/>
      <c r="U388" s="27" t="n"/>
      <c r="V388" s="27" t="n"/>
    </row>
    <row r="389">
      <c r="A389" s="27" t="n"/>
      <c r="B389" s="27" t="n"/>
      <c r="C389" s="39" t="n"/>
      <c r="D389" s="27" t="n"/>
      <c r="E389" s="27" t="n"/>
      <c r="F389" s="27" t="n"/>
      <c r="G389" s="27" t="n"/>
      <c r="H389" s="27" t="n"/>
      <c r="I389" s="36" t="n"/>
      <c r="J389" s="36" t="n"/>
      <c r="K389" s="34">
        <f>IF(OR(I389="",J389=""),"",(J389-I389)*1440)</f>
        <v/>
      </c>
      <c r="L389" s="37">
        <f>IF(I389="","",I389-TIME(9,0,0))</f>
        <v/>
      </c>
      <c r="M389" s="33" t="n"/>
      <c r="N389" s="32" t="inlineStr">
        <is>
          <t>gon</t>
        </is>
      </c>
      <c r="O389" s="27" t="n"/>
      <c r="P389" s="33" t="n"/>
      <c r="Q389" s="33" t="n"/>
      <c r="R389" s="38" t="n"/>
      <c r="S389" s="28" t="n"/>
      <c r="T389" s="27" t="n"/>
      <c r="U389" s="27" t="n"/>
      <c r="V389" s="27" t="n"/>
    </row>
    <row r="390">
      <c r="A390" s="27" t="n"/>
      <c r="B390" s="27" t="n"/>
      <c r="C390" s="39" t="n"/>
      <c r="D390" s="27" t="n"/>
      <c r="E390" s="27" t="n"/>
      <c r="F390" s="27" t="n"/>
      <c r="G390" s="27" t="n"/>
      <c r="H390" s="27" t="n"/>
      <c r="I390" s="36" t="n"/>
      <c r="J390" s="36" t="n"/>
      <c r="K390" s="34">
        <f>IF(OR(I390="",J390=""),"",(J390-I390)*1440)</f>
        <v/>
      </c>
      <c r="L390" s="37">
        <f>IF(I390="","",I390-TIME(9,0,0))</f>
        <v/>
      </c>
      <c r="M390" s="33" t="n"/>
      <c r="N390" s="32" t="inlineStr">
        <is>
          <t>gon</t>
        </is>
      </c>
      <c r="O390" s="27" t="n"/>
      <c r="P390" s="33" t="n"/>
      <c r="Q390" s="33" t="n"/>
      <c r="R390" s="38" t="n"/>
      <c r="S390" s="28" t="n"/>
      <c r="T390" s="27" t="n"/>
      <c r="U390" s="27" t="n"/>
      <c r="V390" s="27" t="n"/>
    </row>
    <row r="391">
      <c r="A391" s="27" t="n"/>
      <c r="B391" s="27" t="n"/>
      <c r="C391" s="39" t="n"/>
      <c r="D391" s="27" t="n"/>
      <c r="E391" s="27" t="n"/>
      <c r="F391" s="27" t="n"/>
      <c r="G391" s="27" t="n"/>
      <c r="H391" s="27" t="n"/>
      <c r="I391" s="36" t="n"/>
      <c r="J391" s="36" t="n"/>
      <c r="K391" s="34">
        <f>IF(OR(I391="",J391=""),"",(J391-I391)*1440)</f>
        <v/>
      </c>
      <c r="L391" s="37">
        <f>IF(I391="","",I391-TIME(9,0,0))</f>
        <v/>
      </c>
      <c r="M391" s="33" t="n"/>
      <c r="N391" s="32" t="inlineStr">
        <is>
          <t>gon</t>
        </is>
      </c>
      <c r="O391" s="27" t="n"/>
      <c r="P391" s="33" t="n"/>
      <c r="Q391" s="33" t="n"/>
      <c r="R391" s="38" t="n"/>
      <c r="S391" s="28" t="n"/>
      <c r="T391" s="27" t="n"/>
      <c r="U391" s="27" t="n"/>
      <c r="V391" s="27" t="n"/>
    </row>
    <row r="392">
      <c r="A392" s="27" t="n"/>
      <c r="B392" s="27" t="n"/>
      <c r="C392" s="39" t="n"/>
      <c r="D392" s="27" t="n"/>
      <c r="E392" s="27" t="n"/>
      <c r="F392" s="27" t="n"/>
      <c r="G392" s="27" t="n"/>
      <c r="H392" s="27" t="n"/>
      <c r="I392" s="36" t="n"/>
      <c r="J392" s="36" t="n"/>
      <c r="K392" s="34">
        <f>IF(OR(I392="",J392=""),"",(J392-I392)*1440)</f>
        <v/>
      </c>
      <c r="L392" s="37">
        <f>IF(I392="","",I392-TIME(9,0,0))</f>
        <v/>
      </c>
      <c r="M392" s="33" t="n"/>
      <c r="N392" s="32" t="inlineStr">
        <is>
          <t>gon</t>
        </is>
      </c>
      <c r="O392" s="27" t="n"/>
      <c r="P392" s="33" t="n"/>
      <c r="Q392" s="33" t="n"/>
      <c r="R392" s="38" t="n"/>
      <c r="S392" s="28" t="n"/>
      <c r="T392" s="27" t="n"/>
      <c r="U392" s="27" t="n"/>
      <c r="V392" s="27" t="n"/>
    </row>
    <row r="393">
      <c r="A393" s="27" t="n"/>
      <c r="B393" s="27" t="n"/>
      <c r="C393" s="39" t="n"/>
      <c r="D393" s="27" t="n"/>
      <c r="E393" s="27" t="n"/>
      <c r="F393" s="27" t="n"/>
      <c r="G393" s="27" t="n"/>
      <c r="H393" s="27" t="n"/>
      <c r="I393" s="36" t="n"/>
      <c r="J393" s="36" t="n"/>
      <c r="K393" s="34">
        <f>IF(OR(I393="",J393=""),"",(J393-I393)*1440)</f>
        <v/>
      </c>
      <c r="L393" s="37">
        <f>IF(I393="","",I393-TIME(9,0,0))</f>
        <v/>
      </c>
      <c r="M393" s="33" t="n"/>
      <c r="N393" s="32" t="inlineStr">
        <is>
          <t>gon</t>
        </is>
      </c>
      <c r="O393" s="27" t="n"/>
      <c r="P393" s="33" t="n"/>
      <c r="Q393" s="33" t="n"/>
      <c r="R393" s="38" t="n"/>
      <c r="S393" s="28" t="n"/>
      <c r="T393" s="27" t="n"/>
      <c r="U393" s="27" t="n"/>
      <c r="V393" s="27" t="n"/>
    </row>
    <row r="394">
      <c r="A394" s="27" t="n"/>
      <c r="B394" s="27" t="n"/>
      <c r="C394" s="39" t="n"/>
      <c r="D394" s="27" t="n"/>
      <c r="E394" s="27" t="n"/>
      <c r="F394" s="27" t="n"/>
      <c r="G394" s="27" t="n"/>
      <c r="H394" s="27" t="n"/>
      <c r="I394" s="36" t="n"/>
      <c r="J394" s="36" t="n"/>
      <c r="K394" s="34">
        <f>IF(OR(I394="",J394=""),"",(J394-I394)*1440)</f>
        <v/>
      </c>
      <c r="L394" s="37">
        <f>IF(I394="","",I394-TIME(9,0,0))</f>
        <v/>
      </c>
      <c r="M394" s="33" t="n"/>
      <c r="N394" s="32" t="inlineStr">
        <is>
          <t>gon</t>
        </is>
      </c>
      <c r="O394" s="27" t="n"/>
      <c r="P394" s="33" t="n"/>
      <c r="Q394" s="33" t="n"/>
      <c r="R394" s="38" t="n"/>
      <c r="S394" s="28" t="n"/>
      <c r="T394" s="27" t="n"/>
      <c r="U394" s="27" t="n"/>
      <c r="V394" s="27" t="n"/>
    </row>
    <row r="395">
      <c r="A395" s="27" t="n"/>
      <c r="B395" s="27" t="n"/>
      <c r="C395" s="39" t="n"/>
      <c r="D395" s="27" t="n"/>
      <c r="E395" s="27" t="n"/>
      <c r="F395" s="27" t="n"/>
      <c r="G395" s="27" t="n"/>
      <c r="H395" s="27" t="n"/>
      <c r="I395" s="36" t="n"/>
      <c r="J395" s="36" t="n"/>
      <c r="K395" s="34">
        <f>IF(OR(I395="",J395=""),"",(J395-I395)*1440)</f>
        <v/>
      </c>
      <c r="L395" s="37">
        <f>IF(I395="","",I395-TIME(9,0,0))</f>
        <v/>
      </c>
      <c r="M395" s="33" t="n"/>
      <c r="N395" s="32" t="inlineStr">
        <is>
          <t>gon</t>
        </is>
      </c>
      <c r="O395" s="27" t="n"/>
      <c r="P395" s="33" t="n"/>
      <c r="Q395" s="33" t="n"/>
      <c r="R395" s="38" t="n"/>
      <c r="S395" s="28" t="n"/>
      <c r="T395" s="27" t="n"/>
      <c r="U395" s="27" t="n"/>
      <c r="V395" s="27" t="n"/>
    </row>
    <row r="396">
      <c r="A396" s="27" t="n"/>
      <c r="B396" s="27" t="n"/>
      <c r="C396" s="39" t="n"/>
      <c r="D396" s="27" t="n"/>
      <c r="E396" s="27" t="n"/>
      <c r="F396" s="27" t="n"/>
      <c r="G396" s="27" t="n"/>
      <c r="H396" s="27" t="n"/>
      <c r="I396" s="36" t="n"/>
      <c r="J396" s="36" t="n"/>
      <c r="K396" s="34">
        <f>IF(OR(I396="",J396=""),"",(J396-I396)*1440)</f>
        <v/>
      </c>
      <c r="L396" s="37">
        <f>IF(I396="","",I396-TIME(9,0,0))</f>
        <v/>
      </c>
      <c r="M396" s="33" t="n"/>
      <c r="N396" s="32" t="inlineStr">
        <is>
          <t>gon</t>
        </is>
      </c>
      <c r="O396" s="27" t="n"/>
      <c r="P396" s="33" t="n"/>
      <c r="Q396" s="33" t="n"/>
      <c r="R396" s="38" t="n"/>
      <c r="S396" s="28" t="n"/>
      <c r="T396" s="27" t="n"/>
      <c r="U396" s="27" t="n"/>
      <c r="V396" s="27" t="n"/>
    </row>
    <row r="397">
      <c r="A397" s="27" t="n"/>
      <c r="B397" s="27" t="n"/>
      <c r="C397" s="39" t="n"/>
      <c r="D397" s="27" t="n"/>
      <c r="E397" s="27" t="n"/>
      <c r="F397" s="27" t="n"/>
      <c r="G397" s="27" t="n"/>
      <c r="H397" s="27" t="n"/>
      <c r="I397" s="36" t="n"/>
      <c r="J397" s="36" t="n"/>
      <c r="K397" s="34">
        <f>IF(OR(I397="",J397=""),"",(J397-I397)*1440)</f>
        <v/>
      </c>
      <c r="L397" s="37">
        <f>IF(I397="","",I397-TIME(9,0,0))</f>
        <v/>
      </c>
      <c r="M397" s="33" t="n"/>
      <c r="N397" s="32" t="inlineStr">
        <is>
          <t>gon</t>
        </is>
      </c>
      <c r="O397" s="27" t="n"/>
      <c r="P397" s="33" t="n"/>
      <c r="Q397" s="33" t="n"/>
      <c r="R397" s="38" t="n"/>
      <c r="S397" s="28" t="n"/>
      <c r="T397" s="27" t="n"/>
      <c r="U397" s="27" t="n"/>
      <c r="V397" s="27" t="n"/>
    </row>
    <row r="398">
      <c r="A398" s="27" t="n"/>
      <c r="B398" s="27" t="n"/>
      <c r="C398" s="39" t="n"/>
      <c r="D398" s="27" t="n"/>
      <c r="E398" s="27" t="n"/>
      <c r="F398" s="27" t="n"/>
      <c r="G398" s="27" t="n"/>
      <c r="H398" s="27" t="n"/>
      <c r="I398" s="36" t="n"/>
      <c r="J398" s="36" t="n"/>
      <c r="K398" s="34">
        <f>IF(OR(I398="",J398=""),"",(J398-I398)*1440)</f>
        <v/>
      </c>
      <c r="L398" s="37">
        <f>IF(I398="","",I398-TIME(9,0,0))</f>
        <v/>
      </c>
      <c r="M398" s="33" t="n"/>
      <c r="N398" s="32" t="inlineStr">
        <is>
          <t>gon</t>
        </is>
      </c>
      <c r="O398" s="27" t="n"/>
      <c r="P398" s="33" t="n"/>
      <c r="Q398" s="33" t="n"/>
      <c r="R398" s="38" t="n"/>
      <c r="S398" s="28" t="n"/>
      <c r="T398" s="27" t="n"/>
      <c r="U398" s="27" t="n"/>
      <c r="V398" s="27" t="n"/>
    </row>
    <row r="399">
      <c r="A399" s="27" t="n"/>
      <c r="B399" s="27" t="n"/>
      <c r="C399" s="39" t="n"/>
      <c r="D399" s="27" t="n"/>
      <c r="E399" s="27" t="n"/>
      <c r="F399" s="27" t="n"/>
      <c r="G399" s="27" t="n"/>
      <c r="H399" s="27" t="n"/>
      <c r="I399" s="36" t="n"/>
      <c r="J399" s="36" t="n"/>
      <c r="K399" s="34">
        <f>IF(OR(I399="",J399=""),"",(J399-I399)*1440)</f>
        <v/>
      </c>
      <c r="L399" s="37">
        <f>IF(I399="","",I399-TIME(9,0,0))</f>
        <v/>
      </c>
      <c r="M399" s="33" t="n"/>
      <c r="N399" s="32" t="inlineStr">
        <is>
          <t>gon</t>
        </is>
      </c>
      <c r="O399" s="27" t="n"/>
      <c r="P399" s="33" t="n"/>
      <c r="Q399" s="33" t="n"/>
      <c r="R399" s="38" t="n"/>
      <c r="S399" s="28" t="n"/>
      <c r="T399" s="27" t="n"/>
      <c r="U399" s="27" t="n"/>
      <c r="V399" s="27" t="n"/>
    </row>
    <row r="400">
      <c r="A400" s="27" t="n"/>
      <c r="B400" s="27" t="n"/>
      <c r="C400" s="39" t="n"/>
      <c r="D400" s="27" t="n"/>
      <c r="E400" s="27" t="n"/>
      <c r="F400" s="27" t="n"/>
      <c r="G400" s="27" t="n"/>
      <c r="H400" s="27" t="n"/>
      <c r="I400" s="36" t="n"/>
      <c r="J400" s="36" t="n"/>
      <c r="K400" s="34">
        <f>IF(OR(I400="",J400=""),"",(J400-I400)*1440)</f>
        <v/>
      </c>
      <c r="L400" s="37">
        <f>IF(I400="","",I400-TIME(9,0,0))</f>
        <v/>
      </c>
      <c r="M400" s="33" t="n"/>
      <c r="N400" s="32" t="inlineStr">
        <is>
          <t>gon</t>
        </is>
      </c>
      <c r="O400" s="27" t="n"/>
      <c r="P400" s="33" t="n"/>
      <c r="Q400" s="33" t="n"/>
      <c r="R400" s="38" t="n"/>
      <c r="S400" s="28" t="n"/>
      <c r="T400" s="27" t="n"/>
      <c r="U400" s="27" t="n"/>
      <c r="V400" s="27" t="n"/>
    </row>
    <row r="401">
      <c r="A401" s="27" t="n"/>
      <c r="B401" s="27" t="n"/>
      <c r="C401" s="39" t="n"/>
      <c r="D401" s="27" t="n"/>
      <c r="E401" s="27" t="n"/>
      <c r="F401" s="27" t="n"/>
      <c r="G401" s="27" t="n"/>
      <c r="H401" s="27" t="n"/>
      <c r="I401" s="36" t="n"/>
      <c r="J401" s="36" t="n"/>
      <c r="K401" s="34">
        <f>IF(OR(I401="",J401=""),"",(J401-I401)*1440)</f>
        <v/>
      </c>
      <c r="L401" s="37">
        <f>IF(I401="","",I401-TIME(9,0,0))</f>
        <v/>
      </c>
      <c r="M401" s="33" t="n"/>
      <c r="N401" s="32" t="inlineStr">
        <is>
          <t>gon</t>
        </is>
      </c>
      <c r="O401" s="27" t="n"/>
      <c r="P401" s="33" t="n"/>
      <c r="Q401" s="33" t="n"/>
      <c r="R401" s="38" t="n"/>
      <c r="S401" s="28" t="n"/>
      <c r="T401" s="27" t="n"/>
      <c r="U401" s="27" t="n"/>
      <c r="V401" s="27" t="n"/>
    </row>
    <row r="402">
      <c r="A402" s="27" t="n"/>
      <c r="B402" s="27" t="n"/>
      <c r="C402" s="39" t="n"/>
      <c r="D402" s="27" t="n"/>
      <c r="E402" s="27" t="n"/>
      <c r="F402" s="27" t="n"/>
      <c r="G402" s="27" t="n"/>
      <c r="H402" s="27" t="n"/>
      <c r="I402" s="36" t="n"/>
      <c r="J402" s="36" t="n"/>
      <c r="K402" s="34">
        <f>IF(OR(I402="",J402=""),"",(J402-I402)*1440)</f>
        <v/>
      </c>
      <c r="L402" s="37">
        <f>IF(I402="","",I402-TIME(9,0,0))</f>
        <v/>
      </c>
      <c r="M402" s="33" t="n"/>
      <c r="N402" s="32" t="inlineStr">
        <is>
          <t>gon</t>
        </is>
      </c>
      <c r="O402" s="27" t="n"/>
      <c r="P402" s="33" t="n"/>
      <c r="Q402" s="33" t="n"/>
      <c r="R402" s="38" t="n"/>
      <c r="S402" s="28" t="n"/>
      <c r="T402" s="27" t="n"/>
      <c r="U402" s="27" t="n"/>
      <c r="V402" s="27" t="n"/>
    </row>
    <row r="403">
      <c r="A403" s="27" t="n"/>
      <c r="B403" s="27" t="n"/>
      <c r="C403" s="39" t="n"/>
      <c r="D403" s="27" t="n"/>
      <c r="E403" s="27" t="n"/>
      <c r="F403" s="27" t="n"/>
      <c r="G403" s="27" t="n"/>
      <c r="H403" s="27" t="n"/>
      <c r="I403" s="36" t="n"/>
      <c r="J403" s="36" t="n"/>
      <c r="K403" s="34">
        <f>IF(OR(I403="",J403=""),"",(J403-I403)*1440)</f>
        <v/>
      </c>
      <c r="L403" s="37">
        <f>IF(I403="","",I403-TIME(9,0,0))</f>
        <v/>
      </c>
      <c r="M403" s="33" t="n"/>
      <c r="N403" s="32" t="inlineStr">
        <is>
          <t>gon</t>
        </is>
      </c>
      <c r="O403" s="27" t="n"/>
      <c r="P403" s="33" t="n"/>
      <c r="Q403" s="33" t="n"/>
      <c r="R403" s="38" t="n"/>
      <c r="S403" s="28" t="n"/>
      <c r="T403" s="27" t="n"/>
      <c r="U403" s="27" t="n"/>
      <c r="V403" s="27" t="n"/>
    </row>
    <row r="404">
      <c r="A404" s="27" t="n"/>
      <c r="B404" s="27" t="n"/>
      <c r="C404" s="39" t="n"/>
      <c r="D404" s="27" t="n"/>
      <c r="E404" s="27" t="n"/>
      <c r="F404" s="27" t="n"/>
      <c r="G404" s="27" t="n"/>
      <c r="H404" s="27" t="n"/>
      <c r="I404" s="36" t="n"/>
      <c r="J404" s="36" t="n"/>
      <c r="K404" s="34">
        <f>IF(OR(I404="",J404=""),"",(J404-I404)*1440)</f>
        <v/>
      </c>
      <c r="L404" s="37">
        <f>IF(I404="","",I404-TIME(9,0,0))</f>
        <v/>
      </c>
      <c r="M404" s="33" t="n"/>
      <c r="N404" s="32" t="inlineStr">
        <is>
          <t>gon</t>
        </is>
      </c>
      <c r="O404" s="27" t="n"/>
      <c r="P404" s="33" t="n"/>
      <c r="Q404" s="33" t="n"/>
      <c r="R404" s="38" t="n"/>
      <c r="S404" s="28" t="n"/>
      <c r="T404" s="27" t="n"/>
      <c r="U404" s="27" t="n"/>
      <c r="V404" s="27" t="n"/>
    </row>
    <row r="405">
      <c r="A405" s="27" t="n"/>
      <c r="B405" s="27" t="n"/>
      <c r="C405" s="39" t="n"/>
      <c r="D405" s="27" t="n"/>
      <c r="E405" s="27" t="n"/>
      <c r="F405" s="27" t="n"/>
      <c r="G405" s="27" t="n"/>
      <c r="H405" s="27" t="n"/>
      <c r="I405" s="36" t="n"/>
      <c r="J405" s="36" t="n"/>
      <c r="K405" s="34">
        <f>IF(OR(I405="",J405=""),"",(J405-I405)*1440)</f>
        <v/>
      </c>
      <c r="L405" s="37">
        <f>IF(I405="","",I405-TIME(9,0,0))</f>
        <v/>
      </c>
      <c r="M405" s="33" t="n"/>
      <c r="N405" s="32" t="inlineStr">
        <is>
          <t>gon</t>
        </is>
      </c>
      <c r="O405" s="27" t="n"/>
      <c r="P405" s="33" t="n"/>
      <c r="Q405" s="33" t="n"/>
      <c r="R405" s="38" t="n"/>
      <c r="S405" s="28" t="n"/>
      <c r="T405" s="27" t="n"/>
      <c r="U405" s="27" t="n"/>
      <c r="V405" s="27" t="n"/>
    </row>
    <row r="406">
      <c r="A406" s="27" t="n"/>
      <c r="B406" s="27" t="n"/>
      <c r="C406" s="39" t="n"/>
      <c r="D406" s="27" t="n"/>
      <c r="E406" s="27" t="n"/>
      <c r="F406" s="27" t="n"/>
      <c r="G406" s="27" t="n"/>
      <c r="H406" s="27" t="n"/>
      <c r="I406" s="36" t="n"/>
      <c r="J406" s="36" t="n"/>
      <c r="K406" s="34">
        <f>IF(OR(I406="",J406=""),"",(J406-I406)*1440)</f>
        <v/>
      </c>
      <c r="L406" s="37">
        <f>IF(I406="","",I406-TIME(9,0,0))</f>
        <v/>
      </c>
      <c r="M406" s="33" t="n"/>
      <c r="N406" s="32" t="inlineStr">
        <is>
          <t>gon</t>
        </is>
      </c>
      <c r="O406" s="27" t="n"/>
      <c r="P406" s="33" t="n"/>
      <c r="Q406" s="33" t="n"/>
      <c r="R406" s="38" t="n"/>
      <c r="S406" s="28" t="n"/>
      <c r="T406" s="27" t="n"/>
      <c r="U406" s="27" t="n"/>
      <c r="V406" s="27" t="n"/>
    </row>
    <row r="407">
      <c r="A407" s="27" t="n"/>
      <c r="B407" s="27" t="n"/>
      <c r="C407" s="39" t="n"/>
      <c r="D407" s="27" t="n"/>
      <c r="E407" s="27" t="n"/>
      <c r="F407" s="27" t="n"/>
      <c r="G407" s="27" t="n"/>
      <c r="H407" s="27" t="n"/>
      <c r="I407" s="36" t="n"/>
      <c r="J407" s="36" t="n"/>
      <c r="K407" s="34">
        <f>IF(OR(I407="",J407=""),"",(J407-I407)*1440)</f>
        <v/>
      </c>
      <c r="L407" s="37">
        <f>IF(I407="","",I407-TIME(9,0,0))</f>
        <v/>
      </c>
      <c r="M407" s="33" t="n"/>
      <c r="N407" s="32" t="inlineStr">
        <is>
          <t>gon</t>
        </is>
      </c>
      <c r="O407" s="27" t="n"/>
      <c r="P407" s="33" t="n"/>
      <c r="Q407" s="33" t="n"/>
      <c r="R407" s="38" t="n"/>
      <c r="S407" s="28" t="n"/>
      <c r="T407" s="27" t="n"/>
      <c r="U407" s="27" t="n"/>
      <c r="V407" s="27" t="n"/>
    </row>
    <row r="408">
      <c r="A408" s="27" t="n"/>
      <c r="B408" s="27" t="n"/>
      <c r="C408" s="39" t="n"/>
      <c r="D408" s="27" t="n"/>
      <c r="E408" s="27" t="n"/>
      <c r="F408" s="27" t="n"/>
      <c r="G408" s="27" t="n"/>
      <c r="H408" s="27" t="n"/>
      <c r="I408" s="36" t="n"/>
      <c r="J408" s="36" t="n"/>
      <c r="K408" s="34">
        <f>IF(OR(I408="",J408=""),"",(J408-I408)*1440)</f>
        <v/>
      </c>
      <c r="L408" s="37">
        <f>IF(I408="","",I408-TIME(9,0,0))</f>
        <v/>
      </c>
      <c r="M408" s="33" t="n"/>
      <c r="N408" s="32" t="inlineStr">
        <is>
          <t>gon</t>
        </is>
      </c>
      <c r="O408" s="27" t="n"/>
      <c r="P408" s="33" t="n"/>
      <c r="Q408" s="33" t="n"/>
      <c r="R408" s="38" t="n"/>
      <c r="S408" s="28" t="n"/>
      <c r="T408" s="27" t="n"/>
      <c r="U408" s="27" t="n"/>
      <c r="V408" s="27" t="n"/>
    </row>
    <row r="409">
      <c r="A409" s="27" t="n"/>
      <c r="B409" s="27" t="n"/>
      <c r="C409" s="39" t="n"/>
      <c r="D409" s="27" t="n"/>
      <c r="E409" s="27" t="n"/>
      <c r="F409" s="27" t="n"/>
      <c r="G409" s="27" t="n"/>
      <c r="H409" s="27" t="n"/>
      <c r="I409" s="36" t="n"/>
      <c r="J409" s="36" t="n"/>
      <c r="K409" s="34">
        <f>IF(OR(I409="",J409=""),"",(J409-I409)*1440)</f>
        <v/>
      </c>
      <c r="L409" s="37">
        <f>IF(I409="","",I409-TIME(9,0,0))</f>
        <v/>
      </c>
      <c r="M409" s="33" t="n"/>
      <c r="N409" s="32" t="inlineStr">
        <is>
          <t>gon</t>
        </is>
      </c>
      <c r="O409" s="27" t="n"/>
      <c r="P409" s="33" t="n"/>
      <c r="Q409" s="33" t="n"/>
      <c r="R409" s="38" t="n"/>
      <c r="S409" s="28" t="n"/>
      <c r="T409" s="27" t="n"/>
      <c r="U409" s="27" t="n"/>
      <c r="V409" s="27" t="n"/>
    </row>
    <row r="410">
      <c r="A410" s="27" t="n"/>
      <c r="B410" s="27" t="n"/>
      <c r="C410" s="39" t="n"/>
      <c r="D410" s="27" t="n"/>
      <c r="E410" s="27" t="n"/>
      <c r="F410" s="27" t="n"/>
      <c r="G410" s="27" t="n"/>
      <c r="H410" s="27" t="n"/>
      <c r="I410" s="36" t="n"/>
      <c r="J410" s="36" t="n"/>
      <c r="K410" s="34">
        <f>IF(OR(I410="",J410=""),"",(J410-I410)*1440)</f>
        <v/>
      </c>
      <c r="L410" s="37">
        <f>IF(I410="","",I410-TIME(9,0,0))</f>
        <v/>
      </c>
      <c r="M410" s="33" t="n"/>
      <c r="N410" s="32" t="inlineStr">
        <is>
          <t>gon</t>
        </is>
      </c>
      <c r="O410" s="27" t="n"/>
      <c r="P410" s="33" t="n"/>
      <c r="Q410" s="33" t="n"/>
      <c r="R410" s="38" t="n"/>
      <c r="S410" s="28" t="n"/>
      <c r="T410" s="27" t="n"/>
      <c r="U410" s="27" t="n"/>
      <c r="V410" s="27" t="n"/>
    </row>
    <row r="411">
      <c r="A411" s="27" t="n"/>
      <c r="B411" s="27" t="n"/>
      <c r="C411" s="39" t="n"/>
      <c r="D411" s="27" t="n"/>
      <c r="E411" s="27" t="n"/>
      <c r="F411" s="27" t="n"/>
      <c r="G411" s="27" t="n"/>
      <c r="H411" s="27" t="n"/>
      <c r="I411" s="36" t="n"/>
      <c r="J411" s="36" t="n"/>
      <c r="K411" s="34">
        <f>IF(OR(I411="",J411=""),"",(J411-I411)*1440)</f>
        <v/>
      </c>
      <c r="L411" s="37">
        <f>IF(I411="","",I411-TIME(9,0,0))</f>
        <v/>
      </c>
      <c r="M411" s="33" t="n"/>
      <c r="N411" s="32" t="inlineStr">
        <is>
          <t>gon</t>
        </is>
      </c>
      <c r="O411" s="27" t="n"/>
      <c r="P411" s="33" t="n"/>
      <c r="Q411" s="33" t="n"/>
      <c r="R411" s="38" t="n"/>
      <c r="S411" s="28" t="n"/>
      <c r="T411" s="27" t="n"/>
      <c r="U411" s="27" t="n"/>
      <c r="V411" s="27" t="n"/>
    </row>
    <row r="412">
      <c r="A412" s="27" t="n"/>
      <c r="B412" s="27" t="n"/>
      <c r="C412" s="39" t="n"/>
      <c r="D412" s="27" t="n"/>
      <c r="E412" s="27" t="n"/>
      <c r="F412" s="27" t="n"/>
      <c r="G412" s="27" t="n"/>
      <c r="H412" s="27" t="n"/>
      <c r="I412" s="36" t="n"/>
      <c r="J412" s="36" t="n"/>
      <c r="K412" s="34">
        <f>IF(OR(I412="",J412=""),"",(J412-I412)*1440)</f>
        <v/>
      </c>
      <c r="L412" s="37">
        <f>IF(I412="","",I412-TIME(9,0,0))</f>
        <v/>
      </c>
      <c r="M412" s="33" t="n"/>
      <c r="N412" s="32" t="inlineStr">
        <is>
          <t>gon</t>
        </is>
      </c>
      <c r="O412" s="27" t="n"/>
      <c r="P412" s="33" t="n"/>
      <c r="Q412" s="33" t="n"/>
      <c r="R412" s="38" t="n"/>
      <c r="S412" s="28" t="n"/>
      <c r="T412" s="27" t="n"/>
      <c r="U412" s="27" t="n"/>
      <c r="V412" s="27" t="n"/>
    </row>
    <row r="413">
      <c r="A413" s="27" t="n"/>
      <c r="B413" s="27" t="n"/>
      <c r="C413" s="39" t="n"/>
      <c r="D413" s="27" t="n"/>
      <c r="E413" s="27" t="n"/>
      <c r="F413" s="27" t="n"/>
      <c r="G413" s="27" t="n"/>
      <c r="H413" s="27" t="n"/>
      <c r="I413" s="36" t="n"/>
      <c r="J413" s="36" t="n"/>
      <c r="K413" s="34">
        <f>IF(OR(I413="",J413=""),"",(J413-I413)*1440)</f>
        <v/>
      </c>
      <c r="L413" s="37">
        <f>IF(I413="","",I413-TIME(9,0,0))</f>
        <v/>
      </c>
      <c r="M413" s="33" t="n"/>
      <c r="N413" s="32" t="inlineStr">
        <is>
          <t>gon</t>
        </is>
      </c>
      <c r="O413" s="27" t="n"/>
      <c r="P413" s="33" t="n"/>
      <c r="Q413" s="33" t="n"/>
      <c r="R413" s="38" t="n"/>
      <c r="S413" s="28" t="n"/>
      <c r="T413" s="27" t="n"/>
      <c r="U413" s="27" t="n"/>
      <c r="V413" s="27" t="n"/>
    </row>
    <row r="414">
      <c r="A414" s="27" t="n"/>
      <c r="B414" s="27" t="n"/>
      <c r="C414" s="39" t="n"/>
      <c r="D414" s="27" t="n"/>
      <c r="E414" s="27" t="n"/>
      <c r="F414" s="27" t="n"/>
      <c r="G414" s="27" t="n"/>
      <c r="H414" s="27" t="n"/>
      <c r="I414" s="36" t="n"/>
      <c r="J414" s="36" t="n"/>
      <c r="K414" s="34">
        <f>IF(OR(I414="",J414=""),"",(J414-I414)*1440)</f>
        <v/>
      </c>
      <c r="L414" s="37">
        <f>IF(I414="","",I414-TIME(9,0,0))</f>
        <v/>
      </c>
      <c r="M414" s="33" t="n"/>
      <c r="N414" s="32" t="inlineStr">
        <is>
          <t>gon</t>
        </is>
      </c>
      <c r="O414" s="27" t="n"/>
      <c r="P414" s="33" t="n"/>
      <c r="Q414" s="33" t="n"/>
      <c r="R414" s="38" t="n"/>
      <c r="S414" s="28" t="n"/>
      <c r="T414" s="27" t="n"/>
      <c r="U414" s="27" t="n"/>
      <c r="V414" s="27" t="n"/>
    </row>
    <row r="415">
      <c r="A415" s="27" t="n"/>
      <c r="B415" s="27" t="n"/>
      <c r="C415" s="39" t="n"/>
      <c r="D415" s="27" t="n"/>
      <c r="E415" s="27" t="n"/>
      <c r="F415" s="27" t="n"/>
      <c r="G415" s="27" t="n"/>
      <c r="H415" s="27" t="n"/>
      <c r="I415" s="36" t="n"/>
      <c r="J415" s="36" t="n"/>
      <c r="K415" s="34">
        <f>IF(OR(I415="",J415=""),"",(J415-I415)*1440)</f>
        <v/>
      </c>
      <c r="L415" s="37">
        <f>IF(I415="","",I415-TIME(9,0,0))</f>
        <v/>
      </c>
      <c r="M415" s="33" t="n"/>
      <c r="N415" s="32" t="inlineStr">
        <is>
          <t>gon</t>
        </is>
      </c>
      <c r="O415" s="27" t="n"/>
      <c r="P415" s="33" t="n"/>
      <c r="Q415" s="33" t="n"/>
      <c r="R415" s="38" t="n"/>
      <c r="S415" s="28" t="n"/>
      <c r="T415" s="27" t="n"/>
      <c r="U415" s="27" t="n"/>
      <c r="V415" s="27" t="n"/>
    </row>
    <row r="416">
      <c r="A416" s="27" t="n"/>
      <c r="B416" s="27" t="n"/>
      <c r="C416" s="39" t="n"/>
      <c r="D416" s="27" t="n"/>
      <c r="E416" s="27" t="n"/>
      <c r="F416" s="27" t="n"/>
      <c r="G416" s="27" t="n"/>
      <c r="H416" s="27" t="n"/>
      <c r="I416" s="36" t="n"/>
      <c r="J416" s="36" t="n"/>
      <c r="K416" s="34">
        <f>IF(OR(I416="",J416=""),"",(J416-I416)*1440)</f>
        <v/>
      </c>
      <c r="L416" s="37">
        <f>IF(I416="","",I416-TIME(9,0,0))</f>
        <v/>
      </c>
      <c r="M416" s="33" t="n"/>
      <c r="N416" s="32" t="inlineStr">
        <is>
          <t>gon</t>
        </is>
      </c>
      <c r="O416" s="27" t="n"/>
      <c r="P416" s="33" t="n"/>
      <c r="Q416" s="33" t="n"/>
      <c r="R416" s="38" t="n"/>
      <c r="S416" s="28" t="n"/>
      <c r="T416" s="27" t="n"/>
      <c r="U416" s="27" t="n"/>
      <c r="V416" s="27" t="n"/>
    </row>
    <row r="417">
      <c r="A417" s="27" t="n"/>
      <c r="B417" s="27" t="n"/>
      <c r="C417" s="39" t="n"/>
      <c r="D417" s="27" t="n"/>
      <c r="E417" s="27" t="n"/>
      <c r="F417" s="27" t="n"/>
      <c r="G417" s="27" t="n"/>
      <c r="H417" s="27" t="n"/>
      <c r="I417" s="36" t="n"/>
      <c r="J417" s="36" t="n"/>
      <c r="K417" s="34">
        <f>IF(OR(I417="",J417=""),"",(J417-I417)*1440)</f>
        <v/>
      </c>
      <c r="L417" s="37">
        <f>IF(I417="","",I417-TIME(9,0,0))</f>
        <v/>
      </c>
      <c r="M417" s="33" t="n"/>
      <c r="N417" s="32" t="inlineStr">
        <is>
          <t>gon</t>
        </is>
      </c>
      <c r="O417" s="27" t="n"/>
      <c r="P417" s="33" t="n"/>
      <c r="Q417" s="33" t="n"/>
      <c r="R417" s="38" t="n"/>
      <c r="S417" s="28" t="n"/>
      <c r="T417" s="27" t="n"/>
      <c r="U417" s="27" t="n"/>
      <c r="V417" s="27" t="n"/>
    </row>
    <row r="418">
      <c r="A418" s="27" t="n"/>
      <c r="B418" s="27" t="n"/>
      <c r="C418" s="39" t="n"/>
      <c r="D418" s="27" t="n"/>
      <c r="E418" s="27" t="n"/>
      <c r="F418" s="27" t="n"/>
      <c r="G418" s="27" t="n"/>
      <c r="H418" s="27" t="n"/>
      <c r="I418" s="36" t="n"/>
      <c r="J418" s="36" t="n"/>
      <c r="K418" s="34">
        <f>IF(OR(I418="",J418=""),"",(J418-I418)*1440)</f>
        <v/>
      </c>
      <c r="L418" s="37">
        <f>IF(I418="","",I418-TIME(9,0,0))</f>
        <v/>
      </c>
      <c r="M418" s="33" t="n"/>
      <c r="N418" s="32" t="inlineStr">
        <is>
          <t>gon</t>
        </is>
      </c>
      <c r="O418" s="27" t="n"/>
      <c r="P418" s="33" t="n"/>
      <c r="Q418" s="33" t="n"/>
      <c r="R418" s="38" t="n"/>
      <c r="S418" s="28" t="n"/>
      <c r="T418" s="27" t="n"/>
      <c r="U418" s="27" t="n"/>
      <c r="V418" s="27" t="n"/>
    </row>
    <row r="419">
      <c r="A419" s="27" t="n"/>
      <c r="B419" s="27" t="n"/>
      <c r="C419" s="39" t="n"/>
      <c r="D419" s="27" t="n"/>
      <c r="E419" s="27" t="n"/>
      <c r="F419" s="27" t="n"/>
      <c r="G419" s="27" t="n"/>
      <c r="H419" s="27" t="n"/>
      <c r="I419" s="36" t="n"/>
      <c r="J419" s="36" t="n"/>
      <c r="K419" s="34">
        <f>IF(OR(I419="",J419=""),"",(J419-I419)*1440)</f>
        <v/>
      </c>
      <c r="L419" s="37">
        <f>IF(I419="","",I419-TIME(9,0,0))</f>
        <v/>
      </c>
      <c r="M419" s="33" t="n"/>
      <c r="N419" s="32" t="inlineStr">
        <is>
          <t>gon</t>
        </is>
      </c>
      <c r="O419" s="27" t="n"/>
      <c r="P419" s="33" t="n"/>
      <c r="Q419" s="33" t="n"/>
      <c r="R419" s="38" t="n"/>
      <c r="S419" s="28" t="n"/>
      <c r="T419" s="27" t="n"/>
      <c r="U419" s="27" t="n"/>
      <c r="V419" s="27" t="n"/>
    </row>
    <row r="420">
      <c r="A420" s="27" t="n"/>
      <c r="B420" s="27" t="n"/>
      <c r="C420" s="39" t="n"/>
      <c r="D420" s="27" t="n"/>
      <c r="E420" s="27" t="n"/>
      <c r="F420" s="27" t="n"/>
      <c r="G420" s="27" t="n"/>
      <c r="H420" s="27" t="n"/>
      <c r="I420" s="36" t="n"/>
      <c r="J420" s="36" t="n"/>
      <c r="K420" s="34">
        <f>IF(OR(I420="",J420=""),"",(J420-I420)*1440)</f>
        <v/>
      </c>
      <c r="L420" s="37">
        <f>IF(I420="","",I420-TIME(9,0,0))</f>
        <v/>
      </c>
      <c r="M420" s="33" t="n"/>
      <c r="N420" s="32" t="inlineStr">
        <is>
          <t>gon</t>
        </is>
      </c>
      <c r="O420" s="27" t="n"/>
      <c r="P420" s="33" t="n"/>
      <c r="Q420" s="33" t="n"/>
      <c r="R420" s="38" t="n"/>
      <c r="S420" s="28" t="n"/>
      <c r="T420" s="27" t="n"/>
      <c r="U420" s="27" t="n"/>
      <c r="V420" s="27" t="n"/>
    </row>
    <row r="421">
      <c r="A421" s="27" t="n"/>
      <c r="B421" s="27" t="n"/>
      <c r="C421" s="39" t="n"/>
      <c r="D421" s="27" t="n"/>
      <c r="E421" s="27" t="n"/>
      <c r="F421" s="27" t="n"/>
      <c r="G421" s="27" t="n"/>
      <c r="H421" s="27" t="n"/>
      <c r="I421" s="36" t="n"/>
      <c r="J421" s="36" t="n"/>
      <c r="K421" s="34">
        <f>IF(OR(I421="",J421=""),"",(J421-I421)*1440)</f>
        <v/>
      </c>
      <c r="L421" s="37">
        <f>IF(I421="","",I421-TIME(9,0,0))</f>
        <v/>
      </c>
      <c r="M421" s="33" t="n"/>
      <c r="N421" s="32" t="inlineStr">
        <is>
          <t>gon</t>
        </is>
      </c>
      <c r="O421" s="27" t="n"/>
      <c r="P421" s="33" t="n"/>
      <c r="Q421" s="33" t="n"/>
      <c r="R421" s="38" t="n"/>
      <c r="S421" s="28" t="n"/>
      <c r="T421" s="27" t="n"/>
      <c r="U421" s="27" t="n"/>
      <c r="V421" s="27" t="n"/>
    </row>
    <row r="422">
      <c r="A422" s="27" t="n"/>
      <c r="B422" s="27" t="n"/>
      <c r="C422" s="39" t="n"/>
      <c r="D422" s="27" t="n"/>
      <c r="E422" s="27" t="n"/>
      <c r="F422" s="27" t="n"/>
      <c r="G422" s="27" t="n"/>
      <c r="H422" s="27" t="n"/>
      <c r="I422" s="36" t="n"/>
      <c r="J422" s="36" t="n"/>
      <c r="K422" s="34">
        <f>IF(OR(I422="",J422=""),"",(J422-I422)*1440)</f>
        <v/>
      </c>
      <c r="L422" s="37">
        <f>IF(I422="","",I422-TIME(9,0,0))</f>
        <v/>
      </c>
      <c r="M422" s="33" t="n"/>
      <c r="N422" s="32" t="inlineStr">
        <is>
          <t>gon</t>
        </is>
      </c>
      <c r="O422" s="27" t="n"/>
      <c r="P422" s="33" t="n"/>
      <c r="Q422" s="33" t="n"/>
      <c r="R422" s="38" t="n"/>
      <c r="S422" s="28" t="n"/>
      <c r="T422" s="27" t="n"/>
      <c r="U422" s="27" t="n"/>
      <c r="V422" s="27" t="n"/>
    </row>
    <row r="423">
      <c r="A423" s="27" t="n"/>
      <c r="B423" s="27" t="n"/>
      <c r="C423" s="39" t="n"/>
      <c r="D423" s="27" t="n"/>
      <c r="E423" s="27" t="n"/>
      <c r="F423" s="27" t="n"/>
      <c r="G423" s="27" t="n"/>
      <c r="H423" s="27" t="n"/>
      <c r="I423" s="36" t="n"/>
      <c r="J423" s="36" t="n"/>
      <c r="K423" s="34">
        <f>IF(OR(I423="",J423=""),"",(J423-I423)*1440)</f>
        <v/>
      </c>
      <c r="L423" s="37">
        <f>IF(I423="","",I423-TIME(9,0,0))</f>
        <v/>
      </c>
      <c r="M423" s="33" t="n"/>
      <c r="N423" s="32" t="inlineStr">
        <is>
          <t>gon</t>
        </is>
      </c>
      <c r="O423" s="27" t="n"/>
      <c r="P423" s="33" t="n"/>
      <c r="Q423" s="33" t="n"/>
      <c r="R423" s="38" t="n"/>
      <c r="S423" s="28" t="n"/>
      <c r="T423" s="27" t="n"/>
      <c r="U423" s="27" t="n"/>
      <c r="V423" s="27" t="n"/>
    </row>
    <row r="424">
      <c r="A424" s="27" t="n"/>
      <c r="B424" s="27" t="n"/>
      <c r="C424" s="39" t="n"/>
      <c r="D424" s="27" t="n"/>
      <c r="E424" s="27" t="n"/>
      <c r="F424" s="27" t="n"/>
      <c r="G424" s="27" t="n"/>
      <c r="H424" s="27" t="n"/>
      <c r="I424" s="36" t="n"/>
      <c r="J424" s="36" t="n"/>
      <c r="K424" s="34">
        <f>IF(OR(I424="",J424=""),"",(J424-I424)*1440)</f>
        <v/>
      </c>
      <c r="L424" s="37">
        <f>IF(I424="","",I424-TIME(9,0,0))</f>
        <v/>
      </c>
      <c r="M424" s="33" t="n"/>
      <c r="N424" s="32" t="inlineStr">
        <is>
          <t>gon</t>
        </is>
      </c>
      <c r="O424" s="27" t="n"/>
      <c r="P424" s="33" t="n"/>
      <c r="Q424" s="33" t="n"/>
      <c r="R424" s="38" t="n"/>
      <c r="S424" s="28" t="n"/>
      <c r="T424" s="27" t="n"/>
      <c r="U424" s="27" t="n"/>
      <c r="V424" s="27" t="n"/>
    </row>
    <row r="425">
      <c r="A425" s="27" t="n"/>
      <c r="B425" s="27" t="n"/>
      <c r="C425" s="39" t="n"/>
      <c r="D425" s="27" t="n"/>
      <c r="E425" s="27" t="n"/>
      <c r="F425" s="27" t="n"/>
      <c r="G425" s="27" t="n"/>
      <c r="H425" s="27" t="n"/>
      <c r="I425" s="36" t="n"/>
      <c r="J425" s="36" t="n"/>
      <c r="K425" s="34">
        <f>IF(OR(I425="",J425=""),"",(J425-I425)*1440)</f>
        <v/>
      </c>
      <c r="L425" s="37">
        <f>IF(I425="","",I425-TIME(9,0,0))</f>
        <v/>
      </c>
      <c r="M425" s="33" t="n"/>
      <c r="N425" s="32" t="inlineStr">
        <is>
          <t>gon</t>
        </is>
      </c>
      <c r="O425" s="27" t="n"/>
      <c r="P425" s="33" t="n"/>
      <c r="Q425" s="33" t="n"/>
      <c r="R425" s="38" t="n"/>
      <c r="S425" s="28" t="n"/>
      <c r="T425" s="27" t="n"/>
      <c r="U425" s="27" t="n"/>
      <c r="V425" s="27" t="n"/>
    </row>
    <row r="426">
      <c r="A426" s="27" t="n"/>
      <c r="B426" s="27" t="n"/>
      <c r="C426" s="39" t="n"/>
      <c r="D426" s="27" t="n"/>
      <c r="E426" s="27" t="n"/>
      <c r="F426" s="27" t="n"/>
      <c r="G426" s="27" t="n"/>
      <c r="H426" s="27" t="n"/>
      <c r="I426" s="36" t="n"/>
      <c r="J426" s="36" t="n"/>
      <c r="K426" s="34">
        <f>IF(OR(I426="",J426=""),"",(J426-I426)*1440)</f>
        <v/>
      </c>
      <c r="L426" s="37">
        <f>IF(I426="","",I426-TIME(9,0,0))</f>
        <v/>
      </c>
      <c r="M426" s="33" t="n"/>
      <c r="N426" s="32" t="inlineStr">
        <is>
          <t>gon</t>
        </is>
      </c>
      <c r="O426" s="27" t="n"/>
      <c r="P426" s="33" t="n"/>
      <c r="Q426" s="33" t="n"/>
      <c r="R426" s="38" t="n"/>
      <c r="S426" s="28" t="n"/>
      <c r="T426" s="27" t="n"/>
      <c r="U426" s="27" t="n"/>
      <c r="V426" s="27" t="n"/>
    </row>
    <row r="427">
      <c r="A427" s="27" t="n"/>
      <c r="B427" s="27" t="n"/>
      <c r="C427" s="39" t="n"/>
      <c r="D427" s="27" t="n"/>
      <c r="E427" s="27" t="n"/>
      <c r="F427" s="27" t="n"/>
      <c r="G427" s="27" t="n"/>
      <c r="H427" s="27" t="n"/>
      <c r="I427" s="36" t="n"/>
      <c r="J427" s="36" t="n"/>
      <c r="K427" s="34">
        <f>IF(OR(I427="",J427=""),"",(J427-I427)*1440)</f>
        <v/>
      </c>
      <c r="L427" s="37">
        <f>IF(I427="","",I427-TIME(9,0,0))</f>
        <v/>
      </c>
      <c r="M427" s="33" t="n"/>
      <c r="N427" s="32" t="inlineStr">
        <is>
          <t>gon</t>
        </is>
      </c>
      <c r="O427" s="27" t="n"/>
      <c r="P427" s="33" t="n"/>
      <c r="Q427" s="33" t="n"/>
      <c r="R427" s="38" t="n"/>
      <c r="S427" s="28" t="n"/>
      <c r="T427" s="27" t="n"/>
      <c r="U427" s="27" t="n"/>
      <c r="V427" s="27" t="n"/>
    </row>
    <row r="428">
      <c r="A428" s="27" t="n"/>
      <c r="B428" s="27" t="n"/>
      <c r="C428" s="39" t="n"/>
      <c r="D428" s="27" t="n"/>
      <c r="E428" s="27" t="n"/>
      <c r="F428" s="27" t="n"/>
      <c r="G428" s="27" t="n"/>
      <c r="H428" s="27" t="n"/>
      <c r="I428" s="36" t="n"/>
      <c r="J428" s="36" t="n"/>
      <c r="K428" s="34">
        <f>IF(OR(I428="",J428=""),"",(J428-I428)*1440)</f>
        <v/>
      </c>
      <c r="L428" s="37">
        <f>IF(I428="","",I428-TIME(9,0,0))</f>
        <v/>
      </c>
      <c r="M428" s="33" t="n"/>
      <c r="N428" s="32" t="inlineStr">
        <is>
          <t>gon</t>
        </is>
      </c>
      <c r="O428" s="27" t="n"/>
      <c r="P428" s="33" t="n"/>
      <c r="Q428" s="33" t="n"/>
      <c r="R428" s="38" t="n"/>
      <c r="S428" s="28" t="n"/>
      <c r="T428" s="27" t="n"/>
      <c r="U428" s="27" t="n"/>
      <c r="V428" s="27" t="n"/>
    </row>
    <row r="429">
      <c r="A429" s="27" t="n"/>
      <c r="B429" s="27" t="n"/>
      <c r="C429" s="39" t="n"/>
      <c r="D429" s="27" t="n"/>
      <c r="E429" s="27" t="n"/>
      <c r="F429" s="27" t="n"/>
      <c r="G429" s="27" t="n"/>
      <c r="H429" s="27" t="n"/>
      <c r="I429" s="36" t="n"/>
      <c r="J429" s="36" t="n"/>
      <c r="K429" s="34">
        <f>IF(OR(I429="",J429=""),"",(J429-I429)*1440)</f>
        <v/>
      </c>
      <c r="L429" s="37">
        <f>IF(I429="","",I429-TIME(9,0,0))</f>
        <v/>
      </c>
      <c r="M429" s="33" t="n"/>
      <c r="N429" s="32" t="inlineStr">
        <is>
          <t>gon</t>
        </is>
      </c>
      <c r="O429" s="27" t="n"/>
      <c r="P429" s="33" t="n"/>
      <c r="Q429" s="33" t="n"/>
      <c r="R429" s="38" t="n"/>
      <c r="S429" s="28" t="n"/>
      <c r="T429" s="27" t="n"/>
      <c r="U429" s="27" t="n"/>
      <c r="V429" s="27" t="n"/>
    </row>
    <row r="430">
      <c r="A430" s="27" t="n"/>
      <c r="B430" s="27" t="n"/>
      <c r="C430" s="39" t="n"/>
      <c r="D430" s="27" t="n"/>
      <c r="E430" s="27" t="n"/>
      <c r="F430" s="27" t="n"/>
      <c r="G430" s="27" t="n"/>
      <c r="H430" s="27" t="n"/>
      <c r="I430" s="36" t="n"/>
      <c r="J430" s="36" t="n"/>
      <c r="K430" s="34">
        <f>IF(OR(I430="",J430=""),"",(J430-I430)*1440)</f>
        <v/>
      </c>
      <c r="L430" s="37">
        <f>IF(I430="","",I430-TIME(9,0,0))</f>
        <v/>
      </c>
      <c r="M430" s="33" t="n"/>
      <c r="N430" s="32" t="inlineStr">
        <is>
          <t>gon</t>
        </is>
      </c>
      <c r="O430" s="27" t="n"/>
      <c r="P430" s="33" t="n"/>
      <c r="Q430" s="33" t="n"/>
      <c r="R430" s="38" t="n"/>
      <c r="S430" s="28" t="n"/>
      <c r="T430" s="27" t="n"/>
      <c r="U430" s="27" t="n"/>
      <c r="V430" s="27" t="n"/>
    </row>
    <row r="431">
      <c r="A431" s="27" t="n"/>
      <c r="B431" s="27" t="n"/>
      <c r="C431" s="39" t="n"/>
      <c r="D431" s="27" t="n"/>
      <c r="E431" s="27" t="n"/>
      <c r="F431" s="27" t="n"/>
      <c r="G431" s="27" t="n"/>
      <c r="H431" s="27" t="n"/>
      <c r="I431" s="36" t="n"/>
      <c r="J431" s="36" t="n"/>
      <c r="K431" s="34">
        <f>IF(OR(I431="",J431=""),"",(J431-I431)*1440)</f>
        <v/>
      </c>
      <c r="L431" s="37">
        <f>IF(I431="","",I431-TIME(9,0,0))</f>
        <v/>
      </c>
      <c r="M431" s="33" t="n"/>
      <c r="N431" s="32" t="inlineStr">
        <is>
          <t>gon</t>
        </is>
      </c>
      <c r="O431" s="27" t="n"/>
      <c r="P431" s="33" t="n"/>
      <c r="Q431" s="33" t="n"/>
      <c r="R431" s="38" t="n"/>
      <c r="S431" s="28" t="n"/>
      <c r="T431" s="27" t="n"/>
      <c r="U431" s="27" t="n"/>
      <c r="V431" s="27" t="n"/>
    </row>
    <row r="432">
      <c r="A432" s="27" t="n"/>
      <c r="B432" s="27" t="n"/>
      <c r="C432" s="39" t="n"/>
      <c r="D432" s="27" t="n"/>
      <c r="E432" s="27" t="n"/>
      <c r="F432" s="27" t="n"/>
      <c r="G432" s="27" t="n"/>
      <c r="H432" s="27" t="n"/>
      <c r="I432" s="36" t="n"/>
      <c r="J432" s="36" t="n"/>
      <c r="K432" s="34">
        <f>IF(OR(I432="",J432=""),"",(J432-I432)*1440)</f>
        <v/>
      </c>
      <c r="L432" s="37">
        <f>IF(I432="","",I432-TIME(9,0,0))</f>
        <v/>
      </c>
      <c r="M432" s="33" t="n"/>
      <c r="N432" s="32" t="inlineStr">
        <is>
          <t>gon</t>
        </is>
      </c>
      <c r="O432" s="27" t="n"/>
      <c r="P432" s="33" t="n"/>
      <c r="Q432" s="33" t="n"/>
      <c r="R432" s="38" t="n"/>
      <c r="S432" s="28" t="n"/>
      <c r="T432" s="27" t="n"/>
      <c r="U432" s="27" t="n"/>
      <c r="V432" s="27" t="n"/>
    </row>
    <row r="433">
      <c r="A433" s="27" t="n"/>
      <c r="B433" s="27" t="n"/>
      <c r="C433" s="39" t="n"/>
      <c r="D433" s="27" t="n"/>
      <c r="E433" s="27" t="n"/>
      <c r="F433" s="27" t="n"/>
      <c r="G433" s="27" t="n"/>
      <c r="H433" s="27" t="n"/>
      <c r="I433" s="36" t="n"/>
      <c r="J433" s="36" t="n"/>
      <c r="K433" s="34">
        <f>IF(OR(I433="",J433=""),"",(J433-I433)*1440)</f>
        <v/>
      </c>
      <c r="L433" s="37">
        <f>IF(I433="","",I433-TIME(9,0,0))</f>
        <v/>
      </c>
      <c r="M433" s="33" t="n"/>
      <c r="N433" s="32" t="inlineStr">
        <is>
          <t>gon</t>
        </is>
      </c>
      <c r="O433" s="27" t="n"/>
      <c r="P433" s="33" t="n"/>
      <c r="Q433" s="33" t="n"/>
      <c r="R433" s="38" t="n"/>
      <c r="S433" s="28" t="n"/>
      <c r="T433" s="27" t="n"/>
      <c r="U433" s="27" t="n"/>
      <c r="V433" s="27" t="n"/>
    </row>
    <row r="434">
      <c r="A434" s="27" t="n"/>
      <c r="B434" s="27" t="n"/>
      <c r="C434" s="39" t="n"/>
      <c r="D434" s="27" t="n"/>
      <c r="E434" s="27" t="n"/>
      <c r="F434" s="27" t="n"/>
      <c r="G434" s="27" t="n"/>
      <c r="H434" s="27" t="n"/>
      <c r="I434" s="36" t="n"/>
      <c r="J434" s="36" t="n"/>
      <c r="K434" s="34">
        <f>IF(OR(I434="",J434=""),"",(J434-I434)*1440)</f>
        <v/>
      </c>
      <c r="L434" s="37">
        <f>IF(I434="","",I434-TIME(9,0,0))</f>
        <v/>
      </c>
      <c r="M434" s="33" t="n"/>
      <c r="N434" s="32" t="inlineStr">
        <is>
          <t>gon</t>
        </is>
      </c>
      <c r="O434" s="27" t="n"/>
      <c r="P434" s="33" t="n"/>
      <c r="Q434" s="33" t="n"/>
      <c r="R434" s="38" t="n"/>
      <c r="S434" s="28" t="n"/>
      <c r="T434" s="27" t="n"/>
      <c r="U434" s="27" t="n"/>
      <c r="V434" s="27" t="n"/>
    </row>
    <row r="435">
      <c r="A435" s="27" t="n"/>
      <c r="B435" s="27" t="n"/>
      <c r="C435" s="39" t="n"/>
      <c r="D435" s="27" t="n"/>
      <c r="E435" s="27" t="n"/>
      <c r="F435" s="27" t="n"/>
      <c r="G435" s="27" t="n"/>
      <c r="H435" s="27" t="n"/>
      <c r="I435" s="36" t="n"/>
      <c r="J435" s="36" t="n"/>
      <c r="K435" s="34">
        <f>IF(OR(I435="",J435=""),"",(J435-I435)*1440)</f>
        <v/>
      </c>
      <c r="L435" s="37">
        <f>IF(I435="","",I435-TIME(9,0,0))</f>
        <v/>
      </c>
      <c r="M435" s="33" t="n"/>
      <c r="N435" s="32" t="inlineStr">
        <is>
          <t>gon</t>
        </is>
      </c>
      <c r="O435" s="27" t="n"/>
      <c r="P435" s="33" t="n"/>
      <c r="Q435" s="33" t="n"/>
      <c r="R435" s="38" t="n"/>
      <c r="S435" s="28" t="n"/>
      <c r="T435" s="27" t="n"/>
      <c r="U435" s="27" t="n"/>
      <c r="V435" s="27" t="n"/>
    </row>
    <row r="436">
      <c r="A436" s="27" t="n"/>
      <c r="B436" s="27" t="n"/>
      <c r="C436" s="39" t="n"/>
      <c r="D436" s="27" t="n"/>
      <c r="E436" s="27" t="n"/>
      <c r="F436" s="27" t="n"/>
      <c r="G436" s="27" t="n"/>
      <c r="H436" s="27" t="n"/>
      <c r="I436" s="36" t="n"/>
      <c r="J436" s="36" t="n"/>
      <c r="K436" s="34">
        <f>IF(OR(I436="",J436=""),"",(J436-I436)*1440)</f>
        <v/>
      </c>
      <c r="L436" s="37">
        <f>IF(I436="","",I436-TIME(9,0,0))</f>
        <v/>
      </c>
      <c r="M436" s="33" t="n"/>
      <c r="N436" s="32" t="inlineStr">
        <is>
          <t>gon</t>
        </is>
      </c>
      <c r="O436" s="27" t="n"/>
      <c r="P436" s="33" t="n"/>
      <c r="Q436" s="33" t="n"/>
      <c r="R436" s="38" t="n"/>
      <c r="S436" s="28" t="n"/>
      <c r="T436" s="27" t="n"/>
      <c r="U436" s="27" t="n"/>
      <c r="V436" s="27" t="n"/>
    </row>
    <row r="437">
      <c r="A437" s="27" t="n"/>
      <c r="B437" s="27" t="n"/>
      <c r="C437" s="39" t="n"/>
      <c r="D437" s="27" t="n"/>
      <c r="E437" s="27" t="n"/>
      <c r="F437" s="27" t="n"/>
      <c r="G437" s="27" t="n"/>
      <c r="H437" s="27" t="n"/>
      <c r="I437" s="36" t="n"/>
      <c r="J437" s="36" t="n"/>
      <c r="K437" s="34">
        <f>IF(OR(I437="",J437=""),"",(J437-I437)*1440)</f>
        <v/>
      </c>
      <c r="L437" s="37">
        <f>IF(I437="","",I437-TIME(9,0,0))</f>
        <v/>
      </c>
      <c r="M437" s="33" t="n"/>
      <c r="N437" s="32" t="inlineStr">
        <is>
          <t>gon</t>
        </is>
      </c>
      <c r="O437" s="27" t="n"/>
      <c r="P437" s="33" t="n"/>
      <c r="Q437" s="33" t="n"/>
      <c r="R437" s="38" t="n"/>
      <c r="S437" s="28" t="n"/>
      <c r="T437" s="27" t="n"/>
      <c r="U437" s="27" t="n"/>
      <c r="V437" s="27" t="n"/>
    </row>
    <row r="438">
      <c r="A438" s="27" t="n"/>
      <c r="B438" s="27" t="n"/>
      <c r="C438" s="39" t="n"/>
      <c r="D438" s="27" t="n"/>
      <c r="E438" s="27" t="n"/>
      <c r="F438" s="27" t="n"/>
      <c r="G438" s="27" t="n"/>
      <c r="H438" s="27" t="n"/>
      <c r="I438" s="36" t="n"/>
      <c r="J438" s="36" t="n"/>
      <c r="K438" s="34">
        <f>IF(OR(I438="",J438=""),"",(J438-I438)*1440)</f>
        <v/>
      </c>
      <c r="L438" s="37">
        <f>IF(I438="","",I438-TIME(9,0,0))</f>
        <v/>
      </c>
      <c r="M438" s="33" t="n"/>
      <c r="N438" s="32" t="inlineStr">
        <is>
          <t>gon</t>
        </is>
      </c>
      <c r="O438" s="27" t="n"/>
      <c r="P438" s="33" t="n"/>
      <c r="Q438" s="33" t="n"/>
      <c r="R438" s="38" t="n"/>
      <c r="S438" s="28" t="n"/>
      <c r="T438" s="27" t="n"/>
      <c r="U438" s="27" t="n"/>
      <c r="V438" s="27" t="n"/>
    </row>
    <row r="439">
      <c r="A439" s="27" t="n"/>
      <c r="B439" s="27" t="n"/>
      <c r="C439" s="39" t="n"/>
      <c r="D439" s="27" t="n"/>
      <c r="E439" s="27" t="n"/>
      <c r="F439" s="27" t="n"/>
      <c r="G439" s="27" t="n"/>
      <c r="H439" s="27" t="n"/>
      <c r="I439" s="36" t="n"/>
      <c r="J439" s="36" t="n"/>
      <c r="K439" s="34">
        <f>IF(OR(I439="",J439=""),"",(J439-I439)*1440)</f>
        <v/>
      </c>
      <c r="L439" s="37">
        <f>IF(I439="","",I439-TIME(9,0,0))</f>
        <v/>
      </c>
      <c r="M439" s="33" t="n"/>
      <c r="N439" s="32" t="inlineStr">
        <is>
          <t>gon</t>
        </is>
      </c>
      <c r="O439" s="27" t="n"/>
      <c r="P439" s="33" t="n"/>
      <c r="Q439" s="33" t="n"/>
      <c r="R439" s="38" t="n"/>
      <c r="S439" s="28" t="n"/>
      <c r="T439" s="27" t="n"/>
      <c r="U439" s="27" t="n"/>
      <c r="V439" s="27" t="n"/>
    </row>
    <row r="440">
      <c r="A440" s="27" t="n"/>
      <c r="B440" s="27" t="n"/>
      <c r="C440" s="39" t="n"/>
      <c r="D440" s="27" t="n"/>
      <c r="E440" s="27" t="n"/>
      <c r="F440" s="27" t="n"/>
      <c r="G440" s="27" t="n"/>
      <c r="H440" s="27" t="n"/>
      <c r="I440" s="36" t="n"/>
      <c r="J440" s="36" t="n"/>
      <c r="K440" s="34">
        <f>IF(OR(I440="",J440=""),"",(J440-I440)*1440)</f>
        <v/>
      </c>
      <c r="L440" s="37">
        <f>IF(I440="","",I440-TIME(9,0,0))</f>
        <v/>
      </c>
      <c r="M440" s="33" t="n"/>
      <c r="N440" s="32" t="inlineStr">
        <is>
          <t>gon</t>
        </is>
      </c>
      <c r="O440" s="27" t="n"/>
      <c r="P440" s="33" t="n"/>
      <c r="Q440" s="33" t="n"/>
      <c r="R440" s="38" t="n"/>
      <c r="S440" s="28" t="n"/>
      <c r="T440" s="27" t="n"/>
      <c r="U440" s="27" t="n"/>
      <c r="V440" s="27" t="n"/>
    </row>
    <row r="441">
      <c r="A441" s="27" t="n"/>
      <c r="B441" s="27" t="n"/>
      <c r="C441" s="39" t="n"/>
      <c r="D441" s="27" t="n"/>
      <c r="E441" s="27" t="n"/>
      <c r="F441" s="27" t="n"/>
      <c r="G441" s="27" t="n"/>
      <c r="H441" s="27" t="n"/>
      <c r="I441" s="36" t="n"/>
      <c r="J441" s="36" t="n"/>
      <c r="K441" s="34">
        <f>IF(OR(I441="",J441=""),"",(J441-I441)*1440)</f>
        <v/>
      </c>
      <c r="L441" s="37">
        <f>IF(I441="","",I441-TIME(9,0,0))</f>
        <v/>
      </c>
      <c r="M441" s="33" t="n"/>
      <c r="N441" s="32" t="inlineStr">
        <is>
          <t>gon</t>
        </is>
      </c>
      <c r="O441" s="27" t="n"/>
      <c r="P441" s="33" t="n"/>
      <c r="Q441" s="33" t="n"/>
      <c r="R441" s="38" t="n"/>
      <c r="S441" s="28" t="n"/>
      <c r="T441" s="27" t="n"/>
      <c r="U441" s="27" t="n"/>
      <c r="V441" s="27" t="n"/>
    </row>
    <row r="442">
      <c r="A442" s="27" t="n"/>
      <c r="B442" s="27" t="n"/>
      <c r="C442" s="39" t="n"/>
      <c r="D442" s="27" t="n"/>
      <c r="E442" s="27" t="n"/>
      <c r="F442" s="27" t="n"/>
      <c r="G442" s="27" t="n"/>
      <c r="H442" s="27" t="n"/>
      <c r="I442" s="36" t="n"/>
      <c r="J442" s="36" t="n"/>
      <c r="K442" s="34">
        <f>IF(OR(I442="",J442=""),"",(J442-I442)*1440)</f>
        <v/>
      </c>
      <c r="L442" s="37">
        <f>IF(I442="","",I442-TIME(9,0,0))</f>
        <v/>
      </c>
      <c r="M442" s="33" t="n"/>
      <c r="N442" s="32" t="inlineStr">
        <is>
          <t>gon</t>
        </is>
      </c>
      <c r="O442" s="27" t="n"/>
      <c r="P442" s="33" t="n"/>
      <c r="Q442" s="33" t="n"/>
      <c r="R442" s="38" t="n"/>
      <c r="S442" s="28" t="n"/>
      <c r="T442" s="27" t="n"/>
      <c r="U442" s="27" t="n"/>
      <c r="V442" s="27" t="n"/>
    </row>
    <row r="443">
      <c r="A443" s="27" t="n"/>
      <c r="B443" s="27" t="n"/>
      <c r="C443" s="39" t="n"/>
      <c r="D443" s="27" t="n"/>
      <c r="E443" s="27" t="n"/>
      <c r="F443" s="27" t="n"/>
      <c r="G443" s="27" t="n"/>
      <c r="H443" s="27" t="n"/>
      <c r="I443" s="36" t="n"/>
      <c r="J443" s="36" t="n"/>
      <c r="K443" s="34">
        <f>IF(OR(I443="",J443=""),"",(J443-I443)*1440)</f>
        <v/>
      </c>
      <c r="L443" s="37">
        <f>IF(I443="","",I443-TIME(9,0,0))</f>
        <v/>
      </c>
      <c r="M443" s="33" t="n"/>
      <c r="N443" s="32" t="inlineStr">
        <is>
          <t>gon</t>
        </is>
      </c>
      <c r="O443" s="27" t="n"/>
      <c r="P443" s="33" t="n"/>
      <c r="Q443" s="33" t="n"/>
      <c r="R443" s="38" t="n"/>
      <c r="S443" s="28" t="n"/>
      <c r="T443" s="27" t="n"/>
      <c r="U443" s="27" t="n"/>
      <c r="V443" s="27" t="n"/>
    </row>
    <row r="444">
      <c r="A444" s="27" t="n"/>
      <c r="B444" s="27" t="n"/>
      <c r="C444" s="39" t="n"/>
      <c r="D444" s="27" t="n"/>
      <c r="E444" s="27" t="n"/>
      <c r="F444" s="27" t="n"/>
      <c r="G444" s="27" t="n"/>
      <c r="H444" s="27" t="n"/>
      <c r="I444" s="36" t="n"/>
      <c r="J444" s="36" t="n"/>
      <c r="K444" s="34">
        <f>IF(OR(I444="",J444=""),"",(J444-I444)*1440)</f>
        <v/>
      </c>
      <c r="L444" s="37">
        <f>IF(I444="","",I444-TIME(9,0,0))</f>
        <v/>
      </c>
      <c r="M444" s="33" t="n"/>
      <c r="N444" s="32" t="inlineStr">
        <is>
          <t>gon</t>
        </is>
      </c>
      <c r="O444" s="27" t="n"/>
      <c r="P444" s="33" t="n"/>
      <c r="Q444" s="33" t="n"/>
      <c r="R444" s="38" t="n"/>
      <c r="S444" s="28" t="n"/>
      <c r="T444" s="27" t="n"/>
      <c r="U444" s="27" t="n"/>
      <c r="V444" s="27" t="n"/>
    </row>
    <row r="445">
      <c r="A445" s="27" t="n"/>
      <c r="B445" s="27" t="n"/>
      <c r="C445" s="39" t="n"/>
      <c r="D445" s="27" t="n"/>
      <c r="E445" s="27" t="n"/>
      <c r="F445" s="27" t="n"/>
      <c r="G445" s="27" t="n"/>
      <c r="H445" s="27" t="n"/>
      <c r="I445" s="36" t="n"/>
      <c r="J445" s="36" t="n"/>
      <c r="K445" s="34">
        <f>IF(OR(I445="",J445=""),"",(J445-I445)*1440)</f>
        <v/>
      </c>
      <c r="L445" s="37">
        <f>IF(I445="","",I445-TIME(9,0,0))</f>
        <v/>
      </c>
      <c r="M445" s="33" t="n"/>
      <c r="N445" s="32" t="inlineStr">
        <is>
          <t>gon</t>
        </is>
      </c>
      <c r="O445" s="27" t="n"/>
      <c r="P445" s="33" t="n"/>
      <c r="Q445" s="33" t="n"/>
      <c r="R445" s="38" t="n"/>
      <c r="S445" s="28" t="n"/>
      <c r="T445" s="27" t="n"/>
      <c r="U445" s="27" t="n"/>
      <c r="V445" s="27" t="n"/>
    </row>
    <row r="446">
      <c r="A446" s="27" t="n"/>
      <c r="B446" s="27" t="n"/>
      <c r="C446" s="39" t="n"/>
      <c r="D446" s="27" t="n"/>
      <c r="E446" s="27" t="n"/>
      <c r="F446" s="27" t="n"/>
      <c r="G446" s="27" t="n"/>
      <c r="H446" s="27" t="n"/>
      <c r="I446" s="36" t="n"/>
      <c r="J446" s="36" t="n"/>
      <c r="K446" s="34">
        <f>IF(OR(I446="",J446=""),"",(J446-I446)*1440)</f>
        <v/>
      </c>
      <c r="L446" s="37">
        <f>IF(I446="","",I446-TIME(9,0,0))</f>
        <v/>
      </c>
      <c r="M446" s="33" t="n"/>
      <c r="N446" s="32" t="inlineStr">
        <is>
          <t>gon</t>
        </is>
      </c>
      <c r="O446" s="27" t="n"/>
      <c r="P446" s="33" t="n"/>
      <c r="Q446" s="33" t="n"/>
      <c r="R446" s="38" t="n"/>
      <c r="S446" s="28" t="n"/>
      <c r="T446" s="27" t="n"/>
      <c r="U446" s="27" t="n"/>
      <c r="V446" s="27" t="n"/>
    </row>
    <row r="447">
      <c r="A447" s="27" t="n"/>
      <c r="B447" s="27" t="n"/>
      <c r="C447" s="39" t="n"/>
      <c r="D447" s="27" t="n"/>
      <c r="E447" s="27" t="n"/>
      <c r="F447" s="27" t="n"/>
      <c r="G447" s="27" t="n"/>
      <c r="H447" s="27" t="n"/>
      <c r="I447" s="36" t="n"/>
      <c r="J447" s="36" t="n"/>
      <c r="K447" s="34">
        <f>IF(OR(I447="",J447=""),"",(J447-I447)*1440)</f>
        <v/>
      </c>
      <c r="L447" s="37">
        <f>IF(I447="","",I447-TIME(9,0,0))</f>
        <v/>
      </c>
      <c r="M447" s="33" t="n"/>
      <c r="N447" s="32" t="inlineStr">
        <is>
          <t>gon</t>
        </is>
      </c>
      <c r="O447" s="27" t="n"/>
      <c r="P447" s="33" t="n"/>
      <c r="Q447" s="33" t="n"/>
      <c r="R447" s="38" t="n"/>
      <c r="S447" s="28" t="n"/>
      <c r="T447" s="27" t="n"/>
      <c r="U447" s="27" t="n"/>
      <c r="V447" s="27" t="n"/>
    </row>
    <row r="448">
      <c r="A448" s="27" t="n"/>
      <c r="B448" s="27" t="n"/>
      <c r="C448" s="39" t="n"/>
      <c r="D448" s="27" t="n"/>
      <c r="E448" s="27" t="n"/>
      <c r="F448" s="27" t="n"/>
      <c r="G448" s="27" t="n"/>
      <c r="H448" s="27" t="n"/>
      <c r="I448" s="36" t="n"/>
      <c r="J448" s="36" t="n"/>
      <c r="K448" s="34">
        <f>IF(OR(I448="",J448=""),"",(J448-I448)*1440)</f>
        <v/>
      </c>
      <c r="L448" s="37">
        <f>IF(I448="","",I448-TIME(9,0,0))</f>
        <v/>
      </c>
      <c r="M448" s="33" t="n"/>
      <c r="N448" s="32" t="inlineStr">
        <is>
          <t>gon</t>
        </is>
      </c>
      <c r="O448" s="27" t="n"/>
      <c r="P448" s="33" t="n"/>
      <c r="Q448" s="33" t="n"/>
      <c r="R448" s="38" t="n"/>
      <c r="S448" s="28" t="n"/>
      <c r="T448" s="27" t="n"/>
      <c r="U448" s="27" t="n"/>
      <c r="V448" s="27" t="n"/>
    </row>
    <row r="449">
      <c r="A449" s="27" t="n"/>
      <c r="B449" s="27" t="n"/>
      <c r="C449" s="39" t="n"/>
      <c r="D449" s="27" t="n"/>
      <c r="E449" s="27" t="n"/>
      <c r="F449" s="27" t="n"/>
      <c r="G449" s="27" t="n"/>
      <c r="H449" s="27" t="n"/>
      <c r="I449" s="36" t="n"/>
      <c r="J449" s="36" t="n"/>
      <c r="K449" s="34">
        <f>IF(OR(I449="",J449=""),"",(J449-I449)*1440)</f>
        <v/>
      </c>
      <c r="L449" s="37">
        <f>IF(I449="","",I449-TIME(9,0,0))</f>
        <v/>
      </c>
      <c r="M449" s="33" t="n"/>
      <c r="N449" s="32" t="inlineStr">
        <is>
          <t>gon</t>
        </is>
      </c>
      <c r="O449" s="27" t="n"/>
      <c r="P449" s="33" t="n"/>
      <c r="Q449" s="33" t="n"/>
      <c r="R449" s="38" t="n"/>
      <c r="S449" s="28" t="n"/>
      <c r="T449" s="27" t="n"/>
      <c r="U449" s="27" t="n"/>
      <c r="V449" s="27" t="n"/>
    </row>
    <row r="450">
      <c r="A450" s="27" t="n"/>
      <c r="B450" s="27" t="n"/>
      <c r="C450" s="39" t="n"/>
      <c r="D450" s="27" t="n"/>
      <c r="E450" s="27" t="n"/>
      <c r="F450" s="27" t="n"/>
      <c r="G450" s="27" t="n"/>
      <c r="H450" s="27" t="n"/>
      <c r="I450" s="36" t="n"/>
      <c r="J450" s="36" t="n"/>
      <c r="K450" s="34">
        <f>IF(OR(I450="",J450=""),"",(J450-I450)*1440)</f>
        <v/>
      </c>
      <c r="L450" s="37">
        <f>IF(I450="","",I450-TIME(9,0,0))</f>
        <v/>
      </c>
      <c r="M450" s="33" t="n"/>
      <c r="N450" s="32" t="inlineStr">
        <is>
          <t>gon</t>
        </is>
      </c>
      <c r="O450" s="27" t="n"/>
      <c r="P450" s="33" t="n"/>
      <c r="Q450" s="33" t="n"/>
      <c r="R450" s="38" t="n"/>
      <c r="S450" s="28" t="n"/>
      <c r="T450" s="27" t="n"/>
      <c r="U450" s="27" t="n"/>
      <c r="V450" s="27" t="n"/>
    </row>
    <row r="451">
      <c r="A451" s="27" t="n"/>
      <c r="B451" s="27" t="n"/>
      <c r="C451" s="39" t="n"/>
      <c r="D451" s="27" t="n"/>
      <c r="E451" s="27" t="n"/>
      <c r="F451" s="27" t="n"/>
      <c r="G451" s="27" t="n"/>
      <c r="H451" s="27" t="n"/>
      <c r="I451" s="36" t="n"/>
      <c r="J451" s="36" t="n"/>
      <c r="K451" s="34">
        <f>IF(OR(I451="",J451=""),"",(J451-I451)*1440)</f>
        <v/>
      </c>
      <c r="L451" s="37">
        <f>IF(I451="","",I451-TIME(9,0,0))</f>
        <v/>
      </c>
      <c r="M451" s="33" t="n"/>
      <c r="N451" s="32" t="inlineStr">
        <is>
          <t>gon</t>
        </is>
      </c>
      <c r="O451" s="27" t="n"/>
      <c r="P451" s="33" t="n"/>
      <c r="Q451" s="33" t="n"/>
      <c r="R451" s="38" t="n"/>
      <c r="S451" s="28" t="n"/>
      <c r="T451" s="27" t="n"/>
      <c r="U451" s="27" t="n"/>
      <c r="V451" s="27" t="n"/>
    </row>
    <row r="452">
      <c r="A452" s="27" t="n"/>
      <c r="B452" s="27" t="n"/>
      <c r="C452" s="39" t="n"/>
      <c r="D452" s="27" t="n"/>
      <c r="E452" s="27" t="n"/>
      <c r="F452" s="27" t="n"/>
      <c r="G452" s="27" t="n"/>
      <c r="H452" s="27" t="n"/>
      <c r="I452" s="36" t="n"/>
      <c r="J452" s="36" t="n"/>
      <c r="K452" s="34">
        <f>IF(OR(I452="",J452=""),"",(J452-I452)*1440)</f>
        <v/>
      </c>
      <c r="L452" s="37">
        <f>IF(I452="","",I452-TIME(9,0,0))</f>
        <v/>
      </c>
      <c r="M452" s="33" t="n"/>
      <c r="N452" s="32" t="inlineStr">
        <is>
          <t>gon</t>
        </is>
      </c>
      <c r="O452" s="27" t="n"/>
      <c r="P452" s="33" t="n"/>
      <c r="Q452" s="33" t="n"/>
      <c r="R452" s="38" t="n"/>
      <c r="S452" s="28" t="n"/>
      <c r="T452" s="27" t="n"/>
      <c r="U452" s="27" t="n"/>
      <c r="V452" s="27" t="n"/>
    </row>
    <row r="453">
      <c r="A453" s="27" t="n"/>
      <c r="B453" s="27" t="n"/>
      <c r="C453" s="39" t="n"/>
      <c r="D453" s="27" t="n"/>
      <c r="E453" s="27" t="n"/>
      <c r="F453" s="27" t="n"/>
      <c r="G453" s="27" t="n"/>
      <c r="H453" s="27" t="n"/>
      <c r="I453" s="36" t="n"/>
      <c r="J453" s="36" t="n"/>
      <c r="K453" s="34">
        <f>IF(OR(I453="",J453=""),"",(J453-I453)*1440)</f>
        <v/>
      </c>
      <c r="L453" s="37">
        <f>IF(I453="","",I453-TIME(9,0,0))</f>
        <v/>
      </c>
      <c r="M453" s="33" t="n"/>
      <c r="N453" s="32" t="inlineStr">
        <is>
          <t>gon</t>
        </is>
      </c>
      <c r="O453" s="27" t="n"/>
      <c r="P453" s="33" t="n"/>
      <c r="Q453" s="33" t="n"/>
      <c r="R453" s="38" t="n"/>
      <c r="S453" s="28" t="n"/>
      <c r="T453" s="27" t="n"/>
      <c r="U453" s="27" t="n"/>
      <c r="V453" s="27" t="n"/>
    </row>
    <row r="454">
      <c r="A454" s="27" t="n"/>
      <c r="B454" s="27" t="n"/>
      <c r="C454" s="39" t="n"/>
      <c r="D454" s="27" t="n"/>
      <c r="E454" s="27" t="n"/>
      <c r="F454" s="27" t="n"/>
      <c r="G454" s="27" t="n"/>
      <c r="H454" s="27" t="n"/>
      <c r="I454" s="36" t="n"/>
      <c r="J454" s="36" t="n"/>
      <c r="K454" s="34">
        <f>IF(OR(I454="",J454=""),"",(J454-I454)*1440)</f>
        <v/>
      </c>
      <c r="L454" s="37">
        <f>IF(I454="","",I454-TIME(9,0,0))</f>
        <v/>
      </c>
      <c r="M454" s="33" t="n"/>
      <c r="N454" s="32" t="inlineStr">
        <is>
          <t>gon</t>
        </is>
      </c>
      <c r="O454" s="27" t="n"/>
      <c r="P454" s="33" t="n"/>
      <c r="Q454" s="33" t="n"/>
      <c r="R454" s="38" t="n"/>
      <c r="S454" s="28" t="n"/>
      <c r="T454" s="27" t="n"/>
      <c r="U454" s="27" t="n"/>
      <c r="V454" s="27" t="n"/>
    </row>
    <row r="455">
      <c r="A455" s="27" t="n"/>
      <c r="B455" s="27" t="n"/>
      <c r="C455" s="39" t="n"/>
      <c r="D455" s="27" t="n"/>
      <c r="E455" s="27" t="n"/>
      <c r="F455" s="27" t="n"/>
      <c r="G455" s="27" t="n"/>
      <c r="H455" s="27" t="n"/>
      <c r="I455" s="36" t="n"/>
      <c r="J455" s="36" t="n"/>
      <c r="K455" s="34">
        <f>IF(OR(I455="",J455=""),"",(J455-I455)*1440)</f>
        <v/>
      </c>
      <c r="L455" s="37">
        <f>IF(I455="","",I455-TIME(9,0,0))</f>
        <v/>
      </c>
      <c r="M455" s="33" t="n"/>
      <c r="N455" s="32" t="inlineStr">
        <is>
          <t>gon</t>
        </is>
      </c>
      <c r="O455" s="27" t="n"/>
      <c r="P455" s="33" t="n"/>
      <c r="Q455" s="33" t="n"/>
      <c r="R455" s="38" t="n"/>
      <c r="S455" s="28" t="n"/>
      <c r="T455" s="27" t="n"/>
      <c r="U455" s="27" t="n"/>
      <c r="V455" s="27" t="n"/>
    </row>
    <row r="456">
      <c r="A456" s="27" t="n"/>
      <c r="B456" s="27" t="n"/>
      <c r="C456" s="39" t="n"/>
      <c r="D456" s="27" t="n"/>
      <c r="E456" s="27" t="n"/>
      <c r="F456" s="27" t="n"/>
      <c r="G456" s="27" t="n"/>
      <c r="H456" s="27" t="n"/>
      <c r="I456" s="36" t="n"/>
      <c r="J456" s="36" t="n"/>
      <c r="K456" s="34">
        <f>IF(OR(I456="",J456=""),"",(J456-I456)*1440)</f>
        <v/>
      </c>
      <c r="L456" s="37">
        <f>IF(I456="","",I456-TIME(9,0,0))</f>
        <v/>
      </c>
      <c r="M456" s="33" t="n"/>
      <c r="N456" s="32" t="inlineStr">
        <is>
          <t>gon</t>
        </is>
      </c>
      <c r="O456" s="27" t="n"/>
      <c r="P456" s="33" t="n"/>
      <c r="Q456" s="33" t="n"/>
      <c r="R456" s="38" t="n"/>
      <c r="S456" s="28" t="n"/>
      <c r="T456" s="27" t="n"/>
      <c r="U456" s="27" t="n"/>
      <c r="V456" s="27" t="n"/>
    </row>
    <row r="457">
      <c r="A457" s="27" t="n"/>
      <c r="B457" s="27" t="n"/>
      <c r="C457" s="39" t="n"/>
      <c r="D457" s="27" t="n"/>
      <c r="E457" s="27" t="n"/>
      <c r="F457" s="27" t="n"/>
      <c r="G457" s="27" t="n"/>
      <c r="H457" s="27" t="n"/>
      <c r="I457" s="36" t="n"/>
      <c r="J457" s="36" t="n"/>
      <c r="K457" s="34">
        <f>IF(OR(I457="",J457=""),"",(J457-I457)*1440)</f>
        <v/>
      </c>
      <c r="L457" s="37">
        <f>IF(I457="","",I457-TIME(9,0,0))</f>
        <v/>
      </c>
      <c r="M457" s="33" t="n"/>
      <c r="N457" s="32" t="inlineStr">
        <is>
          <t>gon</t>
        </is>
      </c>
      <c r="O457" s="27" t="n"/>
      <c r="P457" s="33" t="n"/>
      <c r="Q457" s="33" t="n"/>
      <c r="R457" s="38" t="n"/>
      <c r="S457" s="28" t="n"/>
      <c r="T457" s="27" t="n"/>
      <c r="U457" s="27" t="n"/>
      <c r="V457" s="27" t="n"/>
    </row>
    <row r="458">
      <c r="A458" s="27" t="n"/>
      <c r="B458" s="27" t="n"/>
      <c r="C458" s="39" t="n"/>
      <c r="D458" s="27" t="n"/>
      <c r="E458" s="27" t="n"/>
      <c r="F458" s="27" t="n"/>
      <c r="G458" s="27" t="n"/>
      <c r="H458" s="27" t="n"/>
      <c r="I458" s="36" t="n"/>
      <c r="J458" s="36" t="n"/>
      <c r="K458" s="34">
        <f>IF(OR(I458="",J458=""),"",(J458-I458)*1440)</f>
        <v/>
      </c>
      <c r="L458" s="37">
        <f>IF(I458="","",I458-TIME(9,0,0))</f>
        <v/>
      </c>
      <c r="M458" s="33" t="n"/>
      <c r="N458" s="32" t="inlineStr">
        <is>
          <t>gon</t>
        </is>
      </c>
      <c r="O458" s="27" t="n"/>
      <c r="P458" s="33" t="n"/>
      <c r="Q458" s="33" t="n"/>
      <c r="R458" s="38" t="n"/>
      <c r="S458" s="28" t="n"/>
      <c r="T458" s="27" t="n"/>
      <c r="U458" s="27" t="n"/>
      <c r="V458" s="27" t="n"/>
    </row>
    <row r="459">
      <c r="A459" s="27" t="n"/>
      <c r="B459" s="27" t="n"/>
      <c r="C459" s="39" t="n"/>
      <c r="D459" s="27" t="n"/>
      <c r="E459" s="27" t="n"/>
      <c r="F459" s="27" t="n"/>
      <c r="G459" s="27" t="n"/>
      <c r="H459" s="27" t="n"/>
      <c r="I459" s="36" t="n"/>
      <c r="J459" s="36" t="n"/>
      <c r="K459" s="34">
        <f>IF(OR(I459="",J459=""),"",(J459-I459)*1440)</f>
        <v/>
      </c>
      <c r="L459" s="37">
        <f>IF(I459="","",I459-TIME(9,0,0))</f>
        <v/>
      </c>
      <c r="M459" s="33" t="n"/>
      <c r="N459" s="32" t="inlineStr">
        <is>
          <t>gon</t>
        </is>
      </c>
      <c r="O459" s="27" t="n"/>
      <c r="P459" s="33" t="n"/>
      <c r="Q459" s="33" t="n"/>
      <c r="R459" s="38" t="n"/>
      <c r="S459" s="28" t="n"/>
      <c r="T459" s="27" t="n"/>
      <c r="U459" s="27" t="n"/>
      <c r="V459" s="27" t="n"/>
    </row>
    <row r="460">
      <c r="A460" s="27" t="n"/>
      <c r="B460" s="27" t="n"/>
      <c r="C460" s="39" t="n"/>
      <c r="D460" s="27" t="n"/>
      <c r="E460" s="27" t="n"/>
      <c r="F460" s="27" t="n"/>
      <c r="G460" s="27" t="n"/>
      <c r="H460" s="27" t="n"/>
      <c r="I460" s="36" t="n"/>
      <c r="J460" s="36" t="n"/>
      <c r="K460" s="34">
        <f>IF(OR(I460="",J460=""),"",(J460-I460)*1440)</f>
        <v/>
      </c>
      <c r="L460" s="37">
        <f>IF(I460="","",I460-TIME(9,0,0))</f>
        <v/>
      </c>
      <c r="M460" s="33" t="n"/>
      <c r="N460" s="32" t="inlineStr">
        <is>
          <t>gon</t>
        </is>
      </c>
      <c r="O460" s="27" t="n"/>
      <c r="P460" s="33" t="n"/>
      <c r="Q460" s="33" t="n"/>
      <c r="R460" s="38" t="n"/>
      <c r="S460" s="28" t="n"/>
      <c r="T460" s="27" t="n"/>
      <c r="U460" s="27" t="n"/>
      <c r="V460" s="27" t="n"/>
    </row>
    <row r="461">
      <c r="A461" s="27" t="n"/>
      <c r="B461" s="27" t="n"/>
      <c r="C461" s="39" t="n"/>
      <c r="D461" s="27" t="n"/>
      <c r="E461" s="27" t="n"/>
      <c r="F461" s="27" t="n"/>
      <c r="G461" s="27" t="n"/>
      <c r="H461" s="27" t="n"/>
      <c r="I461" s="36" t="n"/>
      <c r="J461" s="36" t="n"/>
      <c r="K461" s="34">
        <f>IF(OR(I461="",J461=""),"",(J461-I461)*1440)</f>
        <v/>
      </c>
      <c r="L461" s="37">
        <f>IF(I461="","",I461-TIME(9,0,0))</f>
        <v/>
      </c>
      <c r="M461" s="33" t="n"/>
      <c r="N461" s="32" t="inlineStr">
        <is>
          <t>gon</t>
        </is>
      </c>
      <c r="O461" s="27" t="n"/>
      <c r="P461" s="33" t="n"/>
      <c r="Q461" s="33" t="n"/>
      <c r="R461" s="38" t="n"/>
      <c r="S461" s="28" t="n"/>
      <c r="T461" s="27" t="n"/>
      <c r="U461" s="27" t="n"/>
      <c r="V461" s="27" t="n"/>
    </row>
    <row r="462">
      <c r="A462" s="27" t="n"/>
      <c r="B462" s="27" t="n"/>
      <c r="C462" s="39" t="n"/>
      <c r="D462" s="27" t="n"/>
      <c r="E462" s="27" t="n"/>
      <c r="F462" s="27" t="n"/>
      <c r="G462" s="27" t="n"/>
      <c r="H462" s="27" t="n"/>
      <c r="I462" s="36" t="n"/>
      <c r="J462" s="36" t="n"/>
      <c r="K462" s="34">
        <f>IF(OR(I462="",J462=""),"",(J462-I462)*1440)</f>
        <v/>
      </c>
      <c r="L462" s="37">
        <f>IF(I462="","",I462-TIME(9,0,0))</f>
        <v/>
      </c>
      <c r="M462" s="33" t="n"/>
      <c r="N462" s="32" t="inlineStr">
        <is>
          <t>gon</t>
        </is>
      </c>
      <c r="O462" s="27" t="n"/>
      <c r="P462" s="33" t="n"/>
      <c r="Q462" s="33" t="n"/>
      <c r="R462" s="38" t="n"/>
      <c r="S462" s="28" t="n"/>
      <c r="T462" s="27" t="n"/>
      <c r="U462" s="27" t="n"/>
      <c r="V462" s="27" t="n"/>
    </row>
    <row r="463">
      <c r="A463" s="27" t="n"/>
      <c r="B463" s="27" t="n"/>
      <c r="C463" s="39" t="n"/>
      <c r="D463" s="27" t="n"/>
      <c r="E463" s="27" t="n"/>
      <c r="F463" s="27" t="n"/>
      <c r="G463" s="27" t="n"/>
      <c r="H463" s="27" t="n"/>
      <c r="I463" s="36" t="n"/>
      <c r="J463" s="36" t="n"/>
      <c r="K463" s="34">
        <f>IF(OR(I463="",J463=""),"",(J463-I463)*1440)</f>
        <v/>
      </c>
      <c r="L463" s="37">
        <f>IF(I463="","",I463-TIME(9,0,0))</f>
        <v/>
      </c>
      <c r="M463" s="33" t="n"/>
      <c r="N463" s="32" t="inlineStr">
        <is>
          <t>gon</t>
        </is>
      </c>
      <c r="O463" s="27" t="n"/>
      <c r="P463" s="33" t="n"/>
      <c r="Q463" s="33" t="n"/>
      <c r="R463" s="38" t="n"/>
      <c r="S463" s="28" t="n"/>
      <c r="T463" s="27" t="n"/>
      <c r="U463" s="27" t="n"/>
      <c r="V463" s="27" t="n"/>
    </row>
    <row r="464">
      <c r="A464" s="27" t="n"/>
      <c r="B464" s="27" t="n"/>
      <c r="C464" s="39" t="n"/>
      <c r="D464" s="27" t="n"/>
      <c r="E464" s="27" t="n"/>
      <c r="F464" s="27" t="n"/>
      <c r="G464" s="27" t="n"/>
      <c r="H464" s="27" t="n"/>
      <c r="I464" s="36" t="n"/>
      <c r="J464" s="36" t="n"/>
      <c r="K464" s="34">
        <f>IF(OR(I464="",J464=""),"",(J464-I464)*1440)</f>
        <v/>
      </c>
      <c r="L464" s="37">
        <f>IF(I464="","",I464-TIME(9,0,0))</f>
        <v/>
      </c>
      <c r="M464" s="33" t="n"/>
      <c r="N464" s="32" t="inlineStr">
        <is>
          <t>gon</t>
        </is>
      </c>
      <c r="O464" s="27" t="n"/>
      <c r="P464" s="33" t="n"/>
      <c r="Q464" s="33" t="n"/>
      <c r="R464" s="38" t="n"/>
      <c r="S464" s="28" t="n"/>
      <c r="T464" s="27" t="n"/>
      <c r="U464" s="27" t="n"/>
      <c r="V464" s="27" t="n"/>
    </row>
    <row r="465">
      <c r="A465" s="27" t="n"/>
      <c r="B465" s="27" t="n"/>
      <c r="C465" s="39" t="n"/>
      <c r="D465" s="27" t="n"/>
      <c r="E465" s="27" t="n"/>
      <c r="F465" s="27" t="n"/>
      <c r="G465" s="27" t="n"/>
      <c r="H465" s="27" t="n"/>
      <c r="I465" s="36" t="n"/>
      <c r="J465" s="36" t="n"/>
      <c r="K465" s="34">
        <f>IF(OR(I465="",J465=""),"",(J465-I465)*1440)</f>
        <v/>
      </c>
      <c r="L465" s="37">
        <f>IF(I465="","",I465-TIME(9,0,0))</f>
        <v/>
      </c>
      <c r="M465" s="33" t="n"/>
      <c r="N465" s="32" t="inlineStr">
        <is>
          <t>gon</t>
        </is>
      </c>
      <c r="O465" s="27" t="n"/>
      <c r="P465" s="33" t="n"/>
      <c r="Q465" s="33" t="n"/>
      <c r="R465" s="38" t="n"/>
      <c r="S465" s="28" t="n"/>
      <c r="T465" s="27" t="n"/>
      <c r="U465" s="27" t="n"/>
      <c r="V465" s="27" t="n"/>
    </row>
    <row r="466">
      <c r="A466" s="27" t="n"/>
      <c r="B466" s="27" t="n"/>
      <c r="C466" s="39" t="n"/>
      <c r="D466" s="27" t="n"/>
      <c r="E466" s="27" t="n"/>
      <c r="F466" s="27" t="n"/>
      <c r="G466" s="27" t="n"/>
      <c r="H466" s="27" t="n"/>
      <c r="I466" s="36" t="n"/>
      <c r="J466" s="36" t="n"/>
      <c r="K466" s="34">
        <f>IF(OR(I466="",J466=""),"",(J466-I466)*1440)</f>
        <v/>
      </c>
      <c r="L466" s="37">
        <f>IF(I466="","",I466-TIME(9,0,0))</f>
        <v/>
      </c>
      <c r="M466" s="33" t="n"/>
      <c r="N466" s="32" t="inlineStr">
        <is>
          <t>gon</t>
        </is>
      </c>
      <c r="O466" s="27" t="n"/>
      <c r="P466" s="33" t="n"/>
      <c r="Q466" s="33" t="n"/>
      <c r="R466" s="38" t="n"/>
      <c r="S466" s="28" t="n"/>
      <c r="T466" s="27" t="n"/>
      <c r="U466" s="27" t="n"/>
      <c r="V466" s="27" t="n"/>
    </row>
    <row r="467">
      <c r="A467" s="27" t="n"/>
      <c r="B467" s="27" t="n"/>
      <c r="C467" s="39" t="n"/>
      <c r="D467" s="27" t="n"/>
      <c r="E467" s="27" t="n"/>
      <c r="F467" s="27" t="n"/>
      <c r="G467" s="27" t="n"/>
      <c r="H467" s="27" t="n"/>
      <c r="I467" s="36" t="n"/>
      <c r="J467" s="36" t="n"/>
      <c r="K467" s="34">
        <f>IF(OR(I467="",J467=""),"",(J467-I467)*1440)</f>
        <v/>
      </c>
      <c r="L467" s="37">
        <f>IF(I467="","",I467-TIME(9,0,0))</f>
        <v/>
      </c>
      <c r="M467" s="33" t="n"/>
      <c r="N467" s="32" t="inlineStr">
        <is>
          <t>gon</t>
        </is>
      </c>
      <c r="O467" s="27" t="n"/>
      <c r="P467" s="33" t="n"/>
      <c r="Q467" s="33" t="n"/>
      <c r="R467" s="38" t="n"/>
      <c r="S467" s="28" t="n"/>
      <c r="T467" s="27" t="n"/>
      <c r="U467" s="27" t="n"/>
      <c r="V467" s="27" t="n"/>
    </row>
    <row r="468">
      <c r="A468" s="27" t="n"/>
      <c r="B468" s="27" t="n"/>
      <c r="C468" s="39" t="n"/>
      <c r="D468" s="27" t="n"/>
      <c r="E468" s="27" t="n"/>
      <c r="F468" s="27" t="n"/>
      <c r="G468" s="27" t="n"/>
      <c r="H468" s="27" t="n"/>
      <c r="I468" s="36" t="n"/>
      <c r="J468" s="36" t="n"/>
      <c r="K468" s="34">
        <f>IF(OR(I468="",J468=""),"",(J468-I468)*1440)</f>
        <v/>
      </c>
      <c r="L468" s="37">
        <f>IF(I468="","",I468-TIME(9,0,0))</f>
        <v/>
      </c>
      <c r="M468" s="33" t="n"/>
      <c r="N468" s="32" t="inlineStr">
        <is>
          <t>gon</t>
        </is>
      </c>
      <c r="O468" s="27" t="n"/>
      <c r="P468" s="33" t="n"/>
      <c r="Q468" s="33" t="n"/>
      <c r="R468" s="38" t="n"/>
      <c r="S468" s="28" t="n"/>
      <c r="T468" s="27" t="n"/>
      <c r="U468" s="27" t="n"/>
      <c r="V468" s="27" t="n"/>
    </row>
    <row r="469">
      <c r="A469" s="27" t="n"/>
      <c r="B469" s="27" t="n"/>
      <c r="C469" s="39" t="n"/>
      <c r="D469" s="27" t="n"/>
      <c r="E469" s="27" t="n"/>
      <c r="F469" s="27" t="n"/>
      <c r="G469" s="27" t="n"/>
      <c r="H469" s="27" t="n"/>
      <c r="I469" s="36" t="n"/>
      <c r="J469" s="36" t="n"/>
      <c r="K469" s="34">
        <f>IF(OR(I469="",J469=""),"",(J469-I469)*1440)</f>
        <v/>
      </c>
      <c r="L469" s="37">
        <f>IF(I469="","",I469-TIME(9,0,0))</f>
        <v/>
      </c>
      <c r="M469" s="33" t="n"/>
      <c r="N469" s="32" t="inlineStr">
        <is>
          <t>gon</t>
        </is>
      </c>
      <c r="O469" s="27" t="n"/>
      <c r="P469" s="33" t="n"/>
      <c r="Q469" s="33" t="n"/>
      <c r="R469" s="38" t="n"/>
      <c r="S469" s="28" t="n"/>
      <c r="T469" s="27" t="n"/>
      <c r="U469" s="27" t="n"/>
      <c r="V469" s="27" t="n"/>
    </row>
    <row r="470">
      <c r="A470" s="27" t="n"/>
      <c r="B470" s="27" t="n"/>
      <c r="C470" s="39" t="n"/>
      <c r="D470" s="27" t="n"/>
      <c r="E470" s="27" t="n"/>
      <c r="F470" s="27" t="n"/>
      <c r="G470" s="27" t="n"/>
      <c r="H470" s="27" t="n"/>
      <c r="I470" s="36" t="n"/>
      <c r="J470" s="36" t="n"/>
      <c r="K470" s="34">
        <f>IF(OR(I470="",J470=""),"",(J470-I470)*1440)</f>
        <v/>
      </c>
      <c r="L470" s="37">
        <f>IF(I470="","",I470-TIME(9,0,0))</f>
        <v/>
      </c>
      <c r="M470" s="33" t="n"/>
      <c r="N470" s="32" t="inlineStr">
        <is>
          <t>gon</t>
        </is>
      </c>
      <c r="O470" s="27" t="n"/>
      <c r="P470" s="33" t="n"/>
      <c r="Q470" s="33" t="n"/>
      <c r="R470" s="38" t="n"/>
      <c r="S470" s="28" t="n"/>
      <c r="T470" s="27" t="n"/>
      <c r="U470" s="27" t="n"/>
      <c r="V470" s="27" t="n"/>
    </row>
    <row r="471">
      <c r="A471" s="27" t="n"/>
      <c r="B471" s="27" t="n"/>
      <c r="C471" s="39" t="n"/>
      <c r="D471" s="27" t="n"/>
      <c r="E471" s="27" t="n"/>
      <c r="F471" s="27" t="n"/>
      <c r="G471" s="27" t="n"/>
      <c r="H471" s="27" t="n"/>
      <c r="I471" s="36" t="n"/>
      <c r="J471" s="36" t="n"/>
      <c r="K471" s="34">
        <f>IF(OR(I471="",J471=""),"",(J471-I471)*1440)</f>
        <v/>
      </c>
      <c r="L471" s="37">
        <f>IF(I471="","",I471-TIME(9,0,0))</f>
        <v/>
      </c>
      <c r="M471" s="33" t="n"/>
      <c r="N471" s="32" t="inlineStr">
        <is>
          <t>gon</t>
        </is>
      </c>
      <c r="O471" s="27" t="n"/>
      <c r="P471" s="33" t="n"/>
      <c r="Q471" s="33" t="n"/>
      <c r="R471" s="38" t="n"/>
      <c r="S471" s="28" t="n"/>
      <c r="T471" s="27" t="n"/>
      <c r="U471" s="27" t="n"/>
      <c r="V471" s="27" t="n"/>
    </row>
    <row r="472">
      <c r="A472" s="27" t="n"/>
      <c r="B472" s="27" t="n"/>
      <c r="C472" s="39" t="n"/>
      <c r="D472" s="27" t="n"/>
      <c r="E472" s="27" t="n"/>
      <c r="F472" s="27" t="n"/>
      <c r="G472" s="27" t="n"/>
      <c r="H472" s="27" t="n"/>
      <c r="I472" s="36" t="n"/>
      <c r="J472" s="36" t="n"/>
      <c r="K472" s="34">
        <f>IF(OR(I472="",J472=""),"",(J472-I472)*1440)</f>
        <v/>
      </c>
      <c r="L472" s="37">
        <f>IF(I472="","",I472-TIME(9,0,0))</f>
        <v/>
      </c>
      <c r="M472" s="33" t="n"/>
      <c r="N472" s="32" t="inlineStr">
        <is>
          <t>gon</t>
        </is>
      </c>
      <c r="O472" s="27" t="n"/>
      <c r="P472" s="33" t="n"/>
      <c r="Q472" s="33" t="n"/>
      <c r="R472" s="38" t="n"/>
      <c r="S472" s="28" t="n"/>
      <c r="T472" s="27" t="n"/>
      <c r="U472" s="27" t="n"/>
      <c r="V472" s="27" t="n"/>
    </row>
    <row r="473">
      <c r="A473" s="27" t="n"/>
      <c r="B473" s="27" t="n"/>
      <c r="C473" s="39" t="n"/>
      <c r="D473" s="27" t="n"/>
      <c r="E473" s="27" t="n"/>
      <c r="F473" s="27" t="n"/>
      <c r="G473" s="27" t="n"/>
      <c r="H473" s="27" t="n"/>
      <c r="I473" s="36" t="n"/>
      <c r="J473" s="36" t="n"/>
      <c r="K473" s="34">
        <f>IF(OR(I473="",J473=""),"",(J473-I473)*1440)</f>
        <v/>
      </c>
      <c r="L473" s="37">
        <f>IF(I473="","",I473-TIME(9,0,0))</f>
        <v/>
      </c>
      <c r="M473" s="33" t="n"/>
      <c r="N473" s="32" t="inlineStr">
        <is>
          <t>gon</t>
        </is>
      </c>
      <c r="O473" s="27" t="n"/>
      <c r="P473" s="33" t="n"/>
      <c r="Q473" s="33" t="n"/>
      <c r="R473" s="38" t="n"/>
      <c r="S473" s="28" t="n"/>
      <c r="T473" s="27" t="n"/>
      <c r="U473" s="27" t="n"/>
      <c r="V473" s="27" t="n"/>
    </row>
    <row r="474">
      <c r="A474" s="27" t="n"/>
      <c r="B474" s="27" t="n"/>
      <c r="C474" s="39" t="n"/>
      <c r="D474" s="27" t="n"/>
      <c r="E474" s="27" t="n"/>
      <c r="F474" s="27" t="n"/>
      <c r="G474" s="27" t="n"/>
      <c r="H474" s="27" t="n"/>
      <c r="I474" s="36" t="n"/>
      <c r="J474" s="36" t="n"/>
      <c r="K474" s="34">
        <f>IF(OR(I474="",J474=""),"",(J474-I474)*1440)</f>
        <v/>
      </c>
      <c r="L474" s="37">
        <f>IF(I474="","",I474-TIME(9,0,0))</f>
        <v/>
      </c>
      <c r="M474" s="33" t="n"/>
      <c r="N474" s="32" t="inlineStr">
        <is>
          <t>gon</t>
        </is>
      </c>
      <c r="O474" s="27" t="n"/>
      <c r="P474" s="33" t="n"/>
      <c r="Q474" s="33" t="n"/>
      <c r="R474" s="38" t="n"/>
      <c r="S474" s="28" t="n"/>
      <c r="T474" s="27" t="n"/>
      <c r="U474" s="27" t="n"/>
      <c r="V474" s="27" t="n"/>
    </row>
    <row r="475">
      <c r="A475" s="27" t="n"/>
      <c r="B475" s="27" t="n"/>
      <c r="C475" s="39" t="n"/>
      <c r="D475" s="27" t="n"/>
      <c r="E475" s="27" t="n"/>
      <c r="F475" s="27" t="n"/>
      <c r="G475" s="27" t="n"/>
      <c r="H475" s="27" t="n"/>
      <c r="I475" s="36" t="n"/>
      <c r="J475" s="36" t="n"/>
      <c r="K475" s="34">
        <f>IF(OR(I475="",J475=""),"",(J475-I475)*1440)</f>
        <v/>
      </c>
      <c r="L475" s="37">
        <f>IF(I475="","",I475-TIME(9,0,0))</f>
        <v/>
      </c>
      <c r="M475" s="33" t="n"/>
      <c r="N475" s="32" t="inlineStr">
        <is>
          <t>gon</t>
        </is>
      </c>
      <c r="O475" s="27" t="n"/>
      <c r="P475" s="33" t="n"/>
      <c r="Q475" s="33" t="n"/>
      <c r="R475" s="38" t="n"/>
      <c r="S475" s="28" t="n"/>
      <c r="T475" s="27" t="n"/>
      <c r="U475" s="27" t="n"/>
      <c r="V475" s="27" t="n"/>
    </row>
    <row r="476">
      <c r="A476" s="27" t="n"/>
      <c r="B476" s="27" t="n"/>
      <c r="C476" s="39" t="n"/>
      <c r="D476" s="27" t="n"/>
      <c r="E476" s="27" t="n"/>
      <c r="F476" s="27" t="n"/>
      <c r="G476" s="27" t="n"/>
      <c r="H476" s="27" t="n"/>
      <c r="I476" s="36" t="n"/>
      <c r="J476" s="36" t="n"/>
      <c r="K476" s="34">
        <f>IF(OR(I476="",J476=""),"",(J476-I476)*1440)</f>
        <v/>
      </c>
      <c r="L476" s="37">
        <f>IF(I476="","",I476-TIME(9,0,0))</f>
        <v/>
      </c>
      <c r="M476" s="33" t="n"/>
      <c r="N476" s="32" t="inlineStr">
        <is>
          <t>gon</t>
        </is>
      </c>
      <c r="O476" s="27" t="n"/>
      <c r="P476" s="33" t="n"/>
      <c r="Q476" s="33" t="n"/>
      <c r="R476" s="38" t="n"/>
      <c r="S476" s="28" t="n"/>
      <c r="T476" s="27" t="n"/>
      <c r="U476" s="27" t="n"/>
      <c r="V476" s="27" t="n"/>
    </row>
    <row r="477">
      <c r="A477" s="27" t="n"/>
      <c r="B477" s="27" t="n"/>
      <c r="C477" s="39" t="n"/>
      <c r="D477" s="27" t="n"/>
      <c r="E477" s="27" t="n"/>
      <c r="F477" s="27" t="n"/>
      <c r="G477" s="27" t="n"/>
      <c r="H477" s="27" t="n"/>
      <c r="I477" s="36" t="n"/>
      <c r="J477" s="36" t="n"/>
      <c r="K477" s="34">
        <f>IF(OR(I477="",J477=""),"",(J477-I477)*1440)</f>
        <v/>
      </c>
      <c r="L477" s="37">
        <f>IF(I477="","",I477-TIME(9,0,0))</f>
        <v/>
      </c>
      <c r="M477" s="33" t="n"/>
      <c r="N477" s="32" t="inlineStr">
        <is>
          <t>gon</t>
        </is>
      </c>
      <c r="O477" s="27" t="n"/>
      <c r="P477" s="33" t="n"/>
      <c r="Q477" s="33" t="n"/>
      <c r="R477" s="38" t="n"/>
      <c r="S477" s="28" t="n"/>
      <c r="T477" s="27" t="n"/>
      <c r="U477" s="27" t="n"/>
      <c r="V477" s="27" t="n"/>
    </row>
    <row r="478">
      <c r="A478" s="27" t="n"/>
      <c r="B478" s="27" t="n"/>
      <c r="C478" s="39" t="n"/>
      <c r="D478" s="27" t="n"/>
      <c r="E478" s="27" t="n"/>
      <c r="F478" s="27" t="n"/>
      <c r="G478" s="27" t="n"/>
      <c r="H478" s="27" t="n"/>
      <c r="I478" s="36" t="n"/>
      <c r="J478" s="36" t="n"/>
      <c r="K478" s="34">
        <f>IF(OR(I478="",J478=""),"",(J478-I478)*1440)</f>
        <v/>
      </c>
      <c r="L478" s="37">
        <f>IF(I478="","",I478-TIME(9,0,0))</f>
        <v/>
      </c>
      <c r="M478" s="33" t="n"/>
      <c r="N478" s="32" t="inlineStr">
        <is>
          <t>gon</t>
        </is>
      </c>
      <c r="O478" s="27" t="n"/>
      <c r="P478" s="33" t="n"/>
      <c r="Q478" s="33" t="n"/>
      <c r="R478" s="38" t="n"/>
      <c r="S478" s="28" t="n"/>
      <c r="T478" s="27" t="n"/>
      <c r="U478" s="27" t="n"/>
      <c r="V478" s="27" t="n"/>
    </row>
    <row r="479">
      <c r="A479" s="27" t="n"/>
      <c r="B479" s="27" t="n"/>
      <c r="C479" s="39" t="n"/>
      <c r="D479" s="27" t="n"/>
      <c r="E479" s="27" t="n"/>
      <c r="F479" s="27" t="n"/>
      <c r="G479" s="27" t="n"/>
      <c r="H479" s="27" t="n"/>
      <c r="I479" s="36" t="n"/>
      <c r="J479" s="36" t="n"/>
      <c r="K479" s="34">
        <f>IF(OR(I479="",J479=""),"",(J479-I479)*1440)</f>
        <v/>
      </c>
      <c r="L479" s="37">
        <f>IF(I479="","",I479-TIME(9,0,0))</f>
        <v/>
      </c>
      <c r="M479" s="33" t="n"/>
      <c r="N479" s="32" t="inlineStr">
        <is>
          <t>gon</t>
        </is>
      </c>
      <c r="O479" s="27" t="n"/>
      <c r="P479" s="33" t="n"/>
      <c r="Q479" s="33" t="n"/>
      <c r="R479" s="38" t="n"/>
      <c r="S479" s="28" t="n"/>
      <c r="T479" s="27" t="n"/>
      <c r="U479" s="27" t="n"/>
      <c r="V479" s="27" t="n"/>
    </row>
    <row r="480">
      <c r="A480" s="27" t="n"/>
      <c r="B480" s="27" t="n"/>
      <c r="C480" s="39" t="n"/>
      <c r="D480" s="27" t="n"/>
      <c r="E480" s="27" t="n"/>
      <c r="F480" s="27" t="n"/>
      <c r="G480" s="27" t="n"/>
      <c r="H480" s="27" t="n"/>
      <c r="I480" s="36" t="n"/>
      <c r="J480" s="36" t="n"/>
      <c r="K480" s="34">
        <f>IF(OR(I480="",J480=""),"",(J480-I480)*1440)</f>
        <v/>
      </c>
      <c r="L480" s="37">
        <f>IF(I480="","",I480-TIME(9,0,0))</f>
        <v/>
      </c>
      <c r="M480" s="33" t="n"/>
      <c r="N480" s="32" t="inlineStr">
        <is>
          <t>gon</t>
        </is>
      </c>
      <c r="O480" s="27" t="n"/>
      <c r="P480" s="33" t="n"/>
      <c r="Q480" s="33" t="n"/>
      <c r="R480" s="38" t="n"/>
      <c r="S480" s="28" t="n"/>
      <c r="T480" s="27" t="n"/>
      <c r="U480" s="27" t="n"/>
      <c r="V480" s="27" t="n"/>
    </row>
    <row r="481">
      <c r="A481" s="27" t="n"/>
      <c r="B481" s="27" t="n"/>
      <c r="C481" s="39" t="n"/>
      <c r="D481" s="27" t="n"/>
      <c r="E481" s="27" t="n"/>
      <c r="F481" s="27" t="n"/>
      <c r="G481" s="27" t="n"/>
      <c r="H481" s="27" t="n"/>
      <c r="I481" s="36" t="n"/>
      <c r="J481" s="36" t="n"/>
      <c r="K481" s="34">
        <f>IF(OR(I481="",J481=""),"",(J481-I481)*1440)</f>
        <v/>
      </c>
      <c r="L481" s="37">
        <f>IF(I481="","",I481-TIME(9,0,0))</f>
        <v/>
      </c>
      <c r="M481" s="33" t="n"/>
      <c r="N481" s="32" t="inlineStr">
        <is>
          <t>gon</t>
        </is>
      </c>
      <c r="O481" s="27" t="n"/>
      <c r="P481" s="33" t="n"/>
      <c r="Q481" s="33" t="n"/>
      <c r="R481" s="38" t="n"/>
      <c r="S481" s="28" t="n"/>
      <c r="T481" s="27" t="n"/>
      <c r="U481" s="27" t="n"/>
      <c r="V481" s="27" t="n"/>
    </row>
    <row r="482">
      <c r="A482" s="27" t="n"/>
      <c r="B482" s="27" t="n"/>
      <c r="C482" s="39" t="n"/>
      <c r="D482" s="27" t="n"/>
      <c r="E482" s="27" t="n"/>
      <c r="F482" s="27" t="n"/>
      <c r="G482" s="27" t="n"/>
      <c r="H482" s="27" t="n"/>
      <c r="I482" s="36" t="n"/>
      <c r="J482" s="36" t="n"/>
      <c r="K482" s="34">
        <f>IF(OR(I482="",J482=""),"",(J482-I482)*1440)</f>
        <v/>
      </c>
      <c r="L482" s="37">
        <f>IF(I482="","",I482-TIME(9,0,0))</f>
        <v/>
      </c>
      <c r="M482" s="33" t="n"/>
      <c r="N482" s="32" t="inlineStr">
        <is>
          <t>gon</t>
        </is>
      </c>
      <c r="O482" s="27" t="n"/>
      <c r="P482" s="33" t="n"/>
      <c r="Q482" s="33" t="n"/>
      <c r="R482" s="38" t="n"/>
      <c r="S482" s="28" t="n"/>
      <c r="T482" s="27" t="n"/>
      <c r="U482" s="27" t="n"/>
      <c r="V482" s="27" t="n"/>
    </row>
    <row r="483">
      <c r="A483" s="27" t="n"/>
      <c r="B483" s="27" t="n"/>
      <c r="C483" s="39" t="n"/>
      <c r="D483" s="27" t="n"/>
      <c r="E483" s="27" t="n"/>
      <c r="F483" s="27" t="n"/>
      <c r="G483" s="27" t="n"/>
      <c r="H483" s="27" t="n"/>
      <c r="I483" s="36" t="n"/>
      <c r="J483" s="36" t="n"/>
      <c r="K483" s="34">
        <f>IF(OR(I483="",J483=""),"",(J483-I483)*1440)</f>
        <v/>
      </c>
      <c r="L483" s="37">
        <f>IF(I483="","",I483-TIME(9,0,0))</f>
        <v/>
      </c>
      <c r="M483" s="33" t="n"/>
      <c r="N483" s="32" t="inlineStr">
        <is>
          <t>gon</t>
        </is>
      </c>
      <c r="O483" s="27" t="n"/>
      <c r="P483" s="33" t="n"/>
      <c r="Q483" s="33" t="n"/>
      <c r="R483" s="38" t="n"/>
      <c r="S483" s="28" t="n"/>
      <c r="T483" s="27" t="n"/>
      <c r="U483" s="27" t="n"/>
      <c r="V483" s="27" t="n"/>
    </row>
    <row r="484">
      <c r="A484" s="27" t="n"/>
      <c r="B484" s="27" t="n"/>
      <c r="C484" s="39" t="n"/>
      <c r="D484" s="27" t="n"/>
      <c r="E484" s="27" t="n"/>
      <c r="F484" s="27" t="n"/>
      <c r="G484" s="27" t="n"/>
      <c r="H484" s="27" t="n"/>
      <c r="I484" s="36" t="n"/>
      <c r="J484" s="36" t="n"/>
      <c r="K484" s="34">
        <f>IF(OR(I484="",J484=""),"",(J484-I484)*1440)</f>
        <v/>
      </c>
      <c r="L484" s="37">
        <f>IF(I484="","",I484-TIME(9,0,0))</f>
        <v/>
      </c>
      <c r="M484" s="33" t="n"/>
      <c r="N484" s="32" t="inlineStr">
        <is>
          <t>gon</t>
        </is>
      </c>
      <c r="O484" s="27" t="n"/>
      <c r="P484" s="33" t="n"/>
      <c r="Q484" s="33" t="n"/>
      <c r="R484" s="38" t="n"/>
      <c r="S484" s="28" t="n"/>
      <c r="T484" s="27" t="n"/>
      <c r="U484" s="27" t="n"/>
      <c r="V484" s="27" t="n"/>
    </row>
    <row r="485">
      <c r="A485" s="27" t="n"/>
      <c r="B485" s="27" t="n"/>
      <c r="C485" s="39" t="n"/>
      <c r="D485" s="27" t="n"/>
      <c r="E485" s="27" t="n"/>
      <c r="F485" s="27" t="n"/>
      <c r="G485" s="27" t="n"/>
      <c r="H485" s="27" t="n"/>
      <c r="I485" s="36" t="n"/>
      <c r="J485" s="36" t="n"/>
      <c r="K485" s="34">
        <f>IF(OR(I485="",J485=""),"",(J485-I485)*1440)</f>
        <v/>
      </c>
      <c r="L485" s="37">
        <f>IF(I485="","",I485-TIME(9,0,0))</f>
        <v/>
      </c>
      <c r="M485" s="33" t="n"/>
      <c r="N485" s="32" t="inlineStr">
        <is>
          <t>gon</t>
        </is>
      </c>
      <c r="O485" s="27" t="n"/>
      <c r="P485" s="33" t="n"/>
      <c r="Q485" s="33" t="n"/>
      <c r="R485" s="38" t="n"/>
      <c r="S485" s="28" t="n"/>
      <c r="T485" s="27" t="n"/>
      <c r="U485" s="27" t="n"/>
      <c r="V485" s="27" t="n"/>
    </row>
    <row r="486">
      <c r="A486" s="27" t="n"/>
      <c r="B486" s="27" t="n"/>
      <c r="C486" s="39" t="n"/>
      <c r="D486" s="27" t="n"/>
      <c r="E486" s="27" t="n"/>
      <c r="F486" s="27" t="n"/>
      <c r="G486" s="27" t="n"/>
      <c r="H486" s="27" t="n"/>
      <c r="I486" s="36" t="n"/>
      <c r="J486" s="36" t="n"/>
      <c r="K486" s="34">
        <f>IF(OR(I486="",J486=""),"",(J486-I486)*1440)</f>
        <v/>
      </c>
      <c r="L486" s="37">
        <f>IF(I486="","",I486-TIME(9,0,0))</f>
        <v/>
      </c>
      <c r="M486" s="33" t="n"/>
      <c r="N486" s="32" t="inlineStr">
        <is>
          <t>gon</t>
        </is>
      </c>
      <c r="O486" s="27" t="n"/>
      <c r="P486" s="33" t="n"/>
      <c r="Q486" s="33" t="n"/>
      <c r="R486" s="38" t="n"/>
      <c r="S486" s="28" t="n"/>
      <c r="T486" s="27" t="n"/>
      <c r="U486" s="27" t="n"/>
      <c r="V486" s="27" t="n"/>
    </row>
    <row r="487">
      <c r="A487" s="27" t="n"/>
      <c r="B487" s="27" t="n"/>
      <c r="C487" s="39" t="n"/>
      <c r="D487" s="27" t="n"/>
      <c r="E487" s="27" t="n"/>
      <c r="F487" s="27" t="n"/>
      <c r="G487" s="27" t="n"/>
      <c r="H487" s="27" t="n"/>
      <c r="I487" s="36" t="n"/>
      <c r="J487" s="36" t="n"/>
      <c r="K487" s="34">
        <f>IF(OR(I487="",J487=""),"",(J487-I487)*1440)</f>
        <v/>
      </c>
      <c r="L487" s="37">
        <f>IF(I487="","",I487-TIME(9,0,0))</f>
        <v/>
      </c>
      <c r="M487" s="33" t="n"/>
      <c r="N487" s="32" t="inlineStr">
        <is>
          <t>gon</t>
        </is>
      </c>
      <c r="O487" s="27" t="n"/>
      <c r="P487" s="33" t="n"/>
      <c r="Q487" s="33" t="n"/>
      <c r="R487" s="38" t="n"/>
      <c r="S487" s="28" t="n"/>
      <c r="T487" s="27" t="n"/>
      <c r="U487" s="27" t="n"/>
      <c r="V487" s="27" t="n"/>
    </row>
    <row r="488">
      <c r="A488" s="27" t="n"/>
      <c r="B488" s="27" t="n"/>
      <c r="C488" s="39" t="n"/>
      <c r="D488" s="27" t="n"/>
      <c r="E488" s="27" t="n"/>
      <c r="F488" s="27" t="n"/>
      <c r="G488" s="27" t="n"/>
      <c r="H488" s="27" t="n"/>
      <c r="I488" s="36" t="n"/>
      <c r="J488" s="36" t="n"/>
      <c r="K488" s="34">
        <f>IF(OR(I488="",J488=""),"",(J488-I488)*1440)</f>
        <v/>
      </c>
      <c r="L488" s="37">
        <f>IF(I488="","",I488-TIME(9,0,0))</f>
        <v/>
      </c>
      <c r="M488" s="33" t="n"/>
      <c r="N488" s="32" t="inlineStr">
        <is>
          <t>gon</t>
        </is>
      </c>
      <c r="O488" s="27" t="n"/>
      <c r="P488" s="33" t="n"/>
      <c r="Q488" s="33" t="n"/>
      <c r="R488" s="38" t="n"/>
      <c r="S488" s="28" t="n"/>
      <c r="T488" s="27" t="n"/>
      <c r="U488" s="27" t="n"/>
      <c r="V488" s="27" t="n"/>
    </row>
    <row r="489">
      <c r="A489" s="27" t="n"/>
      <c r="B489" s="27" t="n"/>
      <c r="C489" s="39" t="n"/>
      <c r="D489" s="27" t="n"/>
      <c r="E489" s="27" t="n"/>
      <c r="F489" s="27" t="n"/>
      <c r="G489" s="27" t="n"/>
      <c r="H489" s="27" t="n"/>
      <c r="I489" s="36" t="n"/>
      <c r="J489" s="36" t="n"/>
      <c r="K489" s="34">
        <f>IF(OR(I489="",J489=""),"",(J489-I489)*1440)</f>
        <v/>
      </c>
      <c r="L489" s="37">
        <f>IF(I489="","",I489-TIME(9,0,0))</f>
        <v/>
      </c>
      <c r="M489" s="33" t="n"/>
      <c r="N489" s="32" t="inlineStr">
        <is>
          <t>gon</t>
        </is>
      </c>
      <c r="O489" s="27" t="n"/>
      <c r="P489" s="33" t="n"/>
      <c r="Q489" s="33" t="n"/>
      <c r="R489" s="38" t="n"/>
      <c r="S489" s="28" t="n"/>
      <c r="T489" s="27" t="n"/>
      <c r="U489" s="27" t="n"/>
      <c r="V489" s="27" t="n"/>
    </row>
    <row r="490">
      <c r="A490" s="27" t="n"/>
      <c r="B490" s="27" t="n"/>
      <c r="C490" s="39" t="n"/>
      <c r="D490" s="27" t="n"/>
      <c r="E490" s="27" t="n"/>
      <c r="F490" s="27" t="n"/>
      <c r="G490" s="27" t="n"/>
      <c r="H490" s="27" t="n"/>
      <c r="I490" s="36" t="n"/>
      <c r="J490" s="36" t="n"/>
      <c r="K490" s="34">
        <f>IF(OR(I490="",J490=""),"",(J490-I490)*1440)</f>
        <v/>
      </c>
      <c r="L490" s="37">
        <f>IF(I490="","",I490-TIME(9,0,0))</f>
        <v/>
      </c>
      <c r="M490" s="33" t="n"/>
      <c r="N490" s="32" t="inlineStr">
        <is>
          <t>gon</t>
        </is>
      </c>
      <c r="O490" s="27" t="n"/>
      <c r="P490" s="33" t="n"/>
      <c r="Q490" s="33" t="n"/>
      <c r="R490" s="38" t="n"/>
      <c r="S490" s="28" t="n"/>
      <c r="T490" s="27" t="n"/>
      <c r="U490" s="27" t="n"/>
      <c r="V490" s="27" t="n"/>
    </row>
    <row r="491">
      <c r="A491" s="27" t="n"/>
      <c r="B491" s="27" t="n"/>
      <c r="C491" s="39" t="n"/>
      <c r="D491" s="27" t="n"/>
      <c r="E491" s="27" t="n"/>
      <c r="F491" s="27" t="n"/>
      <c r="G491" s="27" t="n"/>
      <c r="H491" s="27" t="n"/>
      <c r="I491" s="36" t="n"/>
      <c r="J491" s="36" t="n"/>
      <c r="K491" s="34">
        <f>IF(OR(I491="",J491=""),"",(J491-I491)*1440)</f>
        <v/>
      </c>
      <c r="L491" s="37">
        <f>IF(I491="","",I491-TIME(9,0,0))</f>
        <v/>
      </c>
      <c r="M491" s="33" t="n"/>
      <c r="N491" s="32" t="inlineStr">
        <is>
          <t>gon</t>
        </is>
      </c>
      <c r="O491" s="27" t="n"/>
      <c r="P491" s="33" t="n"/>
      <c r="Q491" s="33" t="n"/>
      <c r="R491" s="38" t="n"/>
      <c r="S491" s="28" t="n"/>
      <c r="T491" s="27" t="n"/>
      <c r="U491" s="27" t="n"/>
      <c r="V491" s="27" t="n"/>
    </row>
    <row r="492">
      <c r="A492" s="27" t="n"/>
      <c r="B492" s="27" t="n"/>
      <c r="C492" s="39" t="n"/>
      <c r="D492" s="27" t="n"/>
      <c r="E492" s="27" t="n"/>
      <c r="F492" s="27" t="n"/>
      <c r="G492" s="27" t="n"/>
      <c r="H492" s="27" t="n"/>
      <c r="I492" s="36" t="n"/>
      <c r="J492" s="36" t="n"/>
      <c r="K492" s="34">
        <f>IF(OR(I492="",J492=""),"",(J492-I492)*1440)</f>
        <v/>
      </c>
      <c r="L492" s="37">
        <f>IF(I492="","",I492-TIME(9,0,0))</f>
        <v/>
      </c>
      <c r="M492" s="33" t="n"/>
      <c r="N492" s="32" t="inlineStr">
        <is>
          <t>gon</t>
        </is>
      </c>
      <c r="O492" s="27" t="n"/>
      <c r="P492" s="33" t="n"/>
      <c r="Q492" s="33" t="n"/>
      <c r="R492" s="38" t="n"/>
      <c r="S492" s="28" t="n"/>
      <c r="T492" s="27" t="n"/>
      <c r="U492" s="27" t="n"/>
      <c r="V492" s="27" t="n"/>
    </row>
    <row r="493">
      <c r="A493" s="27" t="n"/>
      <c r="B493" s="27" t="n"/>
      <c r="C493" s="39" t="n"/>
      <c r="D493" s="27" t="n"/>
      <c r="E493" s="27" t="n"/>
      <c r="F493" s="27" t="n"/>
      <c r="G493" s="27" t="n"/>
      <c r="H493" s="27" t="n"/>
      <c r="I493" s="36" t="n"/>
      <c r="J493" s="36" t="n"/>
      <c r="K493" s="34">
        <f>IF(OR(I493="",J493=""),"",(J493-I493)*1440)</f>
        <v/>
      </c>
      <c r="L493" s="37">
        <f>IF(I493="","",I493-TIME(9,0,0))</f>
        <v/>
      </c>
      <c r="M493" s="33" t="n"/>
      <c r="N493" s="32" t="inlineStr">
        <is>
          <t>gon</t>
        </is>
      </c>
      <c r="O493" s="27" t="n"/>
      <c r="P493" s="33" t="n"/>
      <c r="Q493" s="33" t="n"/>
      <c r="R493" s="38" t="n"/>
      <c r="S493" s="28" t="n"/>
      <c r="T493" s="27" t="n"/>
      <c r="U493" s="27" t="n"/>
      <c r="V493" s="27" t="n"/>
    </row>
    <row r="494">
      <c r="A494" s="27" t="n"/>
      <c r="B494" s="27" t="n"/>
      <c r="C494" s="39" t="n"/>
      <c r="D494" s="27" t="n"/>
      <c r="E494" s="27" t="n"/>
      <c r="F494" s="27" t="n"/>
      <c r="G494" s="27" t="n"/>
      <c r="H494" s="27" t="n"/>
      <c r="I494" s="36" t="n"/>
      <c r="J494" s="36" t="n"/>
      <c r="K494" s="34">
        <f>IF(OR(I494="",J494=""),"",(J494-I494)*1440)</f>
        <v/>
      </c>
      <c r="L494" s="37">
        <f>IF(I494="","",I494-TIME(9,0,0))</f>
        <v/>
      </c>
      <c r="M494" s="33" t="n"/>
      <c r="N494" s="32" t="inlineStr">
        <is>
          <t>gon</t>
        </is>
      </c>
      <c r="O494" s="27" t="n"/>
      <c r="P494" s="33" t="n"/>
      <c r="Q494" s="33" t="n"/>
      <c r="R494" s="38" t="n"/>
      <c r="S494" s="28" t="n"/>
      <c r="T494" s="27" t="n"/>
      <c r="U494" s="27" t="n"/>
      <c r="V494" s="27" t="n"/>
    </row>
    <row r="495">
      <c r="A495" s="27" t="n"/>
      <c r="B495" s="27" t="n"/>
      <c r="C495" s="39" t="n"/>
      <c r="D495" s="27" t="n"/>
      <c r="E495" s="27" t="n"/>
      <c r="F495" s="27" t="n"/>
      <c r="G495" s="27" t="n"/>
      <c r="H495" s="27" t="n"/>
      <c r="I495" s="36" t="n"/>
      <c r="J495" s="36" t="n"/>
      <c r="K495" s="34">
        <f>IF(OR(I495="",J495=""),"",(J495-I495)*1440)</f>
        <v/>
      </c>
      <c r="L495" s="37">
        <f>IF(I495="","",I495-TIME(9,0,0))</f>
        <v/>
      </c>
      <c r="M495" s="33" t="n"/>
      <c r="N495" s="32" t="inlineStr">
        <is>
          <t>gon</t>
        </is>
      </c>
      <c r="O495" s="27" t="n"/>
      <c r="P495" s="33" t="n"/>
      <c r="Q495" s="33" t="n"/>
      <c r="R495" s="38" t="n"/>
      <c r="S495" s="28" t="n"/>
      <c r="T495" s="27" t="n"/>
      <c r="U495" s="27" t="n"/>
      <c r="V495" s="27" t="n"/>
    </row>
    <row r="496">
      <c r="A496" s="27" t="n"/>
      <c r="B496" s="27" t="n"/>
      <c r="C496" s="39" t="n"/>
      <c r="D496" s="27" t="n"/>
      <c r="E496" s="27" t="n"/>
      <c r="F496" s="27" t="n"/>
      <c r="G496" s="27" t="n"/>
      <c r="H496" s="27" t="n"/>
      <c r="I496" s="36" t="n"/>
      <c r="J496" s="36" t="n"/>
      <c r="K496" s="34">
        <f>IF(OR(I496="",J496=""),"",(J496-I496)*1440)</f>
        <v/>
      </c>
      <c r="L496" s="37">
        <f>IF(I496="","",I496-TIME(9,0,0))</f>
        <v/>
      </c>
      <c r="M496" s="33" t="n"/>
      <c r="N496" s="32" t="inlineStr">
        <is>
          <t>gon</t>
        </is>
      </c>
      <c r="O496" s="27" t="n"/>
      <c r="P496" s="33" t="n"/>
      <c r="Q496" s="33" t="n"/>
      <c r="R496" s="38" t="n"/>
      <c r="S496" s="28" t="n"/>
      <c r="T496" s="27" t="n"/>
      <c r="U496" s="27" t="n"/>
      <c r="V496" s="27" t="n"/>
    </row>
    <row r="497">
      <c r="A497" s="27" t="n"/>
      <c r="B497" s="27" t="n"/>
      <c r="C497" s="39" t="n"/>
      <c r="D497" s="27" t="n"/>
      <c r="E497" s="27" t="n"/>
      <c r="F497" s="27" t="n"/>
      <c r="G497" s="27" t="n"/>
      <c r="H497" s="27" t="n"/>
      <c r="I497" s="36" t="n"/>
      <c r="J497" s="36" t="n"/>
      <c r="K497" s="34">
        <f>IF(OR(I497="",J497=""),"",(J497-I497)*1440)</f>
        <v/>
      </c>
      <c r="L497" s="37">
        <f>IF(I497="","",I497-TIME(9,0,0))</f>
        <v/>
      </c>
      <c r="M497" s="33" t="n"/>
      <c r="N497" s="32" t="inlineStr">
        <is>
          <t>gon</t>
        </is>
      </c>
      <c r="O497" s="27" t="n"/>
      <c r="P497" s="33" t="n"/>
      <c r="Q497" s="33" t="n"/>
      <c r="R497" s="38" t="n"/>
      <c r="S497" s="28" t="n"/>
      <c r="T497" s="27" t="n"/>
      <c r="U497" s="27" t="n"/>
      <c r="V497" s="27" t="n"/>
    </row>
    <row r="498">
      <c r="A498" s="27" t="n"/>
      <c r="B498" s="27" t="n"/>
      <c r="C498" s="39" t="n"/>
      <c r="D498" s="27" t="n"/>
      <c r="E498" s="27" t="n"/>
      <c r="F498" s="27" t="n"/>
      <c r="G498" s="27" t="n"/>
      <c r="H498" s="27" t="n"/>
      <c r="I498" s="36" t="n"/>
      <c r="J498" s="36" t="n"/>
      <c r="K498" s="34">
        <f>IF(OR(I498="",J498=""),"",(J498-I498)*1440)</f>
        <v/>
      </c>
      <c r="L498" s="37">
        <f>IF(I498="","",I498-TIME(9,0,0))</f>
        <v/>
      </c>
      <c r="M498" s="33" t="n"/>
      <c r="N498" s="32" t="inlineStr">
        <is>
          <t>gon</t>
        </is>
      </c>
      <c r="O498" s="27" t="n"/>
      <c r="P498" s="33" t="n"/>
      <c r="Q498" s="33" t="n"/>
      <c r="R498" s="38" t="n"/>
      <c r="S498" s="28" t="n"/>
      <c r="T498" s="27" t="n"/>
      <c r="U498" s="27" t="n"/>
      <c r="V498" s="27" t="n"/>
    </row>
    <row r="499">
      <c r="A499" s="27" t="n"/>
      <c r="B499" s="27" t="n"/>
      <c r="C499" s="39" t="n"/>
      <c r="D499" s="27" t="n"/>
      <c r="E499" s="27" t="n"/>
      <c r="F499" s="27" t="n"/>
      <c r="G499" s="27" t="n"/>
      <c r="H499" s="27" t="n"/>
      <c r="I499" s="36" t="n"/>
      <c r="J499" s="36" t="n"/>
      <c r="K499" s="34">
        <f>IF(OR(I499="",J499=""),"",(J499-I499)*1440)</f>
        <v/>
      </c>
      <c r="L499" s="37">
        <f>IF(I499="","",I499-TIME(9,0,0))</f>
        <v/>
      </c>
      <c r="M499" s="33" t="n"/>
      <c r="N499" s="32" t="inlineStr">
        <is>
          <t>gon</t>
        </is>
      </c>
      <c r="O499" s="27" t="n"/>
      <c r="P499" s="33" t="n"/>
      <c r="Q499" s="33" t="n"/>
      <c r="R499" s="38" t="n"/>
      <c r="S499" s="28" t="n"/>
      <c r="T499" s="27" t="n"/>
      <c r="U499" s="27" t="n"/>
      <c r="V499" s="27" t="n"/>
    </row>
    <row r="500">
      <c r="A500" s="27" t="n"/>
      <c r="B500" s="27" t="n"/>
      <c r="C500" s="39" t="n"/>
      <c r="D500" s="27" t="n"/>
      <c r="E500" s="27" t="n"/>
      <c r="F500" s="27" t="n"/>
      <c r="G500" s="27" t="n"/>
      <c r="H500" s="27" t="n"/>
      <c r="I500" s="36" t="n"/>
      <c r="J500" s="36" t="n"/>
      <c r="K500" s="34">
        <f>IF(OR(I500="",J500=""),"",(J500-I500)*1440)</f>
        <v/>
      </c>
      <c r="L500" s="37">
        <f>IF(I500="","",I500-TIME(9,0,0))</f>
        <v/>
      </c>
      <c r="M500" s="33" t="n"/>
      <c r="N500" s="32" t="inlineStr">
        <is>
          <t>gon</t>
        </is>
      </c>
      <c r="O500" s="27" t="n"/>
      <c r="P500" s="33" t="n"/>
      <c r="Q500" s="33" t="n"/>
      <c r="R500" s="38" t="n"/>
      <c r="S500" s="28" t="n"/>
      <c r="T500" s="27" t="n"/>
      <c r="U500" s="27" t="n"/>
      <c r="V500" s="27" t="n"/>
    </row>
    <row r="501">
      <c r="A501" s="27" t="n"/>
      <c r="B501" s="27" t="n"/>
      <c r="C501" s="39" t="n"/>
      <c r="D501" s="27" t="n"/>
      <c r="E501" s="27" t="n"/>
      <c r="F501" s="27" t="n"/>
      <c r="G501" s="27" t="n"/>
      <c r="H501" s="27" t="n"/>
      <c r="I501" s="36" t="n"/>
      <c r="J501" s="36" t="n"/>
      <c r="K501" s="34">
        <f>IF(OR(I501="",J501=""),"",(J501-I501)*1440)</f>
        <v/>
      </c>
      <c r="L501" s="37">
        <f>IF(I501="","",I501-TIME(9,0,0))</f>
        <v/>
      </c>
      <c r="M501" s="33" t="n"/>
      <c r="N501" s="32" t="inlineStr">
        <is>
          <t>gon</t>
        </is>
      </c>
      <c r="O501" s="27" t="n"/>
      <c r="P501" s="33" t="n"/>
      <c r="Q501" s="33" t="n"/>
      <c r="R501" s="38" t="n"/>
      <c r="S501" s="28" t="n"/>
      <c r="T501" s="27" t="n"/>
      <c r="U501" s="27" t="n"/>
      <c r="V501" s="27" t="n"/>
    </row>
    <row r="502">
      <c r="A502" s="27" t="n"/>
      <c r="B502" s="27" t="n"/>
      <c r="C502" s="39" t="n"/>
      <c r="D502" s="27" t="n"/>
      <c r="E502" s="27" t="n"/>
      <c r="F502" s="27" t="n"/>
      <c r="G502" s="27" t="n"/>
      <c r="H502" s="27" t="n"/>
      <c r="I502" s="36" t="n"/>
      <c r="J502" s="36" t="n"/>
      <c r="K502" s="34">
        <f>IF(OR(I502="",J502=""),"",(J502-I502)*1440)</f>
        <v/>
      </c>
      <c r="L502" s="37">
        <f>IF(I502="","",I502-TIME(9,0,0))</f>
        <v/>
      </c>
      <c r="M502" s="33" t="n"/>
      <c r="N502" s="32" t="inlineStr">
        <is>
          <t>gon</t>
        </is>
      </c>
      <c r="O502" s="27" t="n"/>
      <c r="P502" s="33" t="n"/>
      <c r="Q502" s="33" t="n"/>
      <c r="R502" s="38" t="n"/>
      <c r="S502" s="28" t="n"/>
      <c r="T502" s="27" t="n"/>
      <c r="U502" s="27" t="n"/>
      <c r="V502" s="27" t="n"/>
    </row>
    <row r="503">
      <c r="A503" s="27" t="n"/>
      <c r="B503" s="27" t="n"/>
      <c r="C503" s="39" t="n"/>
      <c r="D503" s="27" t="n"/>
      <c r="E503" s="27" t="n"/>
      <c r="F503" s="27" t="n"/>
      <c r="G503" s="27" t="n"/>
      <c r="H503" s="27" t="n"/>
      <c r="I503" s="36" t="n"/>
      <c r="J503" s="36" t="n"/>
      <c r="K503" s="34">
        <f>IF(OR(I503="",J503=""),"",(J503-I503)*1440)</f>
        <v/>
      </c>
      <c r="L503" s="37">
        <f>IF(I503="","",I503-TIME(9,0,0))</f>
        <v/>
      </c>
      <c r="M503" s="33" t="n"/>
      <c r="N503" s="32" t="inlineStr">
        <is>
          <t>gon</t>
        </is>
      </c>
      <c r="O503" s="27" t="n"/>
      <c r="P503" s="33" t="n"/>
      <c r="Q503" s="33" t="n"/>
      <c r="R503" s="38" t="n"/>
      <c r="S503" s="28" t="n"/>
      <c r="T503" s="27" t="n"/>
      <c r="U503" s="27" t="n"/>
      <c r="V503" s="27" t="n"/>
    </row>
    <row r="504">
      <c r="A504" s="27" t="n"/>
      <c r="B504" s="27" t="n"/>
      <c r="C504" s="39" t="n"/>
      <c r="D504" s="27" t="n"/>
      <c r="E504" s="27" t="n"/>
      <c r="F504" s="27" t="n"/>
      <c r="G504" s="27" t="n"/>
      <c r="H504" s="27" t="n"/>
      <c r="I504" s="36" t="n"/>
      <c r="J504" s="36" t="n"/>
      <c r="K504" s="34">
        <f>IF(OR(I504="",J504=""),"",(J504-I504)*1440)</f>
        <v/>
      </c>
      <c r="L504" s="37">
        <f>IF(I504="","",I504-TIME(9,0,0))</f>
        <v/>
      </c>
      <c r="M504" s="33" t="n"/>
      <c r="N504" s="32" t="inlineStr">
        <is>
          <t>gon</t>
        </is>
      </c>
      <c r="O504" s="27" t="n"/>
      <c r="P504" s="33" t="n"/>
      <c r="Q504" s="33" t="n"/>
      <c r="R504" s="38" t="n"/>
      <c r="S504" s="28" t="n"/>
      <c r="T504" s="27" t="n"/>
      <c r="U504" s="27" t="n"/>
      <c r="V504" s="27" t="n"/>
    </row>
  </sheetData>
  <mergeCells count="3">
    <mergeCell ref="A2:V2"/>
    <mergeCell ref="A1:V1"/>
    <mergeCell ref="A3:V3"/>
  </mergeCells>
  <dataValidations count="7">
    <dataValidation sqref="F5:F504" showDropDown="0" showInputMessage="0" showErrorMessage="0" allowBlank="1" type="list">
      <formula1>"편각 D,복각 I,총자력 F"</formula1>
    </dataValidation>
    <dataValidation sqref="G5:G504" showDropDown="0" showInputMessage="0" showErrorMessage="0" allowBlank="1" type="list">
      <formula1>"DI점,원격점,기준자력계"</formula1>
    </dataValidation>
    <dataValidation sqref="U5:U504" showDropDown="0" showInputMessage="0" showErrorMessage="0" allowBlank="1" type="list">
      <formula1>"정상,NOT AVAILABLE,NOT OBSERVED,INVALID,NOT APPLICABLE,PENDING"</formula1>
    </dataValidation>
    <dataValidation sqref="P5:P504" showDropDown="0" showInputMessage="0" showErrorMessage="1" allowBlank="1" errorTitle="예상 범위 밖" error="한국은 서편각이라 D 가 음수여야 한다. 부호를 확인할 것 (지우지 말고 사유를 비고에)." type="decimal" errorStyle="warning" operator="between">
      <formula1>-20</formula1>
      <formula2>0</formula2>
    </dataValidation>
    <dataValidation sqref="Q5:Q504" showDropDown="0" showInputMessage="0" showErrorMessage="1" allowBlank="1" errorTitle="예상 범위 밖" error="복각 I 예상 범위(30~70°) 밖이다. 셀이 날짜 서식으로 바뀌지 않았는지 확인할 것." type="decimal" errorStyle="warning" operator="between">
      <formula1>30</formula1>
      <formula2>70</formula2>
    </dataValidation>
    <dataValidation sqref="R5:R504" showDropDown="0" showInputMessage="0" showErrorMessage="1" allowBlank="1" errorTitle="예상 범위 밖" error="총자력 예상 범위 밖이다." type="decimal" errorStyle="warning" operator="between">
      <formula1>30000</formula1>
      <formula2>60000</formula2>
    </dataValidation>
    <dataValidation sqref="K5:K504" showDropDown="0" showInputMessage="0" showErrorMessage="1" allowBlank="1" errorTitle="예상 범위 밖" error="§20 관측시간 20분을 넘겼다." type="decimal" errorStyle="warning" operator="between">
      <formula1>0</formula1>
      <formula2>20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8" customWidth="1" min="7" max="7"/>
    <col width="11" customWidth="1" min="8" max="8"/>
    <col width="11" customWidth="1" min="9" max="9"/>
    <col width="19" customWidth="1" min="10" max="10"/>
    <col width="11" customWidth="1" min="11" max="11"/>
    <col width="11" customWidth="1" min="12" max="12"/>
    <col width="11" customWidth="1" min="13" max="13"/>
    <col width="12" customWidth="1" min="14" max="14"/>
    <col width="16" customWidth="1" min="15" max="15"/>
    <col width="14" customWidth="1" min="16" max="16"/>
    <col width="28" customWidth="1" min="17" max="17"/>
  </cols>
  <sheetData>
    <row r="1" ht="26" customHeight="1">
      <c r="A1" s="1" t="inlineStr">
        <is>
          <t>두 지점 F (센서 위치차) · 기기 상호대조 — A–B–A 로 시간변화를 뺀다</t>
        </is>
      </c>
    </row>
    <row r="2" ht="33" customHeight="1">
      <c r="A2" s="3" t="inlineStr">
        <is>
          <t>⚠ 두 지점을 한 번씩 순차로 재면 «위치차 + 그 사이 시간변화»가 섞인다. A(DI점) → B(원격점) → A(DI점) 순서로 재고, A 두 값의 선형내삽으로 B 시각의 A 값을 추정해 ΔF 를 낸다. 두 기기를 «서로 바꿔» 한 번 더 재면 기기 바이어스도 분리된다.</t>
        </is>
      </c>
    </row>
    <row r="3" ht="33" customHeight="1">
      <c r="A3" s="2" t="inlineStr">
        <is>
          <t>과거 야장의 「기본값」은 두 번째 지점 측정값이 아니라 «측정값의 정수부»였다 — 즉 센서 위치차 보정에 쓸 두 지점 F 가 애초에 존재하지 않았다(68개 전수 확인).</t>
        </is>
      </c>
    </row>
    <row r="4" ht="34" customHeight="1">
      <c r="A4" s="7" t="inlineStr">
        <is>
          <t>Site ID</t>
        </is>
      </c>
      <c r="B4" s="7" t="inlineStr">
        <is>
          <t>Visit ID</t>
        </is>
      </c>
      <c r="C4" s="7" t="inlineStr">
        <is>
          <t>Set ID</t>
        </is>
      </c>
      <c r="D4" s="8" t="inlineStr">
        <is>
          <t>순서</t>
        </is>
      </c>
      <c r="E4" s="8" t="inlineStr">
        <is>
          <t>Location ID</t>
        </is>
      </c>
      <c r="F4" s="8" t="inlineStr">
        <is>
          <t>실제 거리 A↔B(m)</t>
        </is>
      </c>
      <c r="G4" s="8" t="inlineStr">
        <is>
          <t>방위(기준점→원격점, °)</t>
        </is>
      </c>
      <c r="H4" s="8" t="inlineStr">
        <is>
          <t>기기번호</t>
        </is>
      </c>
      <c r="I4" s="8" t="inlineStr">
        <is>
          <t>센서 높이(m)</t>
        </is>
      </c>
      <c r="J4" s="8" t="inlineStr">
        <is>
          <t>관측 시각(KST)</t>
        </is>
      </c>
      <c r="K4" s="8" t="inlineStr">
        <is>
          <t>F 판독1</t>
        </is>
      </c>
      <c r="L4" s="8" t="inlineStr">
        <is>
          <t>F 판독2</t>
        </is>
      </c>
      <c r="M4" s="8" t="inlineStr">
        <is>
          <t>F 판독3</t>
        </is>
      </c>
      <c r="N4" s="8" t="inlineStr">
        <is>
          <t>중앙값
계산</t>
        </is>
      </c>
      <c r="O4" s="8" t="inlineStr">
        <is>
          <t>교차배치(swap) 여부</t>
        </is>
      </c>
      <c r="P4" s="8" t="inlineStr">
        <is>
          <t>ΔF(위치차, nT)</t>
        </is>
      </c>
      <c r="Q4" s="8" t="inlineStr">
        <is>
          <t>비고</t>
        </is>
      </c>
    </row>
    <row r="5">
      <c r="A5" s="27" t="n"/>
      <c r="B5" s="27" t="n"/>
      <c r="C5" s="27" t="n"/>
      <c r="D5" s="27" t="n"/>
      <c r="E5" s="27" t="n"/>
      <c r="F5" s="28" t="n"/>
      <c r="G5" s="38" t="n"/>
      <c r="H5" s="27" t="n"/>
      <c r="I5" s="28" t="n"/>
      <c r="J5" s="36" t="n"/>
      <c r="K5" s="38" t="n"/>
      <c r="L5" s="38" t="n"/>
      <c r="M5" s="38" t="n"/>
      <c r="N5" s="34">
        <f>IF(COUNT(K5:M5)=0,"",MEDIAN(K5:M5))</f>
        <v/>
      </c>
      <c r="O5" s="27" t="n"/>
      <c r="P5" s="38" t="n"/>
      <c r="Q5" s="27" t="n"/>
    </row>
    <row r="6">
      <c r="A6" s="27" t="n"/>
      <c r="B6" s="27" t="n"/>
      <c r="C6" s="27" t="n"/>
      <c r="D6" s="27" t="n"/>
      <c r="E6" s="27" t="n"/>
      <c r="F6" s="28" t="n"/>
      <c r="G6" s="38" t="n"/>
      <c r="H6" s="27" t="n"/>
      <c r="I6" s="28" t="n"/>
      <c r="J6" s="36" t="n"/>
      <c r="K6" s="38" t="n"/>
      <c r="L6" s="38" t="n"/>
      <c r="M6" s="38" t="n"/>
      <c r="N6" s="34">
        <f>IF(COUNT(K6:M6)=0,"",MEDIAN(K6:M6))</f>
        <v/>
      </c>
      <c r="O6" s="27" t="n"/>
      <c r="P6" s="38" t="n"/>
      <c r="Q6" s="27" t="n"/>
    </row>
    <row r="7">
      <c r="A7" s="27" t="n"/>
      <c r="B7" s="27" t="n"/>
      <c r="C7" s="27" t="n"/>
      <c r="D7" s="27" t="n"/>
      <c r="E7" s="27" t="n"/>
      <c r="F7" s="28" t="n"/>
      <c r="G7" s="38" t="n"/>
      <c r="H7" s="27" t="n"/>
      <c r="I7" s="28" t="n"/>
      <c r="J7" s="36" t="n"/>
      <c r="K7" s="38" t="n"/>
      <c r="L7" s="38" t="n"/>
      <c r="M7" s="38" t="n"/>
      <c r="N7" s="34">
        <f>IF(COUNT(K7:M7)=0,"",MEDIAN(K7:M7))</f>
        <v/>
      </c>
      <c r="O7" s="27" t="n"/>
      <c r="P7" s="38" t="n"/>
      <c r="Q7" s="27" t="n"/>
    </row>
    <row r="8">
      <c r="A8" s="27" t="n"/>
      <c r="B8" s="27" t="n"/>
      <c r="C8" s="27" t="n"/>
      <c r="D8" s="27" t="n"/>
      <c r="E8" s="27" t="n"/>
      <c r="F8" s="28" t="n"/>
      <c r="G8" s="38" t="n"/>
      <c r="H8" s="27" t="n"/>
      <c r="I8" s="28" t="n"/>
      <c r="J8" s="36" t="n"/>
      <c r="K8" s="38" t="n"/>
      <c r="L8" s="38" t="n"/>
      <c r="M8" s="38" t="n"/>
      <c r="N8" s="34">
        <f>IF(COUNT(K8:M8)=0,"",MEDIAN(K8:M8))</f>
        <v/>
      </c>
      <c r="O8" s="27" t="n"/>
      <c r="P8" s="38" t="n"/>
      <c r="Q8" s="27" t="n"/>
    </row>
    <row r="9">
      <c r="A9" s="27" t="n"/>
      <c r="B9" s="27" t="n"/>
      <c r="C9" s="27" t="n"/>
      <c r="D9" s="27" t="n"/>
      <c r="E9" s="27" t="n"/>
      <c r="F9" s="28" t="n"/>
      <c r="G9" s="38" t="n"/>
      <c r="H9" s="27" t="n"/>
      <c r="I9" s="28" t="n"/>
      <c r="J9" s="36" t="n"/>
      <c r="K9" s="38" t="n"/>
      <c r="L9" s="38" t="n"/>
      <c r="M9" s="38" t="n"/>
      <c r="N9" s="34">
        <f>IF(COUNT(K9:M9)=0,"",MEDIAN(K9:M9))</f>
        <v/>
      </c>
      <c r="O9" s="27" t="n"/>
      <c r="P9" s="38" t="n"/>
      <c r="Q9" s="27" t="n"/>
    </row>
    <row r="10">
      <c r="A10" s="27" t="n"/>
      <c r="B10" s="27" t="n"/>
      <c r="C10" s="27" t="n"/>
      <c r="D10" s="27" t="n"/>
      <c r="E10" s="27" t="n"/>
      <c r="F10" s="28" t="n"/>
      <c r="G10" s="38" t="n"/>
      <c r="H10" s="27" t="n"/>
      <c r="I10" s="28" t="n"/>
      <c r="J10" s="36" t="n"/>
      <c r="K10" s="38" t="n"/>
      <c r="L10" s="38" t="n"/>
      <c r="M10" s="38" t="n"/>
      <c r="N10" s="34">
        <f>IF(COUNT(K10:M10)=0,"",MEDIAN(K10:M10))</f>
        <v/>
      </c>
      <c r="O10" s="27" t="n"/>
      <c r="P10" s="38" t="n"/>
      <c r="Q10" s="27" t="n"/>
    </row>
    <row r="11">
      <c r="A11" s="27" t="n"/>
      <c r="B11" s="27" t="n"/>
      <c r="C11" s="27" t="n"/>
      <c r="D11" s="27" t="n"/>
      <c r="E11" s="27" t="n"/>
      <c r="F11" s="28" t="n"/>
      <c r="G11" s="38" t="n"/>
      <c r="H11" s="27" t="n"/>
      <c r="I11" s="28" t="n"/>
      <c r="J11" s="36" t="n"/>
      <c r="K11" s="38" t="n"/>
      <c r="L11" s="38" t="n"/>
      <c r="M11" s="38" t="n"/>
      <c r="N11" s="34">
        <f>IF(COUNT(K11:M11)=0,"",MEDIAN(K11:M11))</f>
        <v/>
      </c>
      <c r="O11" s="27" t="n"/>
      <c r="P11" s="38" t="n"/>
      <c r="Q11" s="27" t="n"/>
    </row>
    <row r="12">
      <c r="A12" s="27" t="n"/>
      <c r="B12" s="27" t="n"/>
      <c r="C12" s="27" t="n"/>
      <c r="D12" s="27" t="n"/>
      <c r="E12" s="27" t="n"/>
      <c r="F12" s="28" t="n"/>
      <c r="G12" s="38" t="n"/>
      <c r="H12" s="27" t="n"/>
      <c r="I12" s="28" t="n"/>
      <c r="J12" s="36" t="n"/>
      <c r="K12" s="38" t="n"/>
      <c r="L12" s="38" t="n"/>
      <c r="M12" s="38" t="n"/>
      <c r="N12" s="34">
        <f>IF(COUNT(K12:M12)=0,"",MEDIAN(K12:M12))</f>
        <v/>
      </c>
      <c r="O12" s="27" t="n"/>
      <c r="P12" s="38" t="n"/>
      <c r="Q12" s="27" t="n"/>
    </row>
    <row r="13">
      <c r="A13" s="27" t="n"/>
      <c r="B13" s="27" t="n"/>
      <c r="C13" s="27" t="n"/>
      <c r="D13" s="27" t="n"/>
      <c r="E13" s="27" t="n"/>
      <c r="F13" s="28" t="n"/>
      <c r="G13" s="38" t="n"/>
      <c r="H13" s="27" t="n"/>
      <c r="I13" s="28" t="n"/>
      <c r="J13" s="36" t="n"/>
      <c r="K13" s="38" t="n"/>
      <c r="L13" s="38" t="n"/>
      <c r="M13" s="38" t="n"/>
      <c r="N13" s="34">
        <f>IF(COUNT(K13:M13)=0,"",MEDIAN(K13:M13))</f>
        <v/>
      </c>
      <c r="O13" s="27" t="n"/>
      <c r="P13" s="38" t="n"/>
      <c r="Q13" s="27" t="n"/>
    </row>
    <row r="14">
      <c r="A14" s="27" t="n"/>
      <c r="B14" s="27" t="n"/>
      <c r="C14" s="27" t="n"/>
      <c r="D14" s="27" t="n"/>
      <c r="E14" s="27" t="n"/>
      <c r="F14" s="28" t="n"/>
      <c r="G14" s="38" t="n"/>
      <c r="H14" s="27" t="n"/>
      <c r="I14" s="28" t="n"/>
      <c r="J14" s="36" t="n"/>
      <c r="K14" s="38" t="n"/>
      <c r="L14" s="38" t="n"/>
      <c r="M14" s="38" t="n"/>
      <c r="N14" s="34">
        <f>IF(COUNT(K14:M14)=0,"",MEDIAN(K14:M14))</f>
        <v/>
      </c>
      <c r="O14" s="27" t="n"/>
      <c r="P14" s="38" t="n"/>
      <c r="Q14" s="27" t="n"/>
    </row>
    <row r="15">
      <c r="A15" s="27" t="n"/>
      <c r="B15" s="27" t="n"/>
      <c r="C15" s="27" t="n"/>
      <c r="D15" s="27" t="n"/>
      <c r="E15" s="27" t="n"/>
      <c r="F15" s="28" t="n"/>
      <c r="G15" s="38" t="n"/>
      <c r="H15" s="27" t="n"/>
      <c r="I15" s="28" t="n"/>
      <c r="J15" s="36" t="n"/>
      <c r="K15" s="38" t="n"/>
      <c r="L15" s="38" t="n"/>
      <c r="M15" s="38" t="n"/>
      <c r="N15" s="34">
        <f>IF(COUNT(K15:M15)=0,"",MEDIAN(K15:M15))</f>
        <v/>
      </c>
      <c r="O15" s="27" t="n"/>
      <c r="P15" s="38" t="n"/>
      <c r="Q15" s="27" t="n"/>
    </row>
    <row r="16">
      <c r="A16" s="27" t="n"/>
      <c r="B16" s="27" t="n"/>
      <c r="C16" s="27" t="n"/>
      <c r="D16" s="27" t="n"/>
      <c r="E16" s="27" t="n"/>
      <c r="F16" s="28" t="n"/>
      <c r="G16" s="38" t="n"/>
      <c r="H16" s="27" t="n"/>
      <c r="I16" s="28" t="n"/>
      <c r="J16" s="36" t="n"/>
      <c r="K16" s="38" t="n"/>
      <c r="L16" s="38" t="n"/>
      <c r="M16" s="38" t="n"/>
      <c r="N16" s="34">
        <f>IF(COUNT(K16:M16)=0,"",MEDIAN(K16:M16))</f>
        <v/>
      </c>
      <c r="O16" s="27" t="n"/>
      <c r="P16" s="38" t="n"/>
      <c r="Q16" s="27" t="n"/>
    </row>
    <row r="17">
      <c r="A17" s="27" t="n"/>
      <c r="B17" s="27" t="n"/>
      <c r="C17" s="27" t="n"/>
      <c r="D17" s="27" t="n"/>
      <c r="E17" s="27" t="n"/>
      <c r="F17" s="28" t="n"/>
      <c r="G17" s="38" t="n"/>
      <c r="H17" s="27" t="n"/>
      <c r="I17" s="28" t="n"/>
      <c r="J17" s="36" t="n"/>
      <c r="K17" s="38" t="n"/>
      <c r="L17" s="38" t="n"/>
      <c r="M17" s="38" t="n"/>
      <c r="N17" s="34">
        <f>IF(COUNT(K17:M17)=0,"",MEDIAN(K17:M17))</f>
        <v/>
      </c>
      <c r="O17" s="27" t="n"/>
      <c r="P17" s="38" t="n"/>
      <c r="Q17" s="27" t="n"/>
    </row>
    <row r="18">
      <c r="A18" s="27" t="n"/>
      <c r="B18" s="27" t="n"/>
      <c r="C18" s="27" t="n"/>
      <c r="D18" s="27" t="n"/>
      <c r="E18" s="27" t="n"/>
      <c r="F18" s="28" t="n"/>
      <c r="G18" s="38" t="n"/>
      <c r="H18" s="27" t="n"/>
      <c r="I18" s="28" t="n"/>
      <c r="J18" s="36" t="n"/>
      <c r="K18" s="38" t="n"/>
      <c r="L18" s="38" t="n"/>
      <c r="M18" s="38" t="n"/>
      <c r="N18" s="34">
        <f>IF(COUNT(K18:M18)=0,"",MEDIAN(K18:M18))</f>
        <v/>
      </c>
      <c r="O18" s="27" t="n"/>
      <c r="P18" s="38" t="n"/>
      <c r="Q18" s="27" t="n"/>
    </row>
    <row r="19">
      <c r="A19" s="27" t="n"/>
      <c r="B19" s="27" t="n"/>
      <c r="C19" s="27" t="n"/>
      <c r="D19" s="27" t="n"/>
      <c r="E19" s="27" t="n"/>
      <c r="F19" s="28" t="n"/>
      <c r="G19" s="38" t="n"/>
      <c r="H19" s="27" t="n"/>
      <c r="I19" s="28" t="n"/>
      <c r="J19" s="36" t="n"/>
      <c r="K19" s="38" t="n"/>
      <c r="L19" s="38" t="n"/>
      <c r="M19" s="38" t="n"/>
      <c r="N19" s="34">
        <f>IF(COUNT(K19:M19)=0,"",MEDIAN(K19:M19))</f>
        <v/>
      </c>
      <c r="O19" s="27" t="n"/>
      <c r="P19" s="38" t="n"/>
      <c r="Q19" s="27" t="n"/>
    </row>
    <row r="20">
      <c r="A20" s="27" t="n"/>
      <c r="B20" s="27" t="n"/>
      <c r="C20" s="27" t="n"/>
      <c r="D20" s="27" t="n"/>
      <c r="E20" s="27" t="n"/>
      <c r="F20" s="28" t="n"/>
      <c r="G20" s="38" t="n"/>
      <c r="H20" s="27" t="n"/>
      <c r="I20" s="28" t="n"/>
      <c r="J20" s="36" t="n"/>
      <c r="K20" s="38" t="n"/>
      <c r="L20" s="38" t="n"/>
      <c r="M20" s="38" t="n"/>
      <c r="N20" s="34">
        <f>IF(COUNT(K20:M20)=0,"",MEDIAN(K20:M20))</f>
        <v/>
      </c>
      <c r="O20" s="27" t="n"/>
      <c r="P20" s="38" t="n"/>
      <c r="Q20" s="27" t="n"/>
    </row>
    <row r="21">
      <c r="A21" s="27" t="n"/>
      <c r="B21" s="27" t="n"/>
      <c r="C21" s="27" t="n"/>
      <c r="D21" s="27" t="n"/>
      <c r="E21" s="27" t="n"/>
      <c r="F21" s="28" t="n"/>
      <c r="G21" s="38" t="n"/>
      <c r="H21" s="27" t="n"/>
      <c r="I21" s="28" t="n"/>
      <c r="J21" s="36" t="n"/>
      <c r="K21" s="38" t="n"/>
      <c r="L21" s="38" t="n"/>
      <c r="M21" s="38" t="n"/>
      <c r="N21" s="34">
        <f>IF(COUNT(K21:M21)=0,"",MEDIAN(K21:M21))</f>
        <v/>
      </c>
      <c r="O21" s="27" t="n"/>
      <c r="P21" s="38" t="n"/>
      <c r="Q21" s="27" t="n"/>
    </row>
    <row r="22">
      <c r="A22" s="27" t="n"/>
      <c r="B22" s="27" t="n"/>
      <c r="C22" s="27" t="n"/>
      <c r="D22" s="27" t="n"/>
      <c r="E22" s="27" t="n"/>
      <c r="F22" s="28" t="n"/>
      <c r="G22" s="38" t="n"/>
      <c r="H22" s="27" t="n"/>
      <c r="I22" s="28" t="n"/>
      <c r="J22" s="36" t="n"/>
      <c r="K22" s="38" t="n"/>
      <c r="L22" s="38" t="n"/>
      <c r="M22" s="38" t="n"/>
      <c r="N22" s="34">
        <f>IF(COUNT(K22:M22)=0,"",MEDIAN(K22:M22))</f>
        <v/>
      </c>
      <c r="O22" s="27" t="n"/>
      <c r="P22" s="38" t="n"/>
      <c r="Q22" s="27" t="n"/>
    </row>
    <row r="23">
      <c r="A23" s="27" t="n"/>
      <c r="B23" s="27" t="n"/>
      <c r="C23" s="27" t="n"/>
      <c r="D23" s="27" t="n"/>
      <c r="E23" s="27" t="n"/>
      <c r="F23" s="28" t="n"/>
      <c r="G23" s="38" t="n"/>
      <c r="H23" s="27" t="n"/>
      <c r="I23" s="28" t="n"/>
      <c r="J23" s="36" t="n"/>
      <c r="K23" s="38" t="n"/>
      <c r="L23" s="38" t="n"/>
      <c r="M23" s="38" t="n"/>
      <c r="N23" s="34">
        <f>IF(COUNT(K23:M23)=0,"",MEDIAN(K23:M23))</f>
        <v/>
      </c>
      <c r="O23" s="27" t="n"/>
      <c r="P23" s="38" t="n"/>
      <c r="Q23" s="27" t="n"/>
    </row>
    <row r="24">
      <c r="A24" s="27" t="n"/>
      <c r="B24" s="27" t="n"/>
      <c r="C24" s="27" t="n"/>
      <c r="D24" s="27" t="n"/>
      <c r="E24" s="27" t="n"/>
      <c r="F24" s="28" t="n"/>
      <c r="G24" s="38" t="n"/>
      <c r="H24" s="27" t="n"/>
      <c r="I24" s="28" t="n"/>
      <c r="J24" s="36" t="n"/>
      <c r="K24" s="38" t="n"/>
      <c r="L24" s="38" t="n"/>
      <c r="M24" s="38" t="n"/>
      <c r="N24" s="34">
        <f>IF(COUNT(K24:M24)=0,"",MEDIAN(K24:M24))</f>
        <v/>
      </c>
      <c r="O24" s="27" t="n"/>
      <c r="P24" s="38" t="n"/>
      <c r="Q24" s="27" t="n"/>
    </row>
    <row r="25">
      <c r="A25" s="27" t="n"/>
      <c r="B25" s="27" t="n"/>
      <c r="C25" s="27" t="n"/>
      <c r="D25" s="27" t="n"/>
      <c r="E25" s="27" t="n"/>
      <c r="F25" s="28" t="n"/>
      <c r="G25" s="38" t="n"/>
      <c r="H25" s="27" t="n"/>
      <c r="I25" s="28" t="n"/>
      <c r="J25" s="36" t="n"/>
      <c r="K25" s="38" t="n"/>
      <c r="L25" s="38" t="n"/>
      <c r="M25" s="38" t="n"/>
      <c r="N25" s="34">
        <f>IF(COUNT(K25:M25)=0,"",MEDIAN(K25:M25))</f>
        <v/>
      </c>
      <c r="O25" s="27" t="n"/>
      <c r="P25" s="38" t="n"/>
      <c r="Q25" s="27" t="n"/>
    </row>
    <row r="26">
      <c r="A26" s="27" t="n"/>
      <c r="B26" s="27" t="n"/>
      <c r="C26" s="27" t="n"/>
      <c r="D26" s="27" t="n"/>
      <c r="E26" s="27" t="n"/>
      <c r="F26" s="28" t="n"/>
      <c r="G26" s="38" t="n"/>
      <c r="H26" s="27" t="n"/>
      <c r="I26" s="28" t="n"/>
      <c r="J26" s="36" t="n"/>
      <c r="K26" s="38" t="n"/>
      <c r="L26" s="38" t="n"/>
      <c r="M26" s="38" t="n"/>
      <c r="N26" s="34">
        <f>IF(COUNT(K26:M26)=0,"",MEDIAN(K26:M26))</f>
        <v/>
      </c>
      <c r="O26" s="27" t="n"/>
      <c r="P26" s="38" t="n"/>
      <c r="Q26" s="27" t="n"/>
    </row>
    <row r="27">
      <c r="A27" s="27" t="n"/>
      <c r="B27" s="27" t="n"/>
      <c r="C27" s="27" t="n"/>
      <c r="D27" s="27" t="n"/>
      <c r="E27" s="27" t="n"/>
      <c r="F27" s="28" t="n"/>
      <c r="G27" s="38" t="n"/>
      <c r="H27" s="27" t="n"/>
      <c r="I27" s="28" t="n"/>
      <c r="J27" s="36" t="n"/>
      <c r="K27" s="38" t="n"/>
      <c r="L27" s="38" t="n"/>
      <c r="M27" s="38" t="n"/>
      <c r="N27" s="34">
        <f>IF(COUNT(K27:M27)=0,"",MEDIAN(K27:M27))</f>
        <v/>
      </c>
      <c r="O27" s="27" t="n"/>
      <c r="P27" s="38" t="n"/>
      <c r="Q27" s="27" t="n"/>
    </row>
    <row r="28">
      <c r="A28" s="27" t="n"/>
      <c r="B28" s="27" t="n"/>
      <c r="C28" s="27" t="n"/>
      <c r="D28" s="27" t="n"/>
      <c r="E28" s="27" t="n"/>
      <c r="F28" s="28" t="n"/>
      <c r="G28" s="38" t="n"/>
      <c r="H28" s="27" t="n"/>
      <c r="I28" s="28" t="n"/>
      <c r="J28" s="36" t="n"/>
      <c r="K28" s="38" t="n"/>
      <c r="L28" s="38" t="n"/>
      <c r="M28" s="38" t="n"/>
      <c r="N28" s="34">
        <f>IF(COUNT(K28:M28)=0,"",MEDIAN(K28:M28))</f>
        <v/>
      </c>
      <c r="O28" s="27" t="n"/>
      <c r="P28" s="38" t="n"/>
      <c r="Q28" s="27" t="n"/>
    </row>
    <row r="29">
      <c r="A29" s="27" t="n"/>
      <c r="B29" s="27" t="n"/>
      <c r="C29" s="27" t="n"/>
      <c r="D29" s="27" t="n"/>
      <c r="E29" s="27" t="n"/>
      <c r="F29" s="28" t="n"/>
      <c r="G29" s="38" t="n"/>
      <c r="H29" s="27" t="n"/>
      <c r="I29" s="28" t="n"/>
      <c r="J29" s="36" t="n"/>
      <c r="K29" s="38" t="n"/>
      <c r="L29" s="38" t="n"/>
      <c r="M29" s="38" t="n"/>
      <c r="N29" s="34">
        <f>IF(COUNT(K29:M29)=0,"",MEDIAN(K29:M29))</f>
        <v/>
      </c>
      <c r="O29" s="27" t="n"/>
      <c r="P29" s="38" t="n"/>
      <c r="Q29" s="27" t="n"/>
    </row>
    <row r="30">
      <c r="A30" s="27" t="n"/>
      <c r="B30" s="27" t="n"/>
      <c r="C30" s="27" t="n"/>
      <c r="D30" s="27" t="n"/>
      <c r="E30" s="27" t="n"/>
      <c r="F30" s="28" t="n"/>
      <c r="G30" s="38" t="n"/>
      <c r="H30" s="27" t="n"/>
      <c r="I30" s="28" t="n"/>
      <c r="J30" s="36" t="n"/>
      <c r="K30" s="38" t="n"/>
      <c r="L30" s="38" t="n"/>
      <c r="M30" s="38" t="n"/>
      <c r="N30" s="34">
        <f>IF(COUNT(K30:M30)=0,"",MEDIAN(K30:M30))</f>
        <v/>
      </c>
      <c r="O30" s="27" t="n"/>
      <c r="P30" s="38" t="n"/>
      <c r="Q30" s="27" t="n"/>
    </row>
    <row r="31">
      <c r="A31" s="27" t="n"/>
      <c r="B31" s="27" t="n"/>
      <c r="C31" s="27" t="n"/>
      <c r="D31" s="27" t="n"/>
      <c r="E31" s="27" t="n"/>
      <c r="F31" s="28" t="n"/>
      <c r="G31" s="38" t="n"/>
      <c r="H31" s="27" t="n"/>
      <c r="I31" s="28" t="n"/>
      <c r="J31" s="36" t="n"/>
      <c r="K31" s="38" t="n"/>
      <c r="L31" s="38" t="n"/>
      <c r="M31" s="38" t="n"/>
      <c r="N31" s="34">
        <f>IF(COUNT(K31:M31)=0,"",MEDIAN(K31:M31))</f>
        <v/>
      </c>
      <c r="O31" s="27" t="n"/>
      <c r="P31" s="38" t="n"/>
      <c r="Q31" s="27" t="n"/>
    </row>
    <row r="32">
      <c r="A32" s="27" t="n"/>
      <c r="B32" s="27" t="n"/>
      <c r="C32" s="27" t="n"/>
      <c r="D32" s="27" t="n"/>
      <c r="E32" s="27" t="n"/>
      <c r="F32" s="28" t="n"/>
      <c r="G32" s="38" t="n"/>
      <c r="H32" s="27" t="n"/>
      <c r="I32" s="28" t="n"/>
      <c r="J32" s="36" t="n"/>
      <c r="K32" s="38" t="n"/>
      <c r="L32" s="38" t="n"/>
      <c r="M32" s="38" t="n"/>
      <c r="N32" s="34">
        <f>IF(COUNT(K32:M32)=0,"",MEDIAN(K32:M32))</f>
        <v/>
      </c>
      <c r="O32" s="27" t="n"/>
      <c r="P32" s="38" t="n"/>
      <c r="Q32" s="27" t="n"/>
    </row>
    <row r="33">
      <c r="A33" s="27" t="n"/>
      <c r="B33" s="27" t="n"/>
      <c r="C33" s="27" t="n"/>
      <c r="D33" s="27" t="n"/>
      <c r="E33" s="27" t="n"/>
      <c r="F33" s="28" t="n"/>
      <c r="G33" s="38" t="n"/>
      <c r="H33" s="27" t="n"/>
      <c r="I33" s="28" t="n"/>
      <c r="J33" s="36" t="n"/>
      <c r="K33" s="38" t="n"/>
      <c r="L33" s="38" t="n"/>
      <c r="M33" s="38" t="n"/>
      <c r="N33" s="34">
        <f>IF(COUNT(K33:M33)=0,"",MEDIAN(K33:M33))</f>
        <v/>
      </c>
      <c r="O33" s="27" t="n"/>
      <c r="P33" s="38" t="n"/>
      <c r="Q33" s="27" t="n"/>
    </row>
    <row r="34">
      <c r="A34" s="27" t="n"/>
      <c r="B34" s="27" t="n"/>
      <c r="C34" s="27" t="n"/>
      <c r="D34" s="27" t="n"/>
      <c r="E34" s="27" t="n"/>
      <c r="F34" s="28" t="n"/>
      <c r="G34" s="38" t="n"/>
      <c r="H34" s="27" t="n"/>
      <c r="I34" s="28" t="n"/>
      <c r="J34" s="36" t="n"/>
      <c r="K34" s="38" t="n"/>
      <c r="L34" s="38" t="n"/>
      <c r="M34" s="38" t="n"/>
      <c r="N34" s="34">
        <f>IF(COUNT(K34:M34)=0,"",MEDIAN(K34:M34))</f>
        <v/>
      </c>
      <c r="O34" s="27" t="n"/>
      <c r="P34" s="38" t="n"/>
      <c r="Q34" s="27" t="n"/>
    </row>
    <row r="35">
      <c r="A35" s="27" t="n"/>
      <c r="B35" s="27" t="n"/>
      <c r="C35" s="27" t="n"/>
      <c r="D35" s="27" t="n"/>
      <c r="E35" s="27" t="n"/>
      <c r="F35" s="28" t="n"/>
      <c r="G35" s="38" t="n"/>
      <c r="H35" s="27" t="n"/>
      <c r="I35" s="28" t="n"/>
      <c r="J35" s="36" t="n"/>
      <c r="K35" s="38" t="n"/>
      <c r="L35" s="38" t="n"/>
      <c r="M35" s="38" t="n"/>
      <c r="N35" s="34">
        <f>IF(COUNT(K35:M35)=0,"",MEDIAN(K35:M35))</f>
        <v/>
      </c>
      <c r="O35" s="27" t="n"/>
      <c r="P35" s="38" t="n"/>
      <c r="Q35" s="27" t="n"/>
    </row>
    <row r="36">
      <c r="A36" s="27" t="n"/>
      <c r="B36" s="27" t="n"/>
      <c r="C36" s="27" t="n"/>
      <c r="D36" s="27" t="n"/>
      <c r="E36" s="27" t="n"/>
      <c r="F36" s="28" t="n"/>
      <c r="G36" s="38" t="n"/>
      <c r="H36" s="27" t="n"/>
      <c r="I36" s="28" t="n"/>
      <c r="J36" s="36" t="n"/>
      <c r="K36" s="38" t="n"/>
      <c r="L36" s="38" t="n"/>
      <c r="M36" s="38" t="n"/>
      <c r="N36" s="34">
        <f>IF(COUNT(K36:M36)=0,"",MEDIAN(K36:M36))</f>
        <v/>
      </c>
      <c r="O36" s="27" t="n"/>
      <c r="P36" s="38" t="n"/>
      <c r="Q36" s="27" t="n"/>
    </row>
    <row r="37">
      <c r="A37" s="27" t="n"/>
      <c r="B37" s="27" t="n"/>
      <c r="C37" s="27" t="n"/>
      <c r="D37" s="27" t="n"/>
      <c r="E37" s="27" t="n"/>
      <c r="F37" s="28" t="n"/>
      <c r="G37" s="38" t="n"/>
      <c r="H37" s="27" t="n"/>
      <c r="I37" s="28" t="n"/>
      <c r="J37" s="36" t="n"/>
      <c r="K37" s="38" t="n"/>
      <c r="L37" s="38" t="n"/>
      <c r="M37" s="38" t="n"/>
      <c r="N37" s="34">
        <f>IF(COUNT(K37:M37)=0,"",MEDIAN(K37:M37))</f>
        <v/>
      </c>
      <c r="O37" s="27" t="n"/>
      <c r="P37" s="38" t="n"/>
      <c r="Q37" s="27" t="n"/>
    </row>
    <row r="38">
      <c r="A38" s="27" t="n"/>
      <c r="B38" s="27" t="n"/>
      <c r="C38" s="27" t="n"/>
      <c r="D38" s="27" t="n"/>
      <c r="E38" s="27" t="n"/>
      <c r="F38" s="28" t="n"/>
      <c r="G38" s="38" t="n"/>
      <c r="H38" s="27" t="n"/>
      <c r="I38" s="28" t="n"/>
      <c r="J38" s="36" t="n"/>
      <c r="K38" s="38" t="n"/>
      <c r="L38" s="38" t="n"/>
      <c r="M38" s="38" t="n"/>
      <c r="N38" s="34">
        <f>IF(COUNT(K38:M38)=0,"",MEDIAN(K38:M38))</f>
        <v/>
      </c>
      <c r="O38" s="27" t="n"/>
      <c r="P38" s="38" t="n"/>
      <c r="Q38" s="27" t="n"/>
    </row>
    <row r="39">
      <c r="A39" s="27" t="n"/>
      <c r="B39" s="27" t="n"/>
      <c r="C39" s="27" t="n"/>
      <c r="D39" s="27" t="n"/>
      <c r="E39" s="27" t="n"/>
      <c r="F39" s="28" t="n"/>
      <c r="G39" s="38" t="n"/>
      <c r="H39" s="27" t="n"/>
      <c r="I39" s="28" t="n"/>
      <c r="J39" s="36" t="n"/>
      <c r="K39" s="38" t="n"/>
      <c r="L39" s="38" t="n"/>
      <c r="M39" s="38" t="n"/>
      <c r="N39" s="34">
        <f>IF(COUNT(K39:M39)=0,"",MEDIAN(K39:M39))</f>
        <v/>
      </c>
      <c r="O39" s="27" t="n"/>
      <c r="P39" s="38" t="n"/>
      <c r="Q39" s="27" t="n"/>
    </row>
    <row r="40">
      <c r="A40" s="27" t="n"/>
      <c r="B40" s="27" t="n"/>
      <c r="C40" s="27" t="n"/>
      <c r="D40" s="27" t="n"/>
      <c r="E40" s="27" t="n"/>
      <c r="F40" s="28" t="n"/>
      <c r="G40" s="38" t="n"/>
      <c r="H40" s="27" t="n"/>
      <c r="I40" s="28" t="n"/>
      <c r="J40" s="36" t="n"/>
      <c r="K40" s="38" t="n"/>
      <c r="L40" s="38" t="n"/>
      <c r="M40" s="38" t="n"/>
      <c r="N40" s="34">
        <f>IF(COUNT(K40:M40)=0,"",MEDIAN(K40:M40))</f>
        <v/>
      </c>
      <c r="O40" s="27" t="n"/>
      <c r="P40" s="38" t="n"/>
      <c r="Q40" s="27" t="n"/>
    </row>
    <row r="41">
      <c r="A41" s="27" t="n"/>
      <c r="B41" s="27" t="n"/>
      <c r="C41" s="27" t="n"/>
      <c r="D41" s="27" t="n"/>
      <c r="E41" s="27" t="n"/>
      <c r="F41" s="28" t="n"/>
      <c r="G41" s="38" t="n"/>
      <c r="H41" s="27" t="n"/>
      <c r="I41" s="28" t="n"/>
      <c r="J41" s="36" t="n"/>
      <c r="K41" s="38" t="n"/>
      <c r="L41" s="38" t="n"/>
      <c r="M41" s="38" t="n"/>
      <c r="N41" s="34">
        <f>IF(COUNT(K41:M41)=0,"",MEDIAN(K41:M41))</f>
        <v/>
      </c>
      <c r="O41" s="27" t="n"/>
      <c r="P41" s="38" t="n"/>
      <c r="Q41" s="27" t="n"/>
    </row>
    <row r="42">
      <c r="A42" s="27" t="n"/>
      <c r="B42" s="27" t="n"/>
      <c r="C42" s="27" t="n"/>
      <c r="D42" s="27" t="n"/>
      <c r="E42" s="27" t="n"/>
      <c r="F42" s="28" t="n"/>
      <c r="G42" s="38" t="n"/>
      <c r="H42" s="27" t="n"/>
      <c r="I42" s="28" t="n"/>
      <c r="J42" s="36" t="n"/>
      <c r="K42" s="38" t="n"/>
      <c r="L42" s="38" t="n"/>
      <c r="M42" s="38" t="n"/>
      <c r="N42" s="34">
        <f>IF(COUNT(K42:M42)=0,"",MEDIAN(K42:M42))</f>
        <v/>
      </c>
      <c r="O42" s="27" t="n"/>
      <c r="P42" s="38" t="n"/>
      <c r="Q42" s="27" t="n"/>
    </row>
    <row r="43">
      <c r="A43" s="27" t="n"/>
      <c r="B43" s="27" t="n"/>
      <c r="C43" s="27" t="n"/>
      <c r="D43" s="27" t="n"/>
      <c r="E43" s="27" t="n"/>
      <c r="F43" s="28" t="n"/>
      <c r="G43" s="38" t="n"/>
      <c r="H43" s="27" t="n"/>
      <c r="I43" s="28" t="n"/>
      <c r="J43" s="36" t="n"/>
      <c r="K43" s="38" t="n"/>
      <c r="L43" s="38" t="n"/>
      <c r="M43" s="38" t="n"/>
      <c r="N43" s="34">
        <f>IF(COUNT(K43:M43)=0,"",MEDIAN(K43:M43))</f>
        <v/>
      </c>
      <c r="O43" s="27" t="n"/>
      <c r="P43" s="38" t="n"/>
      <c r="Q43" s="27" t="n"/>
    </row>
    <row r="44">
      <c r="A44" s="27" t="n"/>
      <c r="B44" s="27" t="n"/>
      <c r="C44" s="27" t="n"/>
      <c r="D44" s="27" t="n"/>
      <c r="E44" s="27" t="n"/>
      <c r="F44" s="28" t="n"/>
      <c r="G44" s="38" t="n"/>
      <c r="H44" s="27" t="n"/>
      <c r="I44" s="28" t="n"/>
      <c r="J44" s="36" t="n"/>
      <c r="K44" s="38" t="n"/>
      <c r="L44" s="38" t="n"/>
      <c r="M44" s="38" t="n"/>
      <c r="N44" s="34">
        <f>IF(COUNT(K44:M44)=0,"",MEDIAN(K44:M44))</f>
        <v/>
      </c>
      <c r="O44" s="27" t="n"/>
      <c r="P44" s="38" t="n"/>
      <c r="Q44" s="27" t="n"/>
    </row>
    <row r="45">
      <c r="A45" s="27" t="n"/>
      <c r="B45" s="27" t="n"/>
      <c r="C45" s="27" t="n"/>
      <c r="D45" s="27" t="n"/>
      <c r="E45" s="27" t="n"/>
      <c r="F45" s="28" t="n"/>
      <c r="G45" s="38" t="n"/>
      <c r="H45" s="27" t="n"/>
      <c r="I45" s="28" t="n"/>
      <c r="J45" s="36" t="n"/>
      <c r="K45" s="38" t="n"/>
      <c r="L45" s="38" t="n"/>
      <c r="M45" s="38" t="n"/>
      <c r="N45" s="34">
        <f>IF(COUNT(K45:M45)=0,"",MEDIAN(K45:M45))</f>
        <v/>
      </c>
      <c r="O45" s="27" t="n"/>
      <c r="P45" s="38" t="n"/>
      <c r="Q45" s="27" t="n"/>
    </row>
    <row r="46">
      <c r="A46" s="27" t="n"/>
      <c r="B46" s="27" t="n"/>
      <c r="C46" s="27" t="n"/>
      <c r="D46" s="27" t="n"/>
      <c r="E46" s="27" t="n"/>
      <c r="F46" s="28" t="n"/>
      <c r="G46" s="38" t="n"/>
      <c r="H46" s="27" t="n"/>
      <c r="I46" s="28" t="n"/>
      <c r="J46" s="36" t="n"/>
      <c r="K46" s="38" t="n"/>
      <c r="L46" s="38" t="n"/>
      <c r="M46" s="38" t="n"/>
      <c r="N46" s="34">
        <f>IF(COUNT(K46:M46)=0,"",MEDIAN(K46:M46))</f>
        <v/>
      </c>
      <c r="O46" s="27" t="n"/>
      <c r="P46" s="38" t="n"/>
      <c r="Q46" s="27" t="n"/>
    </row>
    <row r="47">
      <c r="A47" s="27" t="n"/>
      <c r="B47" s="27" t="n"/>
      <c r="C47" s="27" t="n"/>
      <c r="D47" s="27" t="n"/>
      <c r="E47" s="27" t="n"/>
      <c r="F47" s="28" t="n"/>
      <c r="G47" s="38" t="n"/>
      <c r="H47" s="27" t="n"/>
      <c r="I47" s="28" t="n"/>
      <c r="J47" s="36" t="n"/>
      <c r="K47" s="38" t="n"/>
      <c r="L47" s="38" t="n"/>
      <c r="M47" s="38" t="n"/>
      <c r="N47" s="34">
        <f>IF(COUNT(K47:M47)=0,"",MEDIAN(K47:M47))</f>
        <v/>
      </c>
      <c r="O47" s="27" t="n"/>
      <c r="P47" s="38" t="n"/>
      <c r="Q47" s="27" t="n"/>
    </row>
    <row r="48">
      <c r="A48" s="27" t="n"/>
      <c r="B48" s="27" t="n"/>
      <c r="C48" s="27" t="n"/>
      <c r="D48" s="27" t="n"/>
      <c r="E48" s="27" t="n"/>
      <c r="F48" s="28" t="n"/>
      <c r="G48" s="38" t="n"/>
      <c r="H48" s="27" t="n"/>
      <c r="I48" s="28" t="n"/>
      <c r="J48" s="36" t="n"/>
      <c r="K48" s="38" t="n"/>
      <c r="L48" s="38" t="n"/>
      <c r="M48" s="38" t="n"/>
      <c r="N48" s="34">
        <f>IF(COUNT(K48:M48)=0,"",MEDIAN(K48:M48))</f>
        <v/>
      </c>
      <c r="O48" s="27" t="n"/>
      <c r="P48" s="38" t="n"/>
      <c r="Q48" s="27" t="n"/>
    </row>
    <row r="49">
      <c r="A49" s="27" t="n"/>
      <c r="B49" s="27" t="n"/>
      <c r="C49" s="27" t="n"/>
      <c r="D49" s="27" t="n"/>
      <c r="E49" s="27" t="n"/>
      <c r="F49" s="28" t="n"/>
      <c r="G49" s="38" t="n"/>
      <c r="H49" s="27" t="n"/>
      <c r="I49" s="28" t="n"/>
      <c r="J49" s="36" t="n"/>
      <c r="K49" s="38" t="n"/>
      <c r="L49" s="38" t="n"/>
      <c r="M49" s="38" t="n"/>
      <c r="N49" s="34">
        <f>IF(COUNT(K49:M49)=0,"",MEDIAN(K49:M49))</f>
        <v/>
      </c>
      <c r="O49" s="27" t="n"/>
      <c r="P49" s="38" t="n"/>
      <c r="Q49" s="27" t="n"/>
    </row>
    <row r="50">
      <c r="A50" s="27" t="n"/>
      <c r="B50" s="27" t="n"/>
      <c r="C50" s="27" t="n"/>
      <c r="D50" s="27" t="n"/>
      <c r="E50" s="27" t="n"/>
      <c r="F50" s="28" t="n"/>
      <c r="G50" s="38" t="n"/>
      <c r="H50" s="27" t="n"/>
      <c r="I50" s="28" t="n"/>
      <c r="J50" s="36" t="n"/>
      <c r="K50" s="38" t="n"/>
      <c r="L50" s="38" t="n"/>
      <c r="M50" s="38" t="n"/>
      <c r="N50" s="34">
        <f>IF(COUNT(K50:M50)=0,"",MEDIAN(K50:M50))</f>
        <v/>
      </c>
      <c r="O50" s="27" t="n"/>
      <c r="P50" s="38" t="n"/>
      <c r="Q50" s="27" t="n"/>
    </row>
    <row r="51">
      <c r="A51" s="27" t="n"/>
      <c r="B51" s="27" t="n"/>
      <c r="C51" s="27" t="n"/>
      <c r="D51" s="27" t="n"/>
      <c r="E51" s="27" t="n"/>
      <c r="F51" s="28" t="n"/>
      <c r="G51" s="38" t="n"/>
      <c r="H51" s="27" t="n"/>
      <c r="I51" s="28" t="n"/>
      <c r="J51" s="36" t="n"/>
      <c r="K51" s="38" t="n"/>
      <c r="L51" s="38" t="n"/>
      <c r="M51" s="38" t="n"/>
      <c r="N51" s="34">
        <f>IF(COUNT(K51:M51)=0,"",MEDIAN(K51:M51))</f>
        <v/>
      </c>
      <c r="O51" s="27" t="n"/>
      <c r="P51" s="38" t="n"/>
      <c r="Q51" s="27" t="n"/>
    </row>
    <row r="52">
      <c r="A52" s="27" t="n"/>
      <c r="B52" s="27" t="n"/>
      <c r="C52" s="27" t="n"/>
      <c r="D52" s="27" t="n"/>
      <c r="E52" s="27" t="n"/>
      <c r="F52" s="28" t="n"/>
      <c r="G52" s="38" t="n"/>
      <c r="H52" s="27" t="n"/>
      <c r="I52" s="28" t="n"/>
      <c r="J52" s="36" t="n"/>
      <c r="K52" s="38" t="n"/>
      <c r="L52" s="38" t="n"/>
      <c r="M52" s="38" t="n"/>
      <c r="N52" s="34">
        <f>IF(COUNT(K52:M52)=0,"",MEDIAN(K52:M52))</f>
        <v/>
      </c>
      <c r="O52" s="27" t="n"/>
      <c r="P52" s="38" t="n"/>
      <c r="Q52" s="27" t="n"/>
    </row>
    <row r="53">
      <c r="A53" s="27" t="n"/>
      <c r="B53" s="27" t="n"/>
      <c r="C53" s="27" t="n"/>
      <c r="D53" s="27" t="n"/>
      <c r="E53" s="27" t="n"/>
      <c r="F53" s="28" t="n"/>
      <c r="G53" s="38" t="n"/>
      <c r="H53" s="27" t="n"/>
      <c r="I53" s="28" t="n"/>
      <c r="J53" s="36" t="n"/>
      <c r="K53" s="38" t="n"/>
      <c r="L53" s="38" t="n"/>
      <c r="M53" s="38" t="n"/>
      <c r="N53" s="34">
        <f>IF(COUNT(K53:M53)=0,"",MEDIAN(K53:M53))</f>
        <v/>
      </c>
      <c r="O53" s="27" t="n"/>
      <c r="P53" s="38" t="n"/>
      <c r="Q53" s="27" t="n"/>
    </row>
    <row r="54">
      <c r="A54" s="27" t="n"/>
      <c r="B54" s="27" t="n"/>
      <c r="C54" s="27" t="n"/>
      <c r="D54" s="27" t="n"/>
      <c r="E54" s="27" t="n"/>
      <c r="F54" s="28" t="n"/>
      <c r="G54" s="38" t="n"/>
      <c r="H54" s="27" t="n"/>
      <c r="I54" s="28" t="n"/>
      <c r="J54" s="36" t="n"/>
      <c r="K54" s="38" t="n"/>
      <c r="L54" s="38" t="n"/>
      <c r="M54" s="38" t="n"/>
      <c r="N54" s="34">
        <f>IF(COUNT(K54:M54)=0,"",MEDIAN(K54:M54))</f>
        <v/>
      </c>
      <c r="O54" s="27" t="n"/>
      <c r="P54" s="38" t="n"/>
      <c r="Q54" s="27" t="n"/>
    </row>
    <row r="55">
      <c r="A55" s="27" t="n"/>
      <c r="B55" s="27" t="n"/>
      <c r="C55" s="27" t="n"/>
      <c r="D55" s="27" t="n"/>
      <c r="E55" s="27" t="n"/>
      <c r="F55" s="28" t="n"/>
      <c r="G55" s="38" t="n"/>
      <c r="H55" s="27" t="n"/>
      <c r="I55" s="28" t="n"/>
      <c r="J55" s="36" t="n"/>
      <c r="K55" s="38" t="n"/>
      <c r="L55" s="38" t="n"/>
      <c r="M55" s="38" t="n"/>
      <c r="N55" s="34">
        <f>IF(COUNT(K55:M55)=0,"",MEDIAN(K55:M55))</f>
        <v/>
      </c>
      <c r="O55" s="27" t="n"/>
      <c r="P55" s="38" t="n"/>
      <c r="Q55" s="27" t="n"/>
    </row>
    <row r="56">
      <c r="A56" s="27" t="n"/>
      <c r="B56" s="27" t="n"/>
      <c r="C56" s="27" t="n"/>
      <c r="D56" s="27" t="n"/>
      <c r="E56" s="27" t="n"/>
      <c r="F56" s="28" t="n"/>
      <c r="G56" s="38" t="n"/>
      <c r="H56" s="27" t="n"/>
      <c r="I56" s="28" t="n"/>
      <c r="J56" s="36" t="n"/>
      <c r="K56" s="38" t="n"/>
      <c r="L56" s="38" t="n"/>
      <c r="M56" s="38" t="n"/>
      <c r="N56" s="34">
        <f>IF(COUNT(K56:M56)=0,"",MEDIAN(K56:M56))</f>
        <v/>
      </c>
      <c r="O56" s="27" t="n"/>
      <c r="P56" s="38" t="n"/>
      <c r="Q56" s="27" t="n"/>
    </row>
    <row r="57">
      <c r="A57" s="27" t="n"/>
      <c r="B57" s="27" t="n"/>
      <c r="C57" s="27" t="n"/>
      <c r="D57" s="27" t="n"/>
      <c r="E57" s="27" t="n"/>
      <c r="F57" s="28" t="n"/>
      <c r="G57" s="38" t="n"/>
      <c r="H57" s="27" t="n"/>
      <c r="I57" s="28" t="n"/>
      <c r="J57" s="36" t="n"/>
      <c r="K57" s="38" t="n"/>
      <c r="L57" s="38" t="n"/>
      <c r="M57" s="38" t="n"/>
      <c r="N57" s="34">
        <f>IF(COUNT(K57:M57)=0,"",MEDIAN(K57:M57))</f>
        <v/>
      </c>
      <c r="O57" s="27" t="n"/>
      <c r="P57" s="38" t="n"/>
      <c r="Q57" s="27" t="n"/>
    </row>
    <row r="58">
      <c r="A58" s="27" t="n"/>
      <c r="B58" s="27" t="n"/>
      <c r="C58" s="27" t="n"/>
      <c r="D58" s="27" t="n"/>
      <c r="E58" s="27" t="n"/>
      <c r="F58" s="28" t="n"/>
      <c r="G58" s="38" t="n"/>
      <c r="H58" s="27" t="n"/>
      <c r="I58" s="28" t="n"/>
      <c r="J58" s="36" t="n"/>
      <c r="K58" s="38" t="n"/>
      <c r="L58" s="38" t="n"/>
      <c r="M58" s="38" t="n"/>
      <c r="N58" s="34">
        <f>IF(COUNT(K58:M58)=0,"",MEDIAN(K58:M58))</f>
        <v/>
      </c>
      <c r="O58" s="27" t="n"/>
      <c r="P58" s="38" t="n"/>
      <c r="Q58" s="27" t="n"/>
    </row>
    <row r="59">
      <c r="A59" s="27" t="n"/>
      <c r="B59" s="27" t="n"/>
      <c r="C59" s="27" t="n"/>
      <c r="D59" s="27" t="n"/>
      <c r="E59" s="27" t="n"/>
      <c r="F59" s="28" t="n"/>
      <c r="G59" s="38" t="n"/>
      <c r="H59" s="27" t="n"/>
      <c r="I59" s="28" t="n"/>
      <c r="J59" s="36" t="n"/>
      <c r="K59" s="38" t="n"/>
      <c r="L59" s="38" t="n"/>
      <c r="M59" s="38" t="n"/>
      <c r="N59" s="34">
        <f>IF(COUNT(K59:M59)=0,"",MEDIAN(K59:M59))</f>
        <v/>
      </c>
      <c r="O59" s="27" t="n"/>
      <c r="P59" s="38" t="n"/>
      <c r="Q59" s="27" t="n"/>
    </row>
    <row r="60">
      <c r="A60" s="27" t="n"/>
      <c r="B60" s="27" t="n"/>
      <c r="C60" s="27" t="n"/>
      <c r="D60" s="27" t="n"/>
      <c r="E60" s="27" t="n"/>
      <c r="F60" s="28" t="n"/>
      <c r="G60" s="38" t="n"/>
      <c r="H60" s="27" t="n"/>
      <c r="I60" s="28" t="n"/>
      <c r="J60" s="36" t="n"/>
      <c r="K60" s="38" t="n"/>
      <c r="L60" s="38" t="n"/>
      <c r="M60" s="38" t="n"/>
      <c r="N60" s="34">
        <f>IF(COUNT(K60:M60)=0,"",MEDIAN(K60:M60))</f>
        <v/>
      </c>
      <c r="O60" s="27" t="n"/>
      <c r="P60" s="38" t="n"/>
      <c r="Q60" s="27" t="n"/>
    </row>
    <row r="61">
      <c r="A61" s="27" t="n"/>
      <c r="B61" s="27" t="n"/>
      <c r="C61" s="27" t="n"/>
      <c r="D61" s="27" t="n"/>
      <c r="E61" s="27" t="n"/>
      <c r="F61" s="28" t="n"/>
      <c r="G61" s="38" t="n"/>
      <c r="H61" s="27" t="n"/>
      <c r="I61" s="28" t="n"/>
      <c r="J61" s="36" t="n"/>
      <c r="K61" s="38" t="n"/>
      <c r="L61" s="38" t="n"/>
      <c r="M61" s="38" t="n"/>
      <c r="N61" s="34">
        <f>IF(COUNT(K61:M61)=0,"",MEDIAN(K61:M61))</f>
        <v/>
      </c>
      <c r="O61" s="27" t="n"/>
      <c r="P61" s="38" t="n"/>
      <c r="Q61" s="27" t="n"/>
    </row>
    <row r="62">
      <c r="A62" s="27" t="n"/>
      <c r="B62" s="27" t="n"/>
      <c r="C62" s="27" t="n"/>
      <c r="D62" s="27" t="n"/>
      <c r="E62" s="27" t="n"/>
      <c r="F62" s="28" t="n"/>
      <c r="G62" s="38" t="n"/>
      <c r="H62" s="27" t="n"/>
      <c r="I62" s="28" t="n"/>
      <c r="J62" s="36" t="n"/>
      <c r="K62" s="38" t="n"/>
      <c r="L62" s="38" t="n"/>
      <c r="M62" s="38" t="n"/>
      <c r="N62" s="34">
        <f>IF(COUNT(K62:M62)=0,"",MEDIAN(K62:M62))</f>
        <v/>
      </c>
      <c r="O62" s="27" t="n"/>
      <c r="P62" s="38" t="n"/>
      <c r="Q62" s="27" t="n"/>
    </row>
    <row r="63">
      <c r="A63" s="27" t="n"/>
      <c r="B63" s="27" t="n"/>
      <c r="C63" s="27" t="n"/>
      <c r="D63" s="27" t="n"/>
      <c r="E63" s="27" t="n"/>
      <c r="F63" s="28" t="n"/>
      <c r="G63" s="38" t="n"/>
      <c r="H63" s="27" t="n"/>
      <c r="I63" s="28" t="n"/>
      <c r="J63" s="36" t="n"/>
      <c r="K63" s="38" t="n"/>
      <c r="L63" s="38" t="n"/>
      <c r="M63" s="38" t="n"/>
      <c r="N63" s="34">
        <f>IF(COUNT(K63:M63)=0,"",MEDIAN(K63:M63))</f>
        <v/>
      </c>
      <c r="O63" s="27" t="n"/>
      <c r="P63" s="38" t="n"/>
      <c r="Q63" s="27" t="n"/>
    </row>
    <row r="64">
      <c r="A64" s="27" t="n"/>
      <c r="B64" s="27" t="n"/>
      <c r="C64" s="27" t="n"/>
      <c r="D64" s="27" t="n"/>
      <c r="E64" s="27" t="n"/>
      <c r="F64" s="28" t="n"/>
      <c r="G64" s="38" t="n"/>
      <c r="H64" s="27" t="n"/>
      <c r="I64" s="28" t="n"/>
      <c r="J64" s="36" t="n"/>
      <c r="K64" s="38" t="n"/>
      <c r="L64" s="38" t="n"/>
      <c r="M64" s="38" t="n"/>
      <c r="N64" s="34">
        <f>IF(COUNT(K64:M64)=0,"",MEDIAN(K64:M64))</f>
        <v/>
      </c>
      <c r="O64" s="27" t="n"/>
      <c r="P64" s="38" t="n"/>
      <c r="Q64" s="27" t="n"/>
    </row>
    <row r="65">
      <c r="A65" s="27" t="n"/>
      <c r="B65" s="27" t="n"/>
      <c r="C65" s="27" t="n"/>
      <c r="D65" s="27" t="n"/>
      <c r="E65" s="27" t="n"/>
      <c r="F65" s="28" t="n"/>
      <c r="G65" s="38" t="n"/>
      <c r="H65" s="27" t="n"/>
      <c r="I65" s="28" t="n"/>
      <c r="J65" s="36" t="n"/>
      <c r="K65" s="38" t="n"/>
      <c r="L65" s="38" t="n"/>
      <c r="M65" s="38" t="n"/>
      <c r="N65" s="34">
        <f>IF(COUNT(K65:M65)=0,"",MEDIAN(K65:M65))</f>
        <v/>
      </c>
      <c r="O65" s="27" t="n"/>
      <c r="P65" s="38" t="n"/>
      <c r="Q65" s="27" t="n"/>
    </row>
    <row r="66">
      <c r="A66" s="27" t="n"/>
      <c r="B66" s="27" t="n"/>
      <c r="C66" s="27" t="n"/>
      <c r="D66" s="27" t="n"/>
      <c r="E66" s="27" t="n"/>
      <c r="F66" s="28" t="n"/>
      <c r="G66" s="38" t="n"/>
      <c r="H66" s="27" t="n"/>
      <c r="I66" s="28" t="n"/>
      <c r="J66" s="36" t="n"/>
      <c r="K66" s="38" t="n"/>
      <c r="L66" s="38" t="n"/>
      <c r="M66" s="38" t="n"/>
      <c r="N66" s="34">
        <f>IF(COUNT(K66:M66)=0,"",MEDIAN(K66:M66))</f>
        <v/>
      </c>
      <c r="O66" s="27" t="n"/>
      <c r="P66" s="38" t="n"/>
      <c r="Q66" s="27" t="n"/>
    </row>
    <row r="67">
      <c r="A67" s="27" t="n"/>
      <c r="B67" s="27" t="n"/>
      <c r="C67" s="27" t="n"/>
      <c r="D67" s="27" t="n"/>
      <c r="E67" s="27" t="n"/>
      <c r="F67" s="28" t="n"/>
      <c r="G67" s="38" t="n"/>
      <c r="H67" s="27" t="n"/>
      <c r="I67" s="28" t="n"/>
      <c r="J67" s="36" t="n"/>
      <c r="K67" s="38" t="n"/>
      <c r="L67" s="38" t="n"/>
      <c r="M67" s="38" t="n"/>
      <c r="N67" s="34">
        <f>IF(COUNT(K67:M67)=0,"",MEDIAN(K67:M67))</f>
        <v/>
      </c>
      <c r="O67" s="27" t="n"/>
      <c r="P67" s="38" t="n"/>
      <c r="Q67" s="27" t="n"/>
    </row>
    <row r="68">
      <c r="A68" s="27" t="n"/>
      <c r="B68" s="27" t="n"/>
      <c r="C68" s="27" t="n"/>
      <c r="D68" s="27" t="n"/>
      <c r="E68" s="27" t="n"/>
      <c r="F68" s="28" t="n"/>
      <c r="G68" s="38" t="n"/>
      <c r="H68" s="27" t="n"/>
      <c r="I68" s="28" t="n"/>
      <c r="J68" s="36" t="n"/>
      <c r="K68" s="38" t="n"/>
      <c r="L68" s="38" t="n"/>
      <c r="M68" s="38" t="n"/>
      <c r="N68" s="34">
        <f>IF(COUNT(K68:M68)=0,"",MEDIAN(K68:M68))</f>
        <v/>
      </c>
      <c r="O68" s="27" t="n"/>
      <c r="P68" s="38" t="n"/>
      <c r="Q68" s="27" t="n"/>
    </row>
    <row r="69">
      <c r="A69" s="27" t="n"/>
      <c r="B69" s="27" t="n"/>
      <c r="C69" s="27" t="n"/>
      <c r="D69" s="27" t="n"/>
      <c r="E69" s="27" t="n"/>
      <c r="F69" s="28" t="n"/>
      <c r="G69" s="38" t="n"/>
      <c r="H69" s="27" t="n"/>
      <c r="I69" s="28" t="n"/>
      <c r="J69" s="36" t="n"/>
      <c r="K69" s="38" t="n"/>
      <c r="L69" s="38" t="n"/>
      <c r="M69" s="38" t="n"/>
      <c r="N69" s="34">
        <f>IF(COUNT(K69:M69)=0,"",MEDIAN(K69:M69))</f>
        <v/>
      </c>
      <c r="O69" s="27" t="n"/>
      <c r="P69" s="38" t="n"/>
      <c r="Q69" s="27" t="n"/>
    </row>
    <row r="70">
      <c r="A70" s="27" t="n"/>
      <c r="B70" s="27" t="n"/>
      <c r="C70" s="27" t="n"/>
      <c r="D70" s="27" t="n"/>
      <c r="E70" s="27" t="n"/>
      <c r="F70" s="28" t="n"/>
      <c r="G70" s="38" t="n"/>
      <c r="H70" s="27" t="n"/>
      <c r="I70" s="28" t="n"/>
      <c r="J70" s="36" t="n"/>
      <c r="K70" s="38" t="n"/>
      <c r="L70" s="38" t="n"/>
      <c r="M70" s="38" t="n"/>
      <c r="N70" s="34">
        <f>IF(COUNT(K70:M70)=0,"",MEDIAN(K70:M70))</f>
        <v/>
      </c>
      <c r="O70" s="27" t="n"/>
      <c r="P70" s="38" t="n"/>
      <c r="Q70" s="27" t="n"/>
    </row>
    <row r="71">
      <c r="A71" s="27" t="n"/>
      <c r="B71" s="27" t="n"/>
      <c r="C71" s="27" t="n"/>
      <c r="D71" s="27" t="n"/>
      <c r="E71" s="27" t="n"/>
      <c r="F71" s="28" t="n"/>
      <c r="G71" s="38" t="n"/>
      <c r="H71" s="27" t="n"/>
      <c r="I71" s="28" t="n"/>
      <c r="J71" s="36" t="n"/>
      <c r="K71" s="38" t="n"/>
      <c r="L71" s="38" t="n"/>
      <c r="M71" s="38" t="n"/>
      <c r="N71" s="34">
        <f>IF(COUNT(K71:M71)=0,"",MEDIAN(K71:M71))</f>
        <v/>
      </c>
      <c r="O71" s="27" t="n"/>
      <c r="P71" s="38" t="n"/>
      <c r="Q71" s="27" t="n"/>
    </row>
    <row r="72">
      <c r="A72" s="27" t="n"/>
      <c r="B72" s="27" t="n"/>
      <c r="C72" s="27" t="n"/>
      <c r="D72" s="27" t="n"/>
      <c r="E72" s="27" t="n"/>
      <c r="F72" s="28" t="n"/>
      <c r="G72" s="38" t="n"/>
      <c r="H72" s="27" t="n"/>
      <c r="I72" s="28" t="n"/>
      <c r="J72" s="36" t="n"/>
      <c r="K72" s="38" t="n"/>
      <c r="L72" s="38" t="n"/>
      <c r="M72" s="38" t="n"/>
      <c r="N72" s="34">
        <f>IF(COUNT(K72:M72)=0,"",MEDIAN(K72:M72))</f>
        <v/>
      </c>
      <c r="O72" s="27" t="n"/>
      <c r="P72" s="38" t="n"/>
      <c r="Q72" s="27" t="n"/>
    </row>
    <row r="73">
      <c r="A73" s="27" t="n"/>
      <c r="B73" s="27" t="n"/>
      <c r="C73" s="27" t="n"/>
      <c r="D73" s="27" t="n"/>
      <c r="E73" s="27" t="n"/>
      <c r="F73" s="28" t="n"/>
      <c r="G73" s="38" t="n"/>
      <c r="H73" s="27" t="n"/>
      <c r="I73" s="28" t="n"/>
      <c r="J73" s="36" t="n"/>
      <c r="K73" s="38" t="n"/>
      <c r="L73" s="38" t="n"/>
      <c r="M73" s="38" t="n"/>
      <c r="N73" s="34">
        <f>IF(COUNT(K73:M73)=0,"",MEDIAN(K73:M73))</f>
        <v/>
      </c>
      <c r="O73" s="27" t="n"/>
      <c r="P73" s="38" t="n"/>
      <c r="Q73" s="27" t="n"/>
    </row>
    <row r="74">
      <c r="A74" s="27" t="n"/>
      <c r="B74" s="27" t="n"/>
      <c r="C74" s="27" t="n"/>
      <c r="D74" s="27" t="n"/>
      <c r="E74" s="27" t="n"/>
      <c r="F74" s="28" t="n"/>
      <c r="G74" s="38" t="n"/>
      <c r="H74" s="27" t="n"/>
      <c r="I74" s="28" t="n"/>
      <c r="J74" s="36" t="n"/>
      <c r="K74" s="38" t="n"/>
      <c r="L74" s="38" t="n"/>
      <c r="M74" s="38" t="n"/>
      <c r="N74" s="34">
        <f>IF(COUNT(K74:M74)=0,"",MEDIAN(K74:M74))</f>
        <v/>
      </c>
      <c r="O74" s="27" t="n"/>
      <c r="P74" s="38" t="n"/>
      <c r="Q74" s="27" t="n"/>
    </row>
    <row r="75">
      <c r="A75" s="27" t="n"/>
      <c r="B75" s="27" t="n"/>
      <c r="C75" s="27" t="n"/>
      <c r="D75" s="27" t="n"/>
      <c r="E75" s="27" t="n"/>
      <c r="F75" s="28" t="n"/>
      <c r="G75" s="38" t="n"/>
      <c r="H75" s="27" t="n"/>
      <c r="I75" s="28" t="n"/>
      <c r="J75" s="36" t="n"/>
      <c r="K75" s="38" t="n"/>
      <c r="L75" s="38" t="n"/>
      <c r="M75" s="38" t="n"/>
      <c r="N75" s="34">
        <f>IF(COUNT(K75:M75)=0,"",MEDIAN(K75:M75))</f>
        <v/>
      </c>
      <c r="O75" s="27" t="n"/>
      <c r="P75" s="38" t="n"/>
      <c r="Q75" s="27" t="n"/>
    </row>
    <row r="76">
      <c r="A76" s="27" t="n"/>
      <c r="B76" s="27" t="n"/>
      <c r="C76" s="27" t="n"/>
      <c r="D76" s="27" t="n"/>
      <c r="E76" s="27" t="n"/>
      <c r="F76" s="28" t="n"/>
      <c r="G76" s="38" t="n"/>
      <c r="H76" s="27" t="n"/>
      <c r="I76" s="28" t="n"/>
      <c r="J76" s="36" t="n"/>
      <c r="K76" s="38" t="n"/>
      <c r="L76" s="38" t="n"/>
      <c r="M76" s="38" t="n"/>
      <c r="N76" s="34">
        <f>IF(COUNT(K76:M76)=0,"",MEDIAN(K76:M76))</f>
        <v/>
      </c>
      <c r="O76" s="27" t="n"/>
      <c r="P76" s="38" t="n"/>
      <c r="Q76" s="27" t="n"/>
    </row>
    <row r="77">
      <c r="A77" s="27" t="n"/>
      <c r="B77" s="27" t="n"/>
      <c r="C77" s="27" t="n"/>
      <c r="D77" s="27" t="n"/>
      <c r="E77" s="27" t="n"/>
      <c r="F77" s="28" t="n"/>
      <c r="G77" s="38" t="n"/>
      <c r="H77" s="27" t="n"/>
      <c r="I77" s="28" t="n"/>
      <c r="J77" s="36" t="n"/>
      <c r="K77" s="38" t="n"/>
      <c r="L77" s="38" t="n"/>
      <c r="M77" s="38" t="n"/>
      <c r="N77" s="34">
        <f>IF(COUNT(K77:M77)=0,"",MEDIAN(K77:M77))</f>
        <v/>
      </c>
      <c r="O77" s="27" t="n"/>
      <c r="P77" s="38" t="n"/>
      <c r="Q77" s="27" t="n"/>
    </row>
    <row r="78">
      <c r="A78" s="27" t="n"/>
      <c r="B78" s="27" t="n"/>
      <c r="C78" s="27" t="n"/>
      <c r="D78" s="27" t="n"/>
      <c r="E78" s="27" t="n"/>
      <c r="F78" s="28" t="n"/>
      <c r="G78" s="38" t="n"/>
      <c r="H78" s="27" t="n"/>
      <c r="I78" s="28" t="n"/>
      <c r="J78" s="36" t="n"/>
      <c r="K78" s="38" t="n"/>
      <c r="L78" s="38" t="n"/>
      <c r="M78" s="38" t="n"/>
      <c r="N78" s="34">
        <f>IF(COUNT(K78:M78)=0,"",MEDIAN(K78:M78))</f>
        <v/>
      </c>
      <c r="O78" s="27" t="n"/>
      <c r="P78" s="38" t="n"/>
      <c r="Q78" s="27" t="n"/>
    </row>
    <row r="79">
      <c r="A79" s="27" t="n"/>
      <c r="B79" s="27" t="n"/>
      <c r="C79" s="27" t="n"/>
      <c r="D79" s="27" t="n"/>
      <c r="E79" s="27" t="n"/>
      <c r="F79" s="28" t="n"/>
      <c r="G79" s="38" t="n"/>
      <c r="H79" s="27" t="n"/>
      <c r="I79" s="28" t="n"/>
      <c r="J79" s="36" t="n"/>
      <c r="K79" s="38" t="n"/>
      <c r="L79" s="38" t="n"/>
      <c r="M79" s="38" t="n"/>
      <c r="N79" s="34">
        <f>IF(COUNT(K79:M79)=0,"",MEDIAN(K79:M79))</f>
        <v/>
      </c>
      <c r="O79" s="27" t="n"/>
      <c r="P79" s="38" t="n"/>
      <c r="Q79" s="27" t="n"/>
    </row>
    <row r="80">
      <c r="A80" s="27" t="n"/>
      <c r="B80" s="27" t="n"/>
      <c r="C80" s="27" t="n"/>
      <c r="D80" s="27" t="n"/>
      <c r="E80" s="27" t="n"/>
      <c r="F80" s="28" t="n"/>
      <c r="G80" s="38" t="n"/>
      <c r="H80" s="27" t="n"/>
      <c r="I80" s="28" t="n"/>
      <c r="J80" s="36" t="n"/>
      <c r="K80" s="38" t="n"/>
      <c r="L80" s="38" t="n"/>
      <c r="M80" s="38" t="n"/>
      <c r="N80" s="34">
        <f>IF(COUNT(K80:M80)=0,"",MEDIAN(K80:M80))</f>
        <v/>
      </c>
      <c r="O80" s="27" t="n"/>
      <c r="P80" s="38" t="n"/>
      <c r="Q80" s="27" t="n"/>
    </row>
    <row r="81">
      <c r="A81" s="27" t="n"/>
      <c r="B81" s="27" t="n"/>
      <c r="C81" s="27" t="n"/>
      <c r="D81" s="27" t="n"/>
      <c r="E81" s="27" t="n"/>
      <c r="F81" s="28" t="n"/>
      <c r="G81" s="38" t="n"/>
      <c r="H81" s="27" t="n"/>
      <c r="I81" s="28" t="n"/>
      <c r="J81" s="36" t="n"/>
      <c r="K81" s="38" t="n"/>
      <c r="L81" s="38" t="n"/>
      <c r="M81" s="38" t="n"/>
      <c r="N81" s="34">
        <f>IF(COUNT(K81:M81)=0,"",MEDIAN(K81:M81))</f>
        <v/>
      </c>
      <c r="O81" s="27" t="n"/>
      <c r="P81" s="38" t="n"/>
      <c r="Q81" s="27" t="n"/>
    </row>
    <row r="82">
      <c r="A82" s="27" t="n"/>
      <c r="B82" s="27" t="n"/>
      <c r="C82" s="27" t="n"/>
      <c r="D82" s="27" t="n"/>
      <c r="E82" s="27" t="n"/>
      <c r="F82" s="28" t="n"/>
      <c r="G82" s="38" t="n"/>
      <c r="H82" s="27" t="n"/>
      <c r="I82" s="28" t="n"/>
      <c r="J82" s="36" t="n"/>
      <c r="K82" s="38" t="n"/>
      <c r="L82" s="38" t="n"/>
      <c r="M82" s="38" t="n"/>
      <c r="N82" s="34">
        <f>IF(COUNT(K82:M82)=0,"",MEDIAN(K82:M82))</f>
        <v/>
      </c>
      <c r="O82" s="27" t="n"/>
      <c r="P82" s="38" t="n"/>
      <c r="Q82" s="27" t="n"/>
    </row>
    <row r="83">
      <c r="A83" s="27" t="n"/>
      <c r="B83" s="27" t="n"/>
      <c r="C83" s="27" t="n"/>
      <c r="D83" s="27" t="n"/>
      <c r="E83" s="27" t="n"/>
      <c r="F83" s="28" t="n"/>
      <c r="G83" s="38" t="n"/>
      <c r="H83" s="27" t="n"/>
      <c r="I83" s="28" t="n"/>
      <c r="J83" s="36" t="n"/>
      <c r="K83" s="38" t="n"/>
      <c r="L83" s="38" t="n"/>
      <c r="M83" s="38" t="n"/>
      <c r="N83" s="34">
        <f>IF(COUNT(K83:M83)=0,"",MEDIAN(K83:M83))</f>
        <v/>
      </c>
      <c r="O83" s="27" t="n"/>
      <c r="P83" s="38" t="n"/>
      <c r="Q83" s="27" t="n"/>
    </row>
    <row r="84">
      <c r="A84" s="27" t="n"/>
      <c r="B84" s="27" t="n"/>
      <c r="C84" s="27" t="n"/>
      <c r="D84" s="27" t="n"/>
      <c r="E84" s="27" t="n"/>
      <c r="F84" s="28" t="n"/>
      <c r="G84" s="38" t="n"/>
      <c r="H84" s="27" t="n"/>
      <c r="I84" s="28" t="n"/>
      <c r="J84" s="36" t="n"/>
      <c r="K84" s="38" t="n"/>
      <c r="L84" s="38" t="n"/>
      <c r="M84" s="38" t="n"/>
      <c r="N84" s="34">
        <f>IF(COUNT(K84:M84)=0,"",MEDIAN(K84:M84))</f>
        <v/>
      </c>
      <c r="O84" s="27" t="n"/>
      <c r="P84" s="38" t="n"/>
      <c r="Q84" s="27" t="n"/>
    </row>
    <row r="85">
      <c r="A85" s="27" t="n"/>
      <c r="B85" s="27" t="n"/>
      <c r="C85" s="27" t="n"/>
      <c r="D85" s="27" t="n"/>
      <c r="E85" s="27" t="n"/>
      <c r="F85" s="28" t="n"/>
      <c r="G85" s="38" t="n"/>
      <c r="H85" s="27" t="n"/>
      <c r="I85" s="28" t="n"/>
      <c r="J85" s="36" t="n"/>
      <c r="K85" s="38" t="n"/>
      <c r="L85" s="38" t="n"/>
      <c r="M85" s="38" t="n"/>
      <c r="N85" s="34">
        <f>IF(COUNT(K85:M85)=0,"",MEDIAN(K85:M85))</f>
        <v/>
      </c>
      <c r="O85" s="27" t="n"/>
      <c r="P85" s="38" t="n"/>
      <c r="Q85" s="27" t="n"/>
    </row>
    <row r="86">
      <c r="A86" s="27" t="n"/>
      <c r="B86" s="27" t="n"/>
      <c r="C86" s="27" t="n"/>
      <c r="D86" s="27" t="n"/>
      <c r="E86" s="27" t="n"/>
      <c r="F86" s="28" t="n"/>
      <c r="G86" s="38" t="n"/>
      <c r="H86" s="27" t="n"/>
      <c r="I86" s="28" t="n"/>
      <c r="J86" s="36" t="n"/>
      <c r="K86" s="38" t="n"/>
      <c r="L86" s="38" t="n"/>
      <c r="M86" s="38" t="n"/>
      <c r="N86" s="34">
        <f>IF(COUNT(K86:M86)=0,"",MEDIAN(K86:M86))</f>
        <v/>
      </c>
      <c r="O86" s="27" t="n"/>
      <c r="P86" s="38" t="n"/>
      <c r="Q86" s="27" t="n"/>
    </row>
    <row r="87">
      <c r="A87" s="27" t="n"/>
      <c r="B87" s="27" t="n"/>
      <c r="C87" s="27" t="n"/>
      <c r="D87" s="27" t="n"/>
      <c r="E87" s="27" t="n"/>
      <c r="F87" s="28" t="n"/>
      <c r="G87" s="38" t="n"/>
      <c r="H87" s="27" t="n"/>
      <c r="I87" s="28" t="n"/>
      <c r="J87" s="36" t="n"/>
      <c r="K87" s="38" t="n"/>
      <c r="L87" s="38" t="n"/>
      <c r="M87" s="38" t="n"/>
      <c r="N87" s="34">
        <f>IF(COUNT(K87:M87)=0,"",MEDIAN(K87:M87))</f>
        <v/>
      </c>
      <c r="O87" s="27" t="n"/>
      <c r="P87" s="38" t="n"/>
      <c r="Q87" s="27" t="n"/>
    </row>
    <row r="88">
      <c r="A88" s="27" t="n"/>
      <c r="B88" s="27" t="n"/>
      <c r="C88" s="27" t="n"/>
      <c r="D88" s="27" t="n"/>
      <c r="E88" s="27" t="n"/>
      <c r="F88" s="28" t="n"/>
      <c r="G88" s="38" t="n"/>
      <c r="H88" s="27" t="n"/>
      <c r="I88" s="28" t="n"/>
      <c r="J88" s="36" t="n"/>
      <c r="K88" s="38" t="n"/>
      <c r="L88" s="38" t="n"/>
      <c r="M88" s="38" t="n"/>
      <c r="N88" s="34">
        <f>IF(COUNT(K88:M88)=0,"",MEDIAN(K88:M88))</f>
        <v/>
      </c>
      <c r="O88" s="27" t="n"/>
      <c r="P88" s="38" t="n"/>
      <c r="Q88" s="27" t="n"/>
    </row>
    <row r="89">
      <c r="A89" s="27" t="n"/>
      <c r="B89" s="27" t="n"/>
      <c r="C89" s="27" t="n"/>
      <c r="D89" s="27" t="n"/>
      <c r="E89" s="27" t="n"/>
      <c r="F89" s="28" t="n"/>
      <c r="G89" s="38" t="n"/>
      <c r="H89" s="27" t="n"/>
      <c r="I89" s="28" t="n"/>
      <c r="J89" s="36" t="n"/>
      <c r="K89" s="38" t="n"/>
      <c r="L89" s="38" t="n"/>
      <c r="M89" s="38" t="n"/>
      <c r="N89" s="34">
        <f>IF(COUNT(K89:M89)=0,"",MEDIAN(K89:M89))</f>
        <v/>
      </c>
      <c r="O89" s="27" t="n"/>
      <c r="P89" s="38" t="n"/>
      <c r="Q89" s="27" t="n"/>
    </row>
    <row r="90">
      <c r="A90" s="27" t="n"/>
      <c r="B90" s="27" t="n"/>
      <c r="C90" s="27" t="n"/>
      <c r="D90" s="27" t="n"/>
      <c r="E90" s="27" t="n"/>
      <c r="F90" s="28" t="n"/>
      <c r="G90" s="38" t="n"/>
      <c r="H90" s="27" t="n"/>
      <c r="I90" s="28" t="n"/>
      <c r="J90" s="36" t="n"/>
      <c r="K90" s="38" t="n"/>
      <c r="L90" s="38" t="n"/>
      <c r="M90" s="38" t="n"/>
      <c r="N90" s="34">
        <f>IF(COUNT(K90:M90)=0,"",MEDIAN(K90:M90))</f>
        <v/>
      </c>
      <c r="O90" s="27" t="n"/>
      <c r="P90" s="38" t="n"/>
      <c r="Q90" s="27" t="n"/>
    </row>
    <row r="91">
      <c r="A91" s="27" t="n"/>
      <c r="B91" s="27" t="n"/>
      <c r="C91" s="27" t="n"/>
      <c r="D91" s="27" t="n"/>
      <c r="E91" s="27" t="n"/>
      <c r="F91" s="28" t="n"/>
      <c r="G91" s="38" t="n"/>
      <c r="H91" s="27" t="n"/>
      <c r="I91" s="28" t="n"/>
      <c r="J91" s="36" t="n"/>
      <c r="K91" s="38" t="n"/>
      <c r="L91" s="38" t="n"/>
      <c r="M91" s="38" t="n"/>
      <c r="N91" s="34">
        <f>IF(COUNT(K91:M91)=0,"",MEDIAN(K91:M91))</f>
        <v/>
      </c>
      <c r="O91" s="27" t="n"/>
      <c r="P91" s="38" t="n"/>
      <c r="Q91" s="27" t="n"/>
    </row>
    <row r="92">
      <c r="A92" s="27" t="n"/>
      <c r="B92" s="27" t="n"/>
      <c r="C92" s="27" t="n"/>
      <c r="D92" s="27" t="n"/>
      <c r="E92" s="27" t="n"/>
      <c r="F92" s="28" t="n"/>
      <c r="G92" s="38" t="n"/>
      <c r="H92" s="27" t="n"/>
      <c r="I92" s="28" t="n"/>
      <c r="J92" s="36" t="n"/>
      <c r="K92" s="38" t="n"/>
      <c r="L92" s="38" t="n"/>
      <c r="M92" s="38" t="n"/>
      <c r="N92" s="34">
        <f>IF(COUNT(K92:M92)=0,"",MEDIAN(K92:M92))</f>
        <v/>
      </c>
      <c r="O92" s="27" t="n"/>
      <c r="P92" s="38" t="n"/>
      <c r="Q92" s="27" t="n"/>
    </row>
    <row r="93">
      <c r="A93" s="27" t="n"/>
      <c r="B93" s="27" t="n"/>
      <c r="C93" s="27" t="n"/>
      <c r="D93" s="27" t="n"/>
      <c r="E93" s="27" t="n"/>
      <c r="F93" s="28" t="n"/>
      <c r="G93" s="38" t="n"/>
      <c r="H93" s="27" t="n"/>
      <c r="I93" s="28" t="n"/>
      <c r="J93" s="36" t="n"/>
      <c r="K93" s="38" t="n"/>
      <c r="L93" s="38" t="n"/>
      <c r="M93" s="38" t="n"/>
      <c r="N93" s="34">
        <f>IF(COUNT(K93:M93)=0,"",MEDIAN(K93:M93))</f>
        <v/>
      </c>
      <c r="O93" s="27" t="n"/>
      <c r="P93" s="38" t="n"/>
      <c r="Q93" s="27" t="n"/>
    </row>
    <row r="94">
      <c r="A94" s="27" t="n"/>
      <c r="B94" s="27" t="n"/>
      <c r="C94" s="27" t="n"/>
      <c r="D94" s="27" t="n"/>
      <c r="E94" s="27" t="n"/>
      <c r="F94" s="28" t="n"/>
      <c r="G94" s="38" t="n"/>
      <c r="H94" s="27" t="n"/>
      <c r="I94" s="28" t="n"/>
      <c r="J94" s="36" t="n"/>
      <c r="K94" s="38" t="n"/>
      <c r="L94" s="38" t="n"/>
      <c r="M94" s="38" t="n"/>
      <c r="N94" s="34">
        <f>IF(COUNT(K94:M94)=0,"",MEDIAN(K94:M94))</f>
        <v/>
      </c>
      <c r="O94" s="27" t="n"/>
      <c r="P94" s="38" t="n"/>
      <c r="Q94" s="27" t="n"/>
    </row>
    <row r="95">
      <c r="A95" s="27" t="n"/>
      <c r="B95" s="27" t="n"/>
      <c r="C95" s="27" t="n"/>
      <c r="D95" s="27" t="n"/>
      <c r="E95" s="27" t="n"/>
      <c r="F95" s="28" t="n"/>
      <c r="G95" s="38" t="n"/>
      <c r="H95" s="27" t="n"/>
      <c r="I95" s="28" t="n"/>
      <c r="J95" s="36" t="n"/>
      <c r="K95" s="38" t="n"/>
      <c r="L95" s="38" t="n"/>
      <c r="M95" s="38" t="n"/>
      <c r="N95" s="34">
        <f>IF(COUNT(K95:M95)=0,"",MEDIAN(K95:M95))</f>
        <v/>
      </c>
      <c r="O95" s="27" t="n"/>
      <c r="P95" s="38" t="n"/>
      <c r="Q95" s="27" t="n"/>
    </row>
    <row r="96">
      <c r="A96" s="27" t="n"/>
      <c r="B96" s="27" t="n"/>
      <c r="C96" s="27" t="n"/>
      <c r="D96" s="27" t="n"/>
      <c r="E96" s="27" t="n"/>
      <c r="F96" s="28" t="n"/>
      <c r="G96" s="38" t="n"/>
      <c r="H96" s="27" t="n"/>
      <c r="I96" s="28" t="n"/>
      <c r="J96" s="36" t="n"/>
      <c r="K96" s="38" t="n"/>
      <c r="L96" s="38" t="n"/>
      <c r="M96" s="38" t="n"/>
      <c r="N96" s="34">
        <f>IF(COUNT(K96:M96)=0,"",MEDIAN(K96:M96))</f>
        <v/>
      </c>
      <c r="O96" s="27" t="n"/>
      <c r="P96" s="38" t="n"/>
      <c r="Q96" s="27" t="n"/>
    </row>
    <row r="97">
      <c r="A97" s="27" t="n"/>
      <c r="B97" s="27" t="n"/>
      <c r="C97" s="27" t="n"/>
      <c r="D97" s="27" t="n"/>
      <c r="E97" s="27" t="n"/>
      <c r="F97" s="28" t="n"/>
      <c r="G97" s="38" t="n"/>
      <c r="H97" s="27" t="n"/>
      <c r="I97" s="28" t="n"/>
      <c r="J97" s="36" t="n"/>
      <c r="K97" s="38" t="n"/>
      <c r="L97" s="38" t="n"/>
      <c r="M97" s="38" t="n"/>
      <c r="N97" s="34">
        <f>IF(COUNT(K97:M97)=0,"",MEDIAN(K97:M97))</f>
        <v/>
      </c>
      <c r="O97" s="27" t="n"/>
      <c r="P97" s="38" t="n"/>
      <c r="Q97" s="27" t="n"/>
    </row>
    <row r="98">
      <c r="A98" s="27" t="n"/>
      <c r="B98" s="27" t="n"/>
      <c r="C98" s="27" t="n"/>
      <c r="D98" s="27" t="n"/>
      <c r="E98" s="27" t="n"/>
      <c r="F98" s="28" t="n"/>
      <c r="G98" s="38" t="n"/>
      <c r="H98" s="27" t="n"/>
      <c r="I98" s="28" t="n"/>
      <c r="J98" s="36" t="n"/>
      <c r="K98" s="38" t="n"/>
      <c r="L98" s="38" t="n"/>
      <c r="M98" s="38" t="n"/>
      <c r="N98" s="34">
        <f>IF(COUNT(K98:M98)=0,"",MEDIAN(K98:M98))</f>
        <v/>
      </c>
      <c r="O98" s="27" t="n"/>
      <c r="P98" s="38" t="n"/>
      <c r="Q98" s="27" t="n"/>
    </row>
    <row r="99">
      <c r="A99" s="27" t="n"/>
      <c r="B99" s="27" t="n"/>
      <c r="C99" s="27" t="n"/>
      <c r="D99" s="27" t="n"/>
      <c r="E99" s="27" t="n"/>
      <c r="F99" s="28" t="n"/>
      <c r="G99" s="38" t="n"/>
      <c r="H99" s="27" t="n"/>
      <c r="I99" s="28" t="n"/>
      <c r="J99" s="36" t="n"/>
      <c r="K99" s="38" t="n"/>
      <c r="L99" s="38" t="n"/>
      <c r="M99" s="38" t="n"/>
      <c r="N99" s="34">
        <f>IF(COUNT(K99:M99)=0,"",MEDIAN(K99:M99))</f>
        <v/>
      </c>
      <c r="O99" s="27" t="n"/>
      <c r="P99" s="38" t="n"/>
      <c r="Q99" s="27" t="n"/>
    </row>
    <row r="100">
      <c r="A100" s="27" t="n"/>
      <c r="B100" s="27" t="n"/>
      <c r="C100" s="27" t="n"/>
      <c r="D100" s="27" t="n"/>
      <c r="E100" s="27" t="n"/>
      <c r="F100" s="28" t="n"/>
      <c r="G100" s="38" t="n"/>
      <c r="H100" s="27" t="n"/>
      <c r="I100" s="28" t="n"/>
      <c r="J100" s="36" t="n"/>
      <c r="K100" s="38" t="n"/>
      <c r="L100" s="38" t="n"/>
      <c r="M100" s="38" t="n"/>
      <c r="N100" s="34">
        <f>IF(COUNT(K100:M100)=0,"",MEDIAN(K100:M100))</f>
        <v/>
      </c>
      <c r="O100" s="27" t="n"/>
      <c r="P100" s="38" t="n"/>
      <c r="Q100" s="27" t="n"/>
    </row>
    <row r="101">
      <c r="A101" s="27" t="n"/>
      <c r="B101" s="27" t="n"/>
      <c r="C101" s="27" t="n"/>
      <c r="D101" s="27" t="n"/>
      <c r="E101" s="27" t="n"/>
      <c r="F101" s="28" t="n"/>
      <c r="G101" s="38" t="n"/>
      <c r="H101" s="27" t="n"/>
      <c r="I101" s="28" t="n"/>
      <c r="J101" s="36" t="n"/>
      <c r="K101" s="38" t="n"/>
      <c r="L101" s="38" t="n"/>
      <c r="M101" s="38" t="n"/>
      <c r="N101" s="34">
        <f>IF(COUNT(K101:M101)=0,"",MEDIAN(K101:M101))</f>
        <v/>
      </c>
      <c r="O101" s="27" t="n"/>
      <c r="P101" s="38" t="n"/>
      <c r="Q101" s="27" t="n"/>
    </row>
    <row r="102">
      <c r="A102" s="27" t="n"/>
      <c r="B102" s="27" t="n"/>
      <c r="C102" s="27" t="n"/>
      <c r="D102" s="27" t="n"/>
      <c r="E102" s="27" t="n"/>
      <c r="F102" s="28" t="n"/>
      <c r="G102" s="38" t="n"/>
      <c r="H102" s="27" t="n"/>
      <c r="I102" s="28" t="n"/>
      <c r="J102" s="36" t="n"/>
      <c r="K102" s="38" t="n"/>
      <c r="L102" s="38" t="n"/>
      <c r="M102" s="38" t="n"/>
      <c r="N102" s="34">
        <f>IF(COUNT(K102:M102)=0,"",MEDIAN(K102:M102))</f>
        <v/>
      </c>
      <c r="O102" s="27" t="n"/>
      <c r="P102" s="38" t="n"/>
      <c r="Q102" s="27" t="n"/>
    </row>
    <row r="103">
      <c r="A103" s="27" t="n"/>
      <c r="B103" s="27" t="n"/>
      <c r="C103" s="27" t="n"/>
      <c r="D103" s="27" t="n"/>
      <c r="E103" s="27" t="n"/>
      <c r="F103" s="28" t="n"/>
      <c r="G103" s="38" t="n"/>
      <c r="H103" s="27" t="n"/>
      <c r="I103" s="28" t="n"/>
      <c r="J103" s="36" t="n"/>
      <c r="K103" s="38" t="n"/>
      <c r="L103" s="38" t="n"/>
      <c r="M103" s="38" t="n"/>
      <c r="N103" s="34">
        <f>IF(COUNT(K103:M103)=0,"",MEDIAN(K103:M103))</f>
        <v/>
      </c>
      <c r="O103" s="27" t="n"/>
      <c r="P103" s="38" t="n"/>
      <c r="Q103" s="27" t="n"/>
    </row>
    <row r="104">
      <c r="A104" s="27" t="n"/>
      <c r="B104" s="27" t="n"/>
      <c r="C104" s="27" t="n"/>
      <c r="D104" s="27" t="n"/>
      <c r="E104" s="27" t="n"/>
      <c r="F104" s="28" t="n"/>
      <c r="G104" s="38" t="n"/>
      <c r="H104" s="27" t="n"/>
      <c r="I104" s="28" t="n"/>
      <c r="J104" s="36" t="n"/>
      <c r="K104" s="38" t="n"/>
      <c r="L104" s="38" t="n"/>
      <c r="M104" s="38" t="n"/>
      <c r="N104" s="34">
        <f>IF(COUNT(K104:M104)=0,"",MEDIAN(K104:M104))</f>
        <v/>
      </c>
      <c r="O104" s="27" t="n"/>
      <c r="P104" s="38" t="n"/>
      <c r="Q104" s="27" t="n"/>
    </row>
    <row r="105">
      <c r="A105" s="27" t="n"/>
      <c r="B105" s="27" t="n"/>
      <c r="C105" s="27" t="n"/>
      <c r="D105" s="27" t="n"/>
      <c r="E105" s="27" t="n"/>
      <c r="F105" s="28" t="n"/>
      <c r="G105" s="38" t="n"/>
      <c r="H105" s="27" t="n"/>
      <c r="I105" s="28" t="n"/>
      <c r="J105" s="36" t="n"/>
      <c r="K105" s="38" t="n"/>
      <c r="L105" s="38" t="n"/>
      <c r="M105" s="38" t="n"/>
      <c r="N105" s="34">
        <f>IF(COUNT(K105:M105)=0,"",MEDIAN(K105:M105))</f>
        <v/>
      </c>
      <c r="O105" s="27" t="n"/>
      <c r="P105" s="38" t="n"/>
      <c r="Q105" s="27" t="n"/>
    </row>
    <row r="106">
      <c r="A106" s="27" t="n"/>
      <c r="B106" s="27" t="n"/>
      <c r="C106" s="27" t="n"/>
      <c r="D106" s="27" t="n"/>
      <c r="E106" s="27" t="n"/>
      <c r="F106" s="28" t="n"/>
      <c r="G106" s="38" t="n"/>
      <c r="H106" s="27" t="n"/>
      <c r="I106" s="28" t="n"/>
      <c r="J106" s="36" t="n"/>
      <c r="K106" s="38" t="n"/>
      <c r="L106" s="38" t="n"/>
      <c r="M106" s="38" t="n"/>
      <c r="N106" s="34">
        <f>IF(COUNT(K106:M106)=0,"",MEDIAN(K106:M106))</f>
        <v/>
      </c>
      <c r="O106" s="27" t="n"/>
      <c r="P106" s="38" t="n"/>
      <c r="Q106" s="27" t="n"/>
    </row>
    <row r="107">
      <c r="A107" s="27" t="n"/>
      <c r="B107" s="27" t="n"/>
      <c r="C107" s="27" t="n"/>
      <c r="D107" s="27" t="n"/>
      <c r="E107" s="27" t="n"/>
      <c r="F107" s="28" t="n"/>
      <c r="G107" s="38" t="n"/>
      <c r="H107" s="27" t="n"/>
      <c r="I107" s="28" t="n"/>
      <c r="J107" s="36" t="n"/>
      <c r="K107" s="38" t="n"/>
      <c r="L107" s="38" t="n"/>
      <c r="M107" s="38" t="n"/>
      <c r="N107" s="34">
        <f>IF(COUNT(K107:M107)=0,"",MEDIAN(K107:M107))</f>
        <v/>
      </c>
      <c r="O107" s="27" t="n"/>
      <c r="P107" s="38" t="n"/>
      <c r="Q107" s="27" t="n"/>
    </row>
    <row r="108">
      <c r="A108" s="27" t="n"/>
      <c r="B108" s="27" t="n"/>
      <c r="C108" s="27" t="n"/>
      <c r="D108" s="27" t="n"/>
      <c r="E108" s="27" t="n"/>
      <c r="F108" s="28" t="n"/>
      <c r="G108" s="38" t="n"/>
      <c r="H108" s="27" t="n"/>
      <c r="I108" s="28" t="n"/>
      <c r="J108" s="36" t="n"/>
      <c r="K108" s="38" t="n"/>
      <c r="L108" s="38" t="n"/>
      <c r="M108" s="38" t="n"/>
      <c r="N108" s="34">
        <f>IF(COUNT(K108:M108)=0,"",MEDIAN(K108:M108))</f>
        <v/>
      </c>
      <c r="O108" s="27" t="n"/>
      <c r="P108" s="38" t="n"/>
      <c r="Q108" s="27" t="n"/>
    </row>
    <row r="109">
      <c r="A109" s="27" t="n"/>
      <c r="B109" s="27" t="n"/>
      <c r="C109" s="27" t="n"/>
      <c r="D109" s="27" t="n"/>
      <c r="E109" s="27" t="n"/>
      <c r="F109" s="28" t="n"/>
      <c r="G109" s="38" t="n"/>
      <c r="H109" s="27" t="n"/>
      <c r="I109" s="28" t="n"/>
      <c r="J109" s="36" t="n"/>
      <c r="K109" s="38" t="n"/>
      <c r="L109" s="38" t="n"/>
      <c r="M109" s="38" t="n"/>
      <c r="N109" s="34">
        <f>IF(COUNT(K109:M109)=0,"",MEDIAN(K109:M109))</f>
        <v/>
      </c>
      <c r="O109" s="27" t="n"/>
      <c r="P109" s="38" t="n"/>
      <c r="Q109" s="27" t="n"/>
    </row>
    <row r="110">
      <c r="A110" s="27" t="n"/>
      <c r="B110" s="27" t="n"/>
      <c r="C110" s="27" t="n"/>
      <c r="D110" s="27" t="n"/>
      <c r="E110" s="27" t="n"/>
      <c r="F110" s="28" t="n"/>
      <c r="G110" s="38" t="n"/>
      <c r="H110" s="27" t="n"/>
      <c r="I110" s="28" t="n"/>
      <c r="J110" s="36" t="n"/>
      <c r="K110" s="38" t="n"/>
      <c r="L110" s="38" t="n"/>
      <c r="M110" s="38" t="n"/>
      <c r="N110" s="34">
        <f>IF(COUNT(K110:M110)=0,"",MEDIAN(K110:M110))</f>
        <v/>
      </c>
      <c r="O110" s="27" t="n"/>
      <c r="P110" s="38" t="n"/>
      <c r="Q110" s="27" t="n"/>
    </row>
    <row r="111">
      <c r="A111" s="27" t="n"/>
      <c r="B111" s="27" t="n"/>
      <c r="C111" s="27" t="n"/>
      <c r="D111" s="27" t="n"/>
      <c r="E111" s="27" t="n"/>
      <c r="F111" s="28" t="n"/>
      <c r="G111" s="38" t="n"/>
      <c r="H111" s="27" t="n"/>
      <c r="I111" s="28" t="n"/>
      <c r="J111" s="36" t="n"/>
      <c r="K111" s="38" t="n"/>
      <c r="L111" s="38" t="n"/>
      <c r="M111" s="38" t="n"/>
      <c r="N111" s="34">
        <f>IF(COUNT(K111:M111)=0,"",MEDIAN(K111:M111))</f>
        <v/>
      </c>
      <c r="O111" s="27" t="n"/>
      <c r="P111" s="38" t="n"/>
      <c r="Q111" s="27" t="n"/>
    </row>
    <row r="112">
      <c r="A112" s="27" t="n"/>
      <c r="B112" s="27" t="n"/>
      <c r="C112" s="27" t="n"/>
      <c r="D112" s="27" t="n"/>
      <c r="E112" s="27" t="n"/>
      <c r="F112" s="28" t="n"/>
      <c r="G112" s="38" t="n"/>
      <c r="H112" s="27" t="n"/>
      <c r="I112" s="28" t="n"/>
      <c r="J112" s="36" t="n"/>
      <c r="K112" s="38" t="n"/>
      <c r="L112" s="38" t="n"/>
      <c r="M112" s="38" t="n"/>
      <c r="N112" s="34">
        <f>IF(COUNT(K112:M112)=0,"",MEDIAN(K112:M112))</f>
        <v/>
      </c>
      <c r="O112" s="27" t="n"/>
      <c r="P112" s="38" t="n"/>
      <c r="Q112" s="27" t="n"/>
    </row>
    <row r="113">
      <c r="A113" s="27" t="n"/>
      <c r="B113" s="27" t="n"/>
      <c r="C113" s="27" t="n"/>
      <c r="D113" s="27" t="n"/>
      <c r="E113" s="27" t="n"/>
      <c r="F113" s="28" t="n"/>
      <c r="G113" s="38" t="n"/>
      <c r="H113" s="27" t="n"/>
      <c r="I113" s="28" t="n"/>
      <c r="J113" s="36" t="n"/>
      <c r="K113" s="38" t="n"/>
      <c r="L113" s="38" t="n"/>
      <c r="M113" s="38" t="n"/>
      <c r="N113" s="34">
        <f>IF(COUNT(K113:M113)=0,"",MEDIAN(K113:M113))</f>
        <v/>
      </c>
      <c r="O113" s="27" t="n"/>
      <c r="P113" s="38" t="n"/>
      <c r="Q113" s="27" t="n"/>
    </row>
    <row r="114">
      <c r="A114" s="27" t="n"/>
      <c r="B114" s="27" t="n"/>
      <c r="C114" s="27" t="n"/>
      <c r="D114" s="27" t="n"/>
      <c r="E114" s="27" t="n"/>
      <c r="F114" s="28" t="n"/>
      <c r="G114" s="38" t="n"/>
      <c r="H114" s="27" t="n"/>
      <c r="I114" s="28" t="n"/>
      <c r="J114" s="36" t="n"/>
      <c r="K114" s="38" t="n"/>
      <c r="L114" s="38" t="n"/>
      <c r="M114" s="38" t="n"/>
      <c r="N114" s="34">
        <f>IF(COUNT(K114:M114)=0,"",MEDIAN(K114:M114))</f>
        <v/>
      </c>
      <c r="O114" s="27" t="n"/>
      <c r="P114" s="38" t="n"/>
      <c r="Q114" s="27" t="n"/>
    </row>
    <row r="115">
      <c r="A115" s="27" t="n"/>
      <c r="B115" s="27" t="n"/>
      <c r="C115" s="27" t="n"/>
      <c r="D115" s="27" t="n"/>
      <c r="E115" s="27" t="n"/>
      <c r="F115" s="28" t="n"/>
      <c r="G115" s="38" t="n"/>
      <c r="H115" s="27" t="n"/>
      <c r="I115" s="28" t="n"/>
      <c r="J115" s="36" t="n"/>
      <c r="K115" s="38" t="n"/>
      <c r="L115" s="38" t="n"/>
      <c r="M115" s="38" t="n"/>
      <c r="N115" s="34">
        <f>IF(COUNT(K115:M115)=0,"",MEDIAN(K115:M115))</f>
        <v/>
      </c>
      <c r="O115" s="27" t="n"/>
      <c r="P115" s="38" t="n"/>
      <c r="Q115" s="27" t="n"/>
    </row>
    <row r="116">
      <c r="A116" s="27" t="n"/>
      <c r="B116" s="27" t="n"/>
      <c r="C116" s="27" t="n"/>
      <c r="D116" s="27" t="n"/>
      <c r="E116" s="27" t="n"/>
      <c r="F116" s="28" t="n"/>
      <c r="G116" s="38" t="n"/>
      <c r="H116" s="27" t="n"/>
      <c r="I116" s="28" t="n"/>
      <c r="J116" s="36" t="n"/>
      <c r="K116" s="38" t="n"/>
      <c r="L116" s="38" t="n"/>
      <c r="M116" s="38" t="n"/>
      <c r="N116" s="34">
        <f>IF(COUNT(K116:M116)=0,"",MEDIAN(K116:M116))</f>
        <v/>
      </c>
      <c r="O116" s="27" t="n"/>
      <c r="P116" s="38" t="n"/>
      <c r="Q116" s="27" t="n"/>
    </row>
    <row r="117">
      <c r="A117" s="27" t="n"/>
      <c r="B117" s="27" t="n"/>
      <c r="C117" s="27" t="n"/>
      <c r="D117" s="27" t="n"/>
      <c r="E117" s="27" t="n"/>
      <c r="F117" s="28" t="n"/>
      <c r="G117" s="38" t="n"/>
      <c r="H117" s="27" t="n"/>
      <c r="I117" s="28" t="n"/>
      <c r="J117" s="36" t="n"/>
      <c r="K117" s="38" t="n"/>
      <c r="L117" s="38" t="n"/>
      <c r="M117" s="38" t="n"/>
      <c r="N117" s="34">
        <f>IF(COUNT(K117:M117)=0,"",MEDIAN(K117:M117))</f>
        <v/>
      </c>
      <c r="O117" s="27" t="n"/>
      <c r="P117" s="38" t="n"/>
      <c r="Q117" s="27" t="n"/>
    </row>
    <row r="118">
      <c r="A118" s="27" t="n"/>
      <c r="B118" s="27" t="n"/>
      <c r="C118" s="27" t="n"/>
      <c r="D118" s="27" t="n"/>
      <c r="E118" s="27" t="n"/>
      <c r="F118" s="28" t="n"/>
      <c r="G118" s="38" t="n"/>
      <c r="H118" s="27" t="n"/>
      <c r="I118" s="28" t="n"/>
      <c r="J118" s="36" t="n"/>
      <c r="K118" s="38" t="n"/>
      <c r="L118" s="38" t="n"/>
      <c r="M118" s="38" t="n"/>
      <c r="N118" s="34">
        <f>IF(COUNT(K118:M118)=0,"",MEDIAN(K118:M118))</f>
        <v/>
      </c>
      <c r="O118" s="27" t="n"/>
      <c r="P118" s="38" t="n"/>
      <c r="Q118" s="27" t="n"/>
    </row>
    <row r="119">
      <c r="A119" s="27" t="n"/>
      <c r="B119" s="27" t="n"/>
      <c r="C119" s="27" t="n"/>
      <c r="D119" s="27" t="n"/>
      <c r="E119" s="27" t="n"/>
      <c r="F119" s="28" t="n"/>
      <c r="G119" s="38" t="n"/>
      <c r="H119" s="27" t="n"/>
      <c r="I119" s="28" t="n"/>
      <c r="J119" s="36" t="n"/>
      <c r="K119" s="38" t="n"/>
      <c r="L119" s="38" t="n"/>
      <c r="M119" s="38" t="n"/>
      <c r="N119" s="34">
        <f>IF(COUNT(K119:M119)=0,"",MEDIAN(K119:M119))</f>
        <v/>
      </c>
      <c r="O119" s="27" t="n"/>
      <c r="P119" s="38" t="n"/>
      <c r="Q119" s="27" t="n"/>
    </row>
    <row r="120">
      <c r="A120" s="27" t="n"/>
      <c r="B120" s="27" t="n"/>
      <c r="C120" s="27" t="n"/>
      <c r="D120" s="27" t="n"/>
      <c r="E120" s="27" t="n"/>
      <c r="F120" s="28" t="n"/>
      <c r="G120" s="38" t="n"/>
      <c r="H120" s="27" t="n"/>
      <c r="I120" s="28" t="n"/>
      <c r="J120" s="36" t="n"/>
      <c r="K120" s="38" t="n"/>
      <c r="L120" s="38" t="n"/>
      <c r="M120" s="38" t="n"/>
      <c r="N120" s="34">
        <f>IF(COUNT(K120:M120)=0,"",MEDIAN(K120:M120))</f>
        <v/>
      </c>
      <c r="O120" s="27" t="n"/>
      <c r="P120" s="38" t="n"/>
      <c r="Q120" s="27" t="n"/>
    </row>
    <row r="121">
      <c r="A121" s="27" t="n"/>
      <c r="B121" s="27" t="n"/>
      <c r="C121" s="27" t="n"/>
      <c r="D121" s="27" t="n"/>
      <c r="E121" s="27" t="n"/>
      <c r="F121" s="28" t="n"/>
      <c r="G121" s="38" t="n"/>
      <c r="H121" s="27" t="n"/>
      <c r="I121" s="28" t="n"/>
      <c r="J121" s="36" t="n"/>
      <c r="K121" s="38" t="n"/>
      <c r="L121" s="38" t="n"/>
      <c r="M121" s="38" t="n"/>
      <c r="N121" s="34">
        <f>IF(COUNT(K121:M121)=0,"",MEDIAN(K121:M121))</f>
        <v/>
      </c>
      <c r="O121" s="27" t="n"/>
      <c r="P121" s="38" t="n"/>
      <c r="Q121" s="27" t="n"/>
    </row>
    <row r="122">
      <c r="A122" s="27" t="n"/>
      <c r="B122" s="27" t="n"/>
      <c r="C122" s="27" t="n"/>
      <c r="D122" s="27" t="n"/>
      <c r="E122" s="27" t="n"/>
      <c r="F122" s="28" t="n"/>
      <c r="G122" s="38" t="n"/>
      <c r="H122" s="27" t="n"/>
      <c r="I122" s="28" t="n"/>
      <c r="J122" s="36" t="n"/>
      <c r="K122" s="38" t="n"/>
      <c r="L122" s="38" t="n"/>
      <c r="M122" s="38" t="n"/>
      <c r="N122" s="34">
        <f>IF(COUNT(K122:M122)=0,"",MEDIAN(K122:M122))</f>
        <v/>
      </c>
      <c r="O122" s="27" t="n"/>
      <c r="P122" s="38" t="n"/>
      <c r="Q122" s="27" t="n"/>
    </row>
    <row r="123">
      <c r="A123" s="27" t="n"/>
      <c r="B123" s="27" t="n"/>
      <c r="C123" s="27" t="n"/>
      <c r="D123" s="27" t="n"/>
      <c r="E123" s="27" t="n"/>
      <c r="F123" s="28" t="n"/>
      <c r="G123" s="38" t="n"/>
      <c r="H123" s="27" t="n"/>
      <c r="I123" s="28" t="n"/>
      <c r="J123" s="36" t="n"/>
      <c r="K123" s="38" t="n"/>
      <c r="L123" s="38" t="n"/>
      <c r="M123" s="38" t="n"/>
      <c r="N123" s="34">
        <f>IF(COUNT(K123:M123)=0,"",MEDIAN(K123:M123))</f>
        <v/>
      </c>
      <c r="O123" s="27" t="n"/>
      <c r="P123" s="38" t="n"/>
      <c r="Q123" s="27" t="n"/>
    </row>
    <row r="124">
      <c r="A124" s="27" t="n"/>
      <c r="B124" s="27" t="n"/>
      <c r="C124" s="27" t="n"/>
      <c r="D124" s="27" t="n"/>
      <c r="E124" s="27" t="n"/>
      <c r="F124" s="28" t="n"/>
      <c r="G124" s="38" t="n"/>
      <c r="H124" s="27" t="n"/>
      <c r="I124" s="28" t="n"/>
      <c r="J124" s="36" t="n"/>
      <c r="K124" s="38" t="n"/>
      <c r="L124" s="38" t="n"/>
      <c r="M124" s="38" t="n"/>
      <c r="N124" s="34">
        <f>IF(COUNT(K124:M124)=0,"",MEDIAN(K124:M124))</f>
        <v/>
      </c>
      <c r="O124" s="27" t="n"/>
      <c r="P124" s="38" t="n"/>
      <c r="Q124" s="27" t="n"/>
    </row>
    <row r="125">
      <c r="A125" s="27" t="n"/>
      <c r="B125" s="27" t="n"/>
      <c r="C125" s="27" t="n"/>
      <c r="D125" s="27" t="n"/>
      <c r="E125" s="27" t="n"/>
      <c r="F125" s="28" t="n"/>
      <c r="G125" s="38" t="n"/>
      <c r="H125" s="27" t="n"/>
      <c r="I125" s="28" t="n"/>
      <c r="J125" s="36" t="n"/>
      <c r="K125" s="38" t="n"/>
      <c r="L125" s="38" t="n"/>
      <c r="M125" s="38" t="n"/>
      <c r="N125" s="34">
        <f>IF(COUNT(K125:M125)=0,"",MEDIAN(K125:M125))</f>
        <v/>
      </c>
      <c r="O125" s="27" t="n"/>
      <c r="P125" s="38" t="n"/>
      <c r="Q125" s="27" t="n"/>
    </row>
    <row r="126">
      <c r="A126" s="27" t="n"/>
      <c r="B126" s="27" t="n"/>
      <c r="C126" s="27" t="n"/>
      <c r="D126" s="27" t="n"/>
      <c r="E126" s="27" t="n"/>
      <c r="F126" s="28" t="n"/>
      <c r="G126" s="38" t="n"/>
      <c r="H126" s="27" t="n"/>
      <c r="I126" s="28" t="n"/>
      <c r="J126" s="36" t="n"/>
      <c r="K126" s="38" t="n"/>
      <c r="L126" s="38" t="n"/>
      <c r="M126" s="38" t="n"/>
      <c r="N126" s="34">
        <f>IF(COUNT(K126:M126)=0,"",MEDIAN(K126:M126))</f>
        <v/>
      </c>
      <c r="O126" s="27" t="n"/>
      <c r="P126" s="38" t="n"/>
      <c r="Q126" s="27" t="n"/>
    </row>
    <row r="127">
      <c r="A127" s="27" t="n"/>
      <c r="B127" s="27" t="n"/>
      <c r="C127" s="27" t="n"/>
      <c r="D127" s="27" t="n"/>
      <c r="E127" s="27" t="n"/>
      <c r="F127" s="28" t="n"/>
      <c r="G127" s="38" t="n"/>
      <c r="H127" s="27" t="n"/>
      <c r="I127" s="28" t="n"/>
      <c r="J127" s="36" t="n"/>
      <c r="K127" s="38" t="n"/>
      <c r="L127" s="38" t="n"/>
      <c r="M127" s="38" t="n"/>
      <c r="N127" s="34">
        <f>IF(COUNT(K127:M127)=0,"",MEDIAN(K127:M127))</f>
        <v/>
      </c>
      <c r="O127" s="27" t="n"/>
      <c r="P127" s="38" t="n"/>
      <c r="Q127" s="27" t="n"/>
    </row>
    <row r="128">
      <c r="A128" s="27" t="n"/>
      <c r="B128" s="27" t="n"/>
      <c r="C128" s="27" t="n"/>
      <c r="D128" s="27" t="n"/>
      <c r="E128" s="27" t="n"/>
      <c r="F128" s="28" t="n"/>
      <c r="G128" s="38" t="n"/>
      <c r="H128" s="27" t="n"/>
      <c r="I128" s="28" t="n"/>
      <c r="J128" s="36" t="n"/>
      <c r="K128" s="38" t="n"/>
      <c r="L128" s="38" t="n"/>
      <c r="M128" s="38" t="n"/>
      <c r="N128" s="34">
        <f>IF(COUNT(K128:M128)=0,"",MEDIAN(K128:M128))</f>
        <v/>
      </c>
      <c r="O128" s="27" t="n"/>
      <c r="P128" s="38" t="n"/>
      <c r="Q128" s="27" t="n"/>
    </row>
    <row r="129">
      <c r="A129" s="27" t="n"/>
      <c r="B129" s="27" t="n"/>
      <c r="C129" s="27" t="n"/>
      <c r="D129" s="27" t="n"/>
      <c r="E129" s="27" t="n"/>
      <c r="F129" s="28" t="n"/>
      <c r="G129" s="38" t="n"/>
      <c r="H129" s="27" t="n"/>
      <c r="I129" s="28" t="n"/>
      <c r="J129" s="36" t="n"/>
      <c r="K129" s="38" t="n"/>
      <c r="L129" s="38" t="n"/>
      <c r="M129" s="38" t="n"/>
      <c r="N129" s="34">
        <f>IF(COUNT(K129:M129)=0,"",MEDIAN(K129:M129))</f>
        <v/>
      </c>
      <c r="O129" s="27" t="n"/>
      <c r="P129" s="38" t="n"/>
      <c r="Q129" s="27" t="n"/>
    </row>
    <row r="130">
      <c r="A130" s="27" t="n"/>
      <c r="B130" s="27" t="n"/>
      <c r="C130" s="27" t="n"/>
      <c r="D130" s="27" t="n"/>
      <c r="E130" s="27" t="n"/>
      <c r="F130" s="28" t="n"/>
      <c r="G130" s="38" t="n"/>
      <c r="H130" s="27" t="n"/>
      <c r="I130" s="28" t="n"/>
      <c r="J130" s="36" t="n"/>
      <c r="K130" s="38" t="n"/>
      <c r="L130" s="38" t="n"/>
      <c r="M130" s="38" t="n"/>
      <c r="N130" s="34">
        <f>IF(COUNT(K130:M130)=0,"",MEDIAN(K130:M130))</f>
        <v/>
      </c>
      <c r="O130" s="27" t="n"/>
      <c r="P130" s="38" t="n"/>
      <c r="Q130" s="27" t="n"/>
    </row>
    <row r="131">
      <c r="A131" s="27" t="n"/>
      <c r="B131" s="27" t="n"/>
      <c r="C131" s="27" t="n"/>
      <c r="D131" s="27" t="n"/>
      <c r="E131" s="27" t="n"/>
      <c r="F131" s="28" t="n"/>
      <c r="G131" s="38" t="n"/>
      <c r="H131" s="27" t="n"/>
      <c r="I131" s="28" t="n"/>
      <c r="J131" s="36" t="n"/>
      <c r="K131" s="38" t="n"/>
      <c r="L131" s="38" t="n"/>
      <c r="M131" s="38" t="n"/>
      <c r="N131" s="34">
        <f>IF(COUNT(K131:M131)=0,"",MEDIAN(K131:M131))</f>
        <v/>
      </c>
      <c r="O131" s="27" t="n"/>
      <c r="P131" s="38" t="n"/>
      <c r="Q131" s="27" t="n"/>
    </row>
    <row r="132">
      <c r="A132" s="27" t="n"/>
      <c r="B132" s="27" t="n"/>
      <c r="C132" s="27" t="n"/>
      <c r="D132" s="27" t="n"/>
      <c r="E132" s="27" t="n"/>
      <c r="F132" s="28" t="n"/>
      <c r="G132" s="38" t="n"/>
      <c r="H132" s="27" t="n"/>
      <c r="I132" s="28" t="n"/>
      <c r="J132" s="36" t="n"/>
      <c r="K132" s="38" t="n"/>
      <c r="L132" s="38" t="n"/>
      <c r="M132" s="38" t="n"/>
      <c r="N132" s="34">
        <f>IF(COUNT(K132:M132)=0,"",MEDIAN(K132:M132))</f>
        <v/>
      </c>
      <c r="O132" s="27" t="n"/>
      <c r="P132" s="38" t="n"/>
      <c r="Q132" s="27" t="n"/>
    </row>
    <row r="133">
      <c r="A133" s="27" t="n"/>
      <c r="B133" s="27" t="n"/>
      <c r="C133" s="27" t="n"/>
      <c r="D133" s="27" t="n"/>
      <c r="E133" s="27" t="n"/>
      <c r="F133" s="28" t="n"/>
      <c r="G133" s="38" t="n"/>
      <c r="H133" s="27" t="n"/>
      <c r="I133" s="28" t="n"/>
      <c r="J133" s="36" t="n"/>
      <c r="K133" s="38" t="n"/>
      <c r="L133" s="38" t="n"/>
      <c r="M133" s="38" t="n"/>
      <c r="N133" s="34">
        <f>IF(COUNT(K133:M133)=0,"",MEDIAN(K133:M133))</f>
        <v/>
      </c>
      <c r="O133" s="27" t="n"/>
      <c r="P133" s="38" t="n"/>
      <c r="Q133" s="27" t="n"/>
    </row>
    <row r="134">
      <c r="A134" s="27" t="n"/>
      <c r="B134" s="27" t="n"/>
      <c r="C134" s="27" t="n"/>
      <c r="D134" s="27" t="n"/>
      <c r="E134" s="27" t="n"/>
      <c r="F134" s="28" t="n"/>
      <c r="G134" s="38" t="n"/>
      <c r="H134" s="27" t="n"/>
      <c r="I134" s="28" t="n"/>
      <c r="J134" s="36" t="n"/>
      <c r="K134" s="38" t="n"/>
      <c r="L134" s="38" t="n"/>
      <c r="M134" s="38" t="n"/>
      <c r="N134" s="34">
        <f>IF(COUNT(K134:M134)=0,"",MEDIAN(K134:M134))</f>
        <v/>
      </c>
      <c r="O134" s="27" t="n"/>
      <c r="P134" s="38" t="n"/>
      <c r="Q134" s="27" t="n"/>
    </row>
    <row r="135">
      <c r="A135" s="27" t="n"/>
      <c r="B135" s="27" t="n"/>
      <c r="C135" s="27" t="n"/>
      <c r="D135" s="27" t="n"/>
      <c r="E135" s="27" t="n"/>
      <c r="F135" s="28" t="n"/>
      <c r="G135" s="38" t="n"/>
      <c r="H135" s="27" t="n"/>
      <c r="I135" s="28" t="n"/>
      <c r="J135" s="36" t="n"/>
      <c r="K135" s="38" t="n"/>
      <c r="L135" s="38" t="n"/>
      <c r="M135" s="38" t="n"/>
      <c r="N135" s="34">
        <f>IF(COUNT(K135:M135)=0,"",MEDIAN(K135:M135))</f>
        <v/>
      </c>
      <c r="O135" s="27" t="n"/>
      <c r="P135" s="38" t="n"/>
      <c r="Q135" s="27" t="n"/>
    </row>
    <row r="136">
      <c r="A136" s="27" t="n"/>
      <c r="B136" s="27" t="n"/>
      <c r="C136" s="27" t="n"/>
      <c r="D136" s="27" t="n"/>
      <c r="E136" s="27" t="n"/>
      <c r="F136" s="28" t="n"/>
      <c r="G136" s="38" t="n"/>
      <c r="H136" s="27" t="n"/>
      <c r="I136" s="28" t="n"/>
      <c r="J136" s="36" t="n"/>
      <c r="K136" s="38" t="n"/>
      <c r="L136" s="38" t="n"/>
      <c r="M136" s="38" t="n"/>
      <c r="N136" s="34">
        <f>IF(COUNT(K136:M136)=0,"",MEDIAN(K136:M136))</f>
        <v/>
      </c>
      <c r="O136" s="27" t="n"/>
      <c r="P136" s="38" t="n"/>
      <c r="Q136" s="27" t="n"/>
    </row>
    <row r="137">
      <c r="A137" s="27" t="n"/>
      <c r="B137" s="27" t="n"/>
      <c r="C137" s="27" t="n"/>
      <c r="D137" s="27" t="n"/>
      <c r="E137" s="27" t="n"/>
      <c r="F137" s="28" t="n"/>
      <c r="G137" s="38" t="n"/>
      <c r="H137" s="27" t="n"/>
      <c r="I137" s="28" t="n"/>
      <c r="J137" s="36" t="n"/>
      <c r="K137" s="38" t="n"/>
      <c r="L137" s="38" t="n"/>
      <c r="M137" s="38" t="n"/>
      <c r="N137" s="34">
        <f>IF(COUNT(K137:M137)=0,"",MEDIAN(K137:M137))</f>
        <v/>
      </c>
      <c r="O137" s="27" t="n"/>
      <c r="P137" s="38" t="n"/>
      <c r="Q137" s="27" t="n"/>
    </row>
    <row r="138">
      <c r="A138" s="27" t="n"/>
      <c r="B138" s="27" t="n"/>
      <c r="C138" s="27" t="n"/>
      <c r="D138" s="27" t="n"/>
      <c r="E138" s="27" t="n"/>
      <c r="F138" s="28" t="n"/>
      <c r="G138" s="38" t="n"/>
      <c r="H138" s="27" t="n"/>
      <c r="I138" s="28" t="n"/>
      <c r="J138" s="36" t="n"/>
      <c r="K138" s="38" t="n"/>
      <c r="L138" s="38" t="n"/>
      <c r="M138" s="38" t="n"/>
      <c r="N138" s="34">
        <f>IF(COUNT(K138:M138)=0,"",MEDIAN(K138:M138))</f>
        <v/>
      </c>
      <c r="O138" s="27" t="n"/>
      <c r="P138" s="38" t="n"/>
      <c r="Q138" s="27" t="n"/>
    </row>
    <row r="139">
      <c r="A139" s="27" t="n"/>
      <c r="B139" s="27" t="n"/>
      <c r="C139" s="27" t="n"/>
      <c r="D139" s="27" t="n"/>
      <c r="E139" s="27" t="n"/>
      <c r="F139" s="28" t="n"/>
      <c r="G139" s="38" t="n"/>
      <c r="H139" s="27" t="n"/>
      <c r="I139" s="28" t="n"/>
      <c r="J139" s="36" t="n"/>
      <c r="K139" s="38" t="n"/>
      <c r="L139" s="38" t="n"/>
      <c r="M139" s="38" t="n"/>
      <c r="N139" s="34">
        <f>IF(COUNT(K139:M139)=0,"",MEDIAN(K139:M139))</f>
        <v/>
      </c>
      <c r="O139" s="27" t="n"/>
      <c r="P139" s="38" t="n"/>
      <c r="Q139" s="27" t="n"/>
    </row>
    <row r="140">
      <c r="A140" s="27" t="n"/>
      <c r="B140" s="27" t="n"/>
      <c r="C140" s="27" t="n"/>
      <c r="D140" s="27" t="n"/>
      <c r="E140" s="27" t="n"/>
      <c r="F140" s="28" t="n"/>
      <c r="G140" s="38" t="n"/>
      <c r="H140" s="27" t="n"/>
      <c r="I140" s="28" t="n"/>
      <c r="J140" s="36" t="n"/>
      <c r="K140" s="38" t="n"/>
      <c r="L140" s="38" t="n"/>
      <c r="M140" s="38" t="n"/>
      <c r="N140" s="34">
        <f>IF(COUNT(K140:M140)=0,"",MEDIAN(K140:M140))</f>
        <v/>
      </c>
      <c r="O140" s="27" t="n"/>
      <c r="P140" s="38" t="n"/>
      <c r="Q140" s="27" t="n"/>
    </row>
    <row r="141">
      <c r="A141" s="27" t="n"/>
      <c r="B141" s="27" t="n"/>
      <c r="C141" s="27" t="n"/>
      <c r="D141" s="27" t="n"/>
      <c r="E141" s="27" t="n"/>
      <c r="F141" s="28" t="n"/>
      <c r="G141" s="38" t="n"/>
      <c r="H141" s="27" t="n"/>
      <c r="I141" s="28" t="n"/>
      <c r="J141" s="36" t="n"/>
      <c r="K141" s="38" t="n"/>
      <c r="L141" s="38" t="n"/>
      <c r="M141" s="38" t="n"/>
      <c r="N141" s="34">
        <f>IF(COUNT(K141:M141)=0,"",MEDIAN(K141:M141))</f>
        <v/>
      </c>
      <c r="O141" s="27" t="n"/>
      <c r="P141" s="38" t="n"/>
      <c r="Q141" s="27" t="n"/>
    </row>
    <row r="142">
      <c r="A142" s="27" t="n"/>
      <c r="B142" s="27" t="n"/>
      <c r="C142" s="27" t="n"/>
      <c r="D142" s="27" t="n"/>
      <c r="E142" s="27" t="n"/>
      <c r="F142" s="28" t="n"/>
      <c r="G142" s="38" t="n"/>
      <c r="H142" s="27" t="n"/>
      <c r="I142" s="28" t="n"/>
      <c r="J142" s="36" t="n"/>
      <c r="K142" s="38" t="n"/>
      <c r="L142" s="38" t="n"/>
      <c r="M142" s="38" t="n"/>
      <c r="N142" s="34">
        <f>IF(COUNT(K142:M142)=0,"",MEDIAN(K142:M142))</f>
        <v/>
      </c>
      <c r="O142" s="27" t="n"/>
      <c r="P142" s="38" t="n"/>
      <c r="Q142" s="27" t="n"/>
    </row>
    <row r="143">
      <c r="A143" s="27" t="n"/>
      <c r="B143" s="27" t="n"/>
      <c r="C143" s="27" t="n"/>
      <c r="D143" s="27" t="n"/>
      <c r="E143" s="27" t="n"/>
      <c r="F143" s="28" t="n"/>
      <c r="G143" s="38" t="n"/>
      <c r="H143" s="27" t="n"/>
      <c r="I143" s="28" t="n"/>
      <c r="J143" s="36" t="n"/>
      <c r="K143" s="38" t="n"/>
      <c r="L143" s="38" t="n"/>
      <c r="M143" s="38" t="n"/>
      <c r="N143" s="34">
        <f>IF(COUNT(K143:M143)=0,"",MEDIAN(K143:M143))</f>
        <v/>
      </c>
      <c r="O143" s="27" t="n"/>
      <c r="P143" s="38" t="n"/>
      <c r="Q143" s="27" t="n"/>
    </row>
    <row r="144">
      <c r="A144" s="27" t="n"/>
      <c r="B144" s="27" t="n"/>
      <c r="C144" s="27" t="n"/>
      <c r="D144" s="27" t="n"/>
      <c r="E144" s="27" t="n"/>
      <c r="F144" s="28" t="n"/>
      <c r="G144" s="38" t="n"/>
      <c r="H144" s="27" t="n"/>
      <c r="I144" s="28" t="n"/>
      <c r="J144" s="36" t="n"/>
      <c r="K144" s="38" t="n"/>
      <c r="L144" s="38" t="n"/>
      <c r="M144" s="38" t="n"/>
      <c r="N144" s="34">
        <f>IF(COUNT(K144:M144)=0,"",MEDIAN(K144:M144))</f>
        <v/>
      </c>
      <c r="O144" s="27" t="n"/>
      <c r="P144" s="38" t="n"/>
      <c r="Q144" s="27" t="n"/>
    </row>
    <row r="145">
      <c r="A145" s="27" t="n"/>
      <c r="B145" s="27" t="n"/>
      <c r="C145" s="27" t="n"/>
      <c r="D145" s="27" t="n"/>
      <c r="E145" s="27" t="n"/>
      <c r="F145" s="28" t="n"/>
      <c r="G145" s="38" t="n"/>
      <c r="H145" s="27" t="n"/>
      <c r="I145" s="28" t="n"/>
      <c r="J145" s="36" t="n"/>
      <c r="K145" s="38" t="n"/>
      <c r="L145" s="38" t="n"/>
      <c r="M145" s="38" t="n"/>
      <c r="N145" s="34">
        <f>IF(COUNT(K145:M145)=0,"",MEDIAN(K145:M145))</f>
        <v/>
      </c>
      <c r="O145" s="27" t="n"/>
      <c r="P145" s="38" t="n"/>
      <c r="Q145" s="27" t="n"/>
    </row>
    <row r="146">
      <c r="A146" s="27" t="n"/>
      <c r="B146" s="27" t="n"/>
      <c r="C146" s="27" t="n"/>
      <c r="D146" s="27" t="n"/>
      <c r="E146" s="27" t="n"/>
      <c r="F146" s="28" t="n"/>
      <c r="G146" s="38" t="n"/>
      <c r="H146" s="27" t="n"/>
      <c r="I146" s="28" t="n"/>
      <c r="J146" s="36" t="n"/>
      <c r="K146" s="38" t="n"/>
      <c r="L146" s="38" t="n"/>
      <c r="M146" s="38" t="n"/>
      <c r="N146" s="34">
        <f>IF(COUNT(K146:M146)=0,"",MEDIAN(K146:M146))</f>
        <v/>
      </c>
      <c r="O146" s="27" t="n"/>
      <c r="P146" s="38" t="n"/>
      <c r="Q146" s="27" t="n"/>
    </row>
    <row r="147">
      <c r="A147" s="27" t="n"/>
      <c r="B147" s="27" t="n"/>
      <c r="C147" s="27" t="n"/>
      <c r="D147" s="27" t="n"/>
      <c r="E147" s="27" t="n"/>
      <c r="F147" s="28" t="n"/>
      <c r="G147" s="38" t="n"/>
      <c r="H147" s="27" t="n"/>
      <c r="I147" s="28" t="n"/>
      <c r="J147" s="36" t="n"/>
      <c r="K147" s="38" t="n"/>
      <c r="L147" s="38" t="n"/>
      <c r="M147" s="38" t="n"/>
      <c r="N147" s="34">
        <f>IF(COUNT(K147:M147)=0,"",MEDIAN(K147:M147))</f>
        <v/>
      </c>
      <c r="O147" s="27" t="n"/>
      <c r="P147" s="38" t="n"/>
      <c r="Q147" s="27" t="n"/>
    </row>
    <row r="148">
      <c r="A148" s="27" t="n"/>
      <c r="B148" s="27" t="n"/>
      <c r="C148" s="27" t="n"/>
      <c r="D148" s="27" t="n"/>
      <c r="E148" s="27" t="n"/>
      <c r="F148" s="28" t="n"/>
      <c r="G148" s="38" t="n"/>
      <c r="H148" s="27" t="n"/>
      <c r="I148" s="28" t="n"/>
      <c r="J148" s="36" t="n"/>
      <c r="K148" s="38" t="n"/>
      <c r="L148" s="38" t="n"/>
      <c r="M148" s="38" t="n"/>
      <c r="N148" s="34">
        <f>IF(COUNT(K148:M148)=0,"",MEDIAN(K148:M148))</f>
        <v/>
      </c>
      <c r="O148" s="27" t="n"/>
      <c r="P148" s="38" t="n"/>
      <c r="Q148" s="27" t="n"/>
    </row>
    <row r="149">
      <c r="A149" s="27" t="n"/>
      <c r="B149" s="27" t="n"/>
      <c r="C149" s="27" t="n"/>
      <c r="D149" s="27" t="n"/>
      <c r="E149" s="27" t="n"/>
      <c r="F149" s="28" t="n"/>
      <c r="G149" s="38" t="n"/>
      <c r="H149" s="27" t="n"/>
      <c r="I149" s="28" t="n"/>
      <c r="J149" s="36" t="n"/>
      <c r="K149" s="38" t="n"/>
      <c r="L149" s="38" t="n"/>
      <c r="M149" s="38" t="n"/>
      <c r="N149" s="34">
        <f>IF(COUNT(K149:M149)=0,"",MEDIAN(K149:M149))</f>
        <v/>
      </c>
      <c r="O149" s="27" t="n"/>
      <c r="P149" s="38" t="n"/>
      <c r="Q149" s="27" t="n"/>
    </row>
    <row r="150">
      <c r="A150" s="27" t="n"/>
      <c r="B150" s="27" t="n"/>
      <c r="C150" s="27" t="n"/>
      <c r="D150" s="27" t="n"/>
      <c r="E150" s="27" t="n"/>
      <c r="F150" s="28" t="n"/>
      <c r="G150" s="38" t="n"/>
      <c r="H150" s="27" t="n"/>
      <c r="I150" s="28" t="n"/>
      <c r="J150" s="36" t="n"/>
      <c r="K150" s="38" t="n"/>
      <c r="L150" s="38" t="n"/>
      <c r="M150" s="38" t="n"/>
      <c r="N150" s="34">
        <f>IF(COUNT(K150:M150)=0,"",MEDIAN(K150:M150))</f>
        <v/>
      </c>
      <c r="O150" s="27" t="n"/>
      <c r="P150" s="38" t="n"/>
      <c r="Q150" s="27" t="n"/>
    </row>
    <row r="151">
      <c r="A151" s="27" t="n"/>
      <c r="B151" s="27" t="n"/>
      <c r="C151" s="27" t="n"/>
      <c r="D151" s="27" t="n"/>
      <c r="E151" s="27" t="n"/>
      <c r="F151" s="28" t="n"/>
      <c r="G151" s="38" t="n"/>
      <c r="H151" s="27" t="n"/>
      <c r="I151" s="28" t="n"/>
      <c r="J151" s="36" t="n"/>
      <c r="K151" s="38" t="n"/>
      <c r="L151" s="38" t="n"/>
      <c r="M151" s="38" t="n"/>
      <c r="N151" s="34">
        <f>IF(COUNT(K151:M151)=0,"",MEDIAN(K151:M151))</f>
        <v/>
      </c>
      <c r="O151" s="27" t="n"/>
      <c r="P151" s="38" t="n"/>
      <c r="Q151" s="27" t="n"/>
    </row>
    <row r="152">
      <c r="A152" s="27" t="n"/>
      <c r="B152" s="27" t="n"/>
      <c r="C152" s="27" t="n"/>
      <c r="D152" s="27" t="n"/>
      <c r="E152" s="27" t="n"/>
      <c r="F152" s="28" t="n"/>
      <c r="G152" s="38" t="n"/>
      <c r="H152" s="27" t="n"/>
      <c r="I152" s="28" t="n"/>
      <c r="J152" s="36" t="n"/>
      <c r="K152" s="38" t="n"/>
      <c r="L152" s="38" t="n"/>
      <c r="M152" s="38" t="n"/>
      <c r="N152" s="34">
        <f>IF(COUNT(K152:M152)=0,"",MEDIAN(K152:M152))</f>
        <v/>
      </c>
      <c r="O152" s="27" t="n"/>
      <c r="P152" s="38" t="n"/>
      <c r="Q152" s="27" t="n"/>
    </row>
    <row r="153">
      <c r="A153" s="27" t="n"/>
      <c r="B153" s="27" t="n"/>
      <c r="C153" s="27" t="n"/>
      <c r="D153" s="27" t="n"/>
      <c r="E153" s="27" t="n"/>
      <c r="F153" s="28" t="n"/>
      <c r="G153" s="38" t="n"/>
      <c r="H153" s="27" t="n"/>
      <c r="I153" s="28" t="n"/>
      <c r="J153" s="36" t="n"/>
      <c r="K153" s="38" t="n"/>
      <c r="L153" s="38" t="n"/>
      <c r="M153" s="38" t="n"/>
      <c r="N153" s="34">
        <f>IF(COUNT(K153:M153)=0,"",MEDIAN(K153:M153))</f>
        <v/>
      </c>
      <c r="O153" s="27" t="n"/>
      <c r="P153" s="38" t="n"/>
      <c r="Q153" s="27" t="n"/>
    </row>
    <row r="154">
      <c r="A154" s="27" t="n"/>
      <c r="B154" s="27" t="n"/>
      <c r="C154" s="27" t="n"/>
      <c r="D154" s="27" t="n"/>
      <c r="E154" s="27" t="n"/>
      <c r="F154" s="28" t="n"/>
      <c r="G154" s="38" t="n"/>
      <c r="H154" s="27" t="n"/>
      <c r="I154" s="28" t="n"/>
      <c r="J154" s="36" t="n"/>
      <c r="K154" s="38" t="n"/>
      <c r="L154" s="38" t="n"/>
      <c r="M154" s="38" t="n"/>
      <c r="N154" s="34">
        <f>IF(COUNT(K154:M154)=0,"",MEDIAN(K154:M154))</f>
        <v/>
      </c>
      <c r="O154" s="27" t="n"/>
      <c r="P154" s="38" t="n"/>
      <c r="Q154" s="27" t="n"/>
    </row>
    <row r="155">
      <c r="A155" s="27" t="n"/>
      <c r="B155" s="27" t="n"/>
      <c r="C155" s="27" t="n"/>
      <c r="D155" s="27" t="n"/>
      <c r="E155" s="27" t="n"/>
      <c r="F155" s="28" t="n"/>
      <c r="G155" s="38" t="n"/>
      <c r="H155" s="27" t="n"/>
      <c r="I155" s="28" t="n"/>
      <c r="J155" s="36" t="n"/>
      <c r="K155" s="38" t="n"/>
      <c r="L155" s="38" t="n"/>
      <c r="M155" s="38" t="n"/>
      <c r="N155" s="34">
        <f>IF(COUNT(K155:M155)=0,"",MEDIAN(K155:M155))</f>
        <v/>
      </c>
      <c r="O155" s="27" t="n"/>
      <c r="P155" s="38" t="n"/>
      <c r="Q155" s="27" t="n"/>
    </row>
    <row r="156">
      <c r="A156" s="27" t="n"/>
      <c r="B156" s="27" t="n"/>
      <c r="C156" s="27" t="n"/>
      <c r="D156" s="27" t="n"/>
      <c r="E156" s="27" t="n"/>
      <c r="F156" s="28" t="n"/>
      <c r="G156" s="38" t="n"/>
      <c r="H156" s="27" t="n"/>
      <c r="I156" s="28" t="n"/>
      <c r="J156" s="36" t="n"/>
      <c r="K156" s="38" t="n"/>
      <c r="L156" s="38" t="n"/>
      <c r="M156" s="38" t="n"/>
      <c r="N156" s="34">
        <f>IF(COUNT(K156:M156)=0,"",MEDIAN(K156:M156))</f>
        <v/>
      </c>
      <c r="O156" s="27" t="n"/>
      <c r="P156" s="38" t="n"/>
      <c r="Q156" s="27" t="n"/>
    </row>
    <row r="157">
      <c r="A157" s="27" t="n"/>
      <c r="B157" s="27" t="n"/>
      <c r="C157" s="27" t="n"/>
      <c r="D157" s="27" t="n"/>
      <c r="E157" s="27" t="n"/>
      <c r="F157" s="28" t="n"/>
      <c r="G157" s="38" t="n"/>
      <c r="H157" s="27" t="n"/>
      <c r="I157" s="28" t="n"/>
      <c r="J157" s="36" t="n"/>
      <c r="K157" s="38" t="n"/>
      <c r="L157" s="38" t="n"/>
      <c r="M157" s="38" t="n"/>
      <c r="N157" s="34">
        <f>IF(COUNT(K157:M157)=0,"",MEDIAN(K157:M157))</f>
        <v/>
      </c>
      <c r="O157" s="27" t="n"/>
      <c r="P157" s="38" t="n"/>
      <c r="Q157" s="27" t="n"/>
    </row>
    <row r="158">
      <c r="A158" s="27" t="n"/>
      <c r="B158" s="27" t="n"/>
      <c r="C158" s="27" t="n"/>
      <c r="D158" s="27" t="n"/>
      <c r="E158" s="27" t="n"/>
      <c r="F158" s="28" t="n"/>
      <c r="G158" s="38" t="n"/>
      <c r="H158" s="27" t="n"/>
      <c r="I158" s="28" t="n"/>
      <c r="J158" s="36" t="n"/>
      <c r="K158" s="38" t="n"/>
      <c r="L158" s="38" t="n"/>
      <c r="M158" s="38" t="n"/>
      <c r="N158" s="34">
        <f>IF(COUNT(K158:M158)=0,"",MEDIAN(K158:M158))</f>
        <v/>
      </c>
      <c r="O158" s="27" t="n"/>
      <c r="P158" s="38" t="n"/>
      <c r="Q158" s="27" t="n"/>
    </row>
    <row r="159">
      <c r="A159" s="27" t="n"/>
      <c r="B159" s="27" t="n"/>
      <c r="C159" s="27" t="n"/>
      <c r="D159" s="27" t="n"/>
      <c r="E159" s="27" t="n"/>
      <c r="F159" s="28" t="n"/>
      <c r="G159" s="38" t="n"/>
      <c r="H159" s="27" t="n"/>
      <c r="I159" s="28" t="n"/>
      <c r="J159" s="36" t="n"/>
      <c r="K159" s="38" t="n"/>
      <c r="L159" s="38" t="n"/>
      <c r="M159" s="38" t="n"/>
      <c r="N159" s="34">
        <f>IF(COUNT(K159:M159)=0,"",MEDIAN(K159:M159))</f>
        <v/>
      </c>
      <c r="O159" s="27" t="n"/>
      <c r="P159" s="38" t="n"/>
      <c r="Q159" s="27" t="n"/>
    </row>
    <row r="160">
      <c r="A160" s="27" t="n"/>
      <c r="B160" s="27" t="n"/>
      <c r="C160" s="27" t="n"/>
      <c r="D160" s="27" t="n"/>
      <c r="E160" s="27" t="n"/>
      <c r="F160" s="28" t="n"/>
      <c r="G160" s="38" t="n"/>
      <c r="H160" s="27" t="n"/>
      <c r="I160" s="28" t="n"/>
      <c r="J160" s="36" t="n"/>
      <c r="K160" s="38" t="n"/>
      <c r="L160" s="38" t="n"/>
      <c r="M160" s="38" t="n"/>
      <c r="N160" s="34">
        <f>IF(COUNT(K160:M160)=0,"",MEDIAN(K160:M160))</f>
        <v/>
      </c>
      <c r="O160" s="27" t="n"/>
      <c r="P160" s="38" t="n"/>
      <c r="Q160" s="27" t="n"/>
    </row>
    <row r="161">
      <c r="A161" s="27" t="n"/>
      <c r="B161" s="27" t="n"/>
      <c r="C161" s="27" t="n"/>
      <c r="D161" s="27" t="n"/>
      <c r="E161" s="27" t="n"/>
      <c r="F161" s="28" t="n"/>
      <c r="G161" s="38" t="n"/>
      <c r="H161" s="27" t="n"/>
      <c r="I161" s="28" t="n"/>
      <c r="J161" s="36" t="n"/>
      <c r="K161" s="38" t="n"/>
      <c r="L161" s="38" t="n"/>
      <c r="M161" s="38" t="n"/>
      <c r="N161" s="34">
        <f>IF(COUNT(K161:M161)=0,"",MEDIAN(K161:M161))</f>
        <v/>
      </c>
      <c r="O161" s="27" t="n"/>
      <c r="P161" s="38" t="n"/>
      <c r="Q161" s="27" t="n"/>
    </row>
    <row r="162">
      <c r="A162" s="27" t="n"/>
      <c r="B162" s="27" t="n"/>
      <c r="C162" s="27" t="n"/>
      <c r="D162" s="27" t="n"/>
      <c r="E162" s="27" t="n"/>
      <c r="F162" s="28" t="n"/>
      <c r="G162" s="38" t="n"/>
      <c r="H162" s="27" t="n"/>
      <c r="I162" s="28" t="n"/>
      <c r="J162" s="36" t="n"/>
      <c r="K162" s="38" t="n"/>
      <c r="L162" s="38" t="n"/>
      <c r="M162" s="38" t="n"/>
      <c r="N162" s="34">
        <f>IF(COUNT(K162:M162)=0,"",MEDIAN(K162:M162))</f>
        <v/>
      </c>
      <c r="O162" s="27" t="n"/>
      <c r="P162" s="38" t="n"/>
      <c r="Q162" s="27" t="n"/>
    </row>
    <row r="163">
      <c r="A163" s="27" t="n"/>
      <c r="B163" s="27" t="n"/>
      <c r="C163" s="27" t="n"/>
      <c r="D163" s="27" t="n"/>
      <c r="E163" s="27" t="n"/>
      <c r="F163" s="28" t="n"/>
      <c r="G163" s="38" t="n"/>
      <c r="H163" s="27" t="n"/>
      <c r="I163" s="28" t="n"/>
      <c r="J163" s="36" t="n"/>
      <c r="K163" s="38" t="n"/>
      <c r="L163" s="38" t="n"/>
      <c r="M163" s="38" t="n"/>
      <c r="N163" s="34">
        <f>IF(COUNT(K163:M163)=0,"",MEDIAN(K163:M163))</f>
        <v/>
      </c>
      <c r="O163" s="27" t="n"/>
      <c r="P163" s="38" t="n"/>
      <c r="Q163" s="27" t="n"/>
    </row>
    <row r="164">
      <c r="A164" s="27" t="n"/>
      <c r="B164" s="27" t="n"/>
      <c r="C164" s="27" t="n"/>
      <c r="D164" s="27" t="n"/>
      <c r="E164" s="27" t="n"/>
      <c r="F164" s="28" t="n"/>
      <c r="G164" s="38" t="n"/>
      <c r="H164" s="27" t="n"/>
      <c r="I164" s="28" t="n"/>
      <c r="J164" s="36" t="n"/>
      <c r="K164" s="38" t="n"/>
      <c r="L164" s="38" t="n"/>
      <c r="M164" s="38" t="n"/>
      <c r="N164" s="34">
        <f>IF(COUNT(K164:M164)=0,"",MEDIAN(K164:M164))</f>
        <v/>
      </c>
      <c r="O164" s="27" t="n"/>
      <c r="P164" s="38" t="n"/>
      <c r="Q164" s="27" t="n"/>
    </row>
    <row r="165">
      <c r="A165" s="27" t="n"/>
      <c r="B165" s="27" t="n"/>
      <c r="C165" s="27" t="n"/>
      <c r="D165" s="27" t="n"/>
      <c r="E165" s="27" t="n"/>
      <c r="F165" s="28" t="n"/>
      <c r="G165" s="38" t="n"/>
      <c r="H165" s="27" t="n"/>
      <c r="I165" s="28" t="n"/>
      <c r="J165" s="36" t="n"/>
      <c r="K165" s="38" t="n"/>
      <c r="L165" s="38" t="n"/>
      <c r="M165" s="38" t="n"/>
      <c r="N165" s="34">
        <f>IF(COUNT(K165:M165)=0,"",MEDIAN(K165:M165))</f>
        <v/>
      </c>
      <c r="O165" s="27" t="n"/>
      <c r="P165" s="38" t="n"/>
      <c r="Q165" s="27" t="n"/>
    </row>
    <row r="166">
      <c r="A166" s="27" t="n"/>
      <c r="B166" s="27" t="n"/>
      <c r="C166" s="27" t="n"/>
      <c r="D166" s="27" t="n"/>
      <c r="E166" s="27" t="n"/>
      <c r="F166" s="28" t="n"/>
      <c r="G166" s="38" t="n"/>
      <c r="H166" s="27" t="n"/>
      <c r="I166" s="28" t="n"/>
      <c r="J166" s="36" t="n"/>
      <c r="K166" s="38" t="n"/>
      <c r="L166" s="38" t="n"/>
      <c r="M166" s="38" t="n"/>
      <c r="N166" s="34">
        <f>IF(COUNT(K166:M166)=0,"",MEDIAN(K166:M166))</f>
        <v/>
      </c>
      <c r="O166" s="27" t="n"/>
      <c r="P166" s="38" t="n"/>
      <c r="Q166" s="27" t="n"/>
    </row>
    <row r="167">
      <c r="A167" s="27" t="n"/>
      <c r="B167" s="27" t="n"/>
      <c r="C167" s="27" t="n"/>
      <c r="D167" s="27" t="n"/>
      <c r="E167" s="27" t="n"/>
      <c r="F167" s="28" t="n"/>
      <c r="G167" s="38" t="n"/>
      <c r="H167" s="27" t="n"/>
      <c r="I167" s="28" t="n"/>
      <c r="J167" s="36" t="n"/>
      <c r="K167" s="38" t="n"/>
      <c r="L167" s="38" t="n"/>
      <c r="M167" s="38" t="n"/>
      <c r="N167" s="34">
        <f>IF(COUNT(K167:M167)=0,"",MEDIAN(K167:M167))</f>
        <v/>
      </c>
      <c r="O167" s="27" t="n"/>
      <c r="P167" s="38" t="n"/>
      <c r="Q167" s="27" t="n"/>
    </row>
    <row r="168">
      <c r="A168" s="27" t="n"/>
      <c r="B168" s="27" t="n"/>
      <c r="C168" s="27" t="n"/>
      <c r="D168" s="27" t="n"/>
      <c r="E168" s="27" t="n"/>
      <c r="F168" s="28" t="n"/>
      <c r="G168" s="38" t="n"/>
      <c r="H168" s="27" t="n"/>
      <c r="I168" s="28" t="n"/>
      <c r="J168" s="36" t="n"/>
      <c r="K168" s="38" t="n"/>
      <c r="L168" s="38" t="n"/>
      <c r="M168" s="38" t="n"/>
      <c r="N168" s="34">
        <f>IF(COUNT(K168:M168)=0,"",MEDIAN(K168:M168))</f>
        <v/>
      </c>
      <c r="O168" s="27" t="n"/>
      <c r="P168" s="38" t="n"/>
      <c r="Q168" s="27" t="n"/>
    </row>
    <row r="169">
      <c r="A169" s="27" t="n"/>
      <c r="B169" s="27" t="n"/>
      <c r="C169" s="27" t="n"/>
      <c r="D169" s="27" t="n"/>
      <c r="E169" s="27" t="n"/>
      <c r="F169" s="28" t="n"/>
      <c r="G169" s="38" t="n"/>
      <c r="H169" s="27" t="n"/>
      <c r="I169" s="28" t="n"/>
      <c r="J169" s="36" t="n"/>
      <c r="K169" s="38" t="n"/>
      <c r="L169" s="38" t="n"/>
      <c r="M169" s="38" t="n"/>
      <c r="N169" s="34">
        <f>IF(COUNT(K169:M169)=0,"",MEDIAN(K169:M169))</f>
        <v/>
      </c>
      <c r="O169" s="27" t="n"/>
      <c r="P169" s="38" t="n"/>
      <c r="Q169" s="27" t="n"/>
    </row>
    <row r="170">
      <c r="A170" s="27" t="n"/>
      <c r="B170" s="27" t="n"/>
      <c r="C170" s="27" t="n"/>
      <c r="D170" s="27" t="n"/>
      <c r="E170" s="27" t="n"/>
      <c r="F170" s="28" t="n"/>
      <c r="G170" s="38" t="n"/>
      <c r="H170" s="27" t="n"/>
      <c r="I170" s="28" t="n"/>
      <c r="J170" s="36" t="n"/>
      <c r="K170" s="38" t="n"/>
      <c r="L170" s="38" t="n"/>
      <c r="M170" s="38" t="n"/>
      <c r="N170" s="34">
        <f>IF(COUNT(K170:M170)=0,"",MEDIAN(K170:M170))</f>
        <v/>
      </c>
      <c r="O170" s="27" t="n"/>
      <c r="P170" s="38" t="n"/>
      <c r="Q170" s="27" t="n"/>
    </row>
    <row r="171">
      <c r="A171" s="27" t="n"/>
      <c r="B171" s="27" t="n"/>
      <c r="C171" s="27" t="n"/>
      <c r="D171" s="27" t="n"/>
      <c r="E171" s="27" t="n"/>
      <c r="F171" s="28" t="n"/>
      <c r="G171" s="38" t="n"/>
      <c r="H171" s="27" t="n"/>
      <c r="I171" s="28" t="n"/>
      <c r="J171" s="36" t="n"/>
      <c r="K171" s="38" t="n"/>
      <c r="L171" s="38" t="n"/>
      <c r="M171" s="38" t="n"/>
      <c r="N171" s="34">
        <f>IF(COUNT(K171:M171)=0,"",MEDIAN(K171:M171))</f>
        <v/>
      </c>
      <c r="O171" s="27" t="n"/>
      <c r="P171" s="38" t="n"/>
      <c r="Q171" s="27" t="n"/>
    </row>
    <row r="172">
      <c r="A172" s="27" t="n"/>
      <c r="B172" s="27" t="n"/>
      <c r="C172" s="27" t="n"/>
      <c r="D172" s="27" t="n"/>
      <c r="E172" s="27" t="n"/>
      <c r="F172" s="28" t="n"/>
      <c r="G172" s="38" t="n"/>
      <c r="H172" s="27" t="n"/>
      <c r="I172" s="28" t="n"/>
      <c r="J172" s="36" t="n"/>
      <c r="K172" s="38" t="n"/>
      <c r="L172" s="38" t="n"/>
      <c r="M172" s="38" t="n"/>
      <c r="N172" s="34">
        <f>IF(COUNT(K172:M172)=0,"",MEDIAN(K172:M172))</f>
        <v/>
      </c>
      <c r="O172" s="27" t="n"/>
      <c r="P172" s="38" t="n"/>
      <c r="Q172" s="27" t="n"/>
    </row>
    <row r="173">
      <c r="A173" s="27" t="n"/>
      <c r="B173" s="27" t="n"/>
      <c r="C173" s="27" t="n"/>
      <c r="D173" s="27" t="n"/>
      <c r="E173" s="27" t="n"/>
      <c r="F173" s="28" t="n"/>
      <c r="G173" s="38" t="n"/>
      <c r="H173" s="27" t="n"/>
      <c r="I173" s="28" t="n"/>
      <c r="J173" s="36" t="n"/>
      <c r="K173" s="38" t="n"/>
      <c r="L173" s="38" t="n"/>
      <c r="M173" s="38" t="n"/>
      <c r="N173" s="34">
        <f>IF(COUNT(K173:M173)=0,"",MEDIAN(K173:M173))</f>
        <v/>
      </c>
      <c r="O173" s="27" t="n"/>
      <c r="P173" s="38" t="n"/>
      <c r="Q173" s="27" t="n"/>
    </row>
    <row r="174">
      <c r="A174" s="27" t="n"/>
      <c r="B174" s="27" t="n"/>
      <c r="C174" s="27" t="n"/>
      <c r="D174" s="27" t="n"/>
      <c r="E174" s="27" t="n"/>
      <c r="F174" s="28" t="n"/>
      <c r="G174" s="38" t="n"/>
      <c r="H174" s="27" t="n"/>
      <c r="I174" s="28" t="n"/>
      <c r="J174" s="36" t="n"/>
      <c r="K174" s="38" t="n"/>
      <c r="L174" s="38" t="n"/>
      <c r="M174" s="38" t="n"/>
      <c r="N174" s="34">
        <f>IF(COUNT(K174:M174)=0,"",MEDIAN(K174:M174))</f>
        <v/>
      </c>
      <c r="O174" s="27" t="n"/>
      <c r="P174" s="38" t="n"/>
      <c r="Q174" s="27" t="n"/>
    </row>
    <row r="175">
      <c r="A175" s="27" t="n"/>
      <c r="B175" s="27" t="n"/>
      <c r="C175" s="27" t="n"/>
      <c r="D175" s="27" t="n"/>
      <c r="E175" s="27" t="n"/>
      <c r="F175" s="28" t="n"/>
      <c r="G175" s="38" t="n"/>
      <c r="H175" s="27" t="n"/>
      <c r="I175" s="28" t="n"/>
      <c r="J175" s="36" t="n"/>
      <c r="K175" s="38" t="n"/>
      <c r="L175" s="38" t="n"/>
      <c r="M175" s="38" t="n"/>
      <c r="N175" s="34">
        <f>IF(COUNT(K175:M175)=0,"",MEDIAN(K175:M175))</f>
        <v/>
      </c>
      <c r="O175" s="27" t="n"/>
      <c r="P175" s="38" t="n"/>
      <c r="Q175" s="27" t="n"/>
    </row>
    <row r="176">
      <c r="A176" s="27" t="n"/>
      <c r="B176" s="27" t="n"/>
      <c r="C176" s="27" t="n"/>
      <c r="D176" s="27" t="n"/>
      <c r="E176" s="27" t="n"/>
      <c r="F176" s="28" t="n"/>
      <c r="G176" s="38" t="n"/>
      <c r="H176" s="27" t="n"/>
      <c r="I176" s="28" t="n"/>
      <c r="J176" s="36" t="n"/>
      <c r="K176" s="38" t="n"/>
      <c r="L176" s="38" t="n"/>
      <c r="M176" s="38" t="n"/>
      <c r="N176" s="34">
        <f>IF(COUNT(K176:M176)=0,"",MEDIAN(K176:M176))</f>
        <v/>
      </c>
      <c r="O176" s="27" t="n"/>
      <c r="P176" s="38" t="n"/>
      <c r="Q176" s="27" t="n"/>
    </row>
    <row r="177">
      <c r="A177" s="27" t="n"/>
      <c r="B177" s="27" t="n"/>
      <c r="C177" s="27" t="n"/>
      <c r="D177" s="27" t="n"/>
      <c r="E177" s="27" t="n"/>
      <c r="F177" s="28" t="n"/>
      <c r="G177" s="38" t="n"/>
      <c r="H177" s="27" t="n"/>
      <c r="I177" s="28" t="n"/>
      <c r="J177" s="36" t="n"/>
      <c r="K177" s="38" t="n"/>
      <c r="L177" s="38" t="n"/>
      <c r="M177" s="38" t="n"/>
      <c r="N177" s="34">
        <f>IF(COUNT(K177:M177)=0,"",MEDIAN(K177:M177))</f>
        <v/>
      </c>
      <c r="O177" s="27" t="n"/>
      <c r="P177" s="38" t="n"/>
      <c r="Q177" s="27" t="n"/>
    </row>
    <row r="178">
      <c r="A178" s="27" t="n"/>
      <c r="B178" s="27" t="n"/>
      <c r="C178" s="27" t="n"/>
      <c r="D178" s="27" t="n"/>
      <c r="E178" s="27" t="n"/>
      <c r="F178" s="28" t="n"/>
      <c r="G178" s="38" t="n"/>
      <c r="H178" s="27" t="n"/>
      <c r="I178" s="28" t="n"/>
      <c r="J178" s="36" t="n"/>
      <c r="K178" s="38" t="n"/>
      <c r="L178" s="38" t="n"/>
      <c r="M178" s="38" t="n"/>
      <c r="N178" s="34">
        <f>IF(COUNT(K178:M178)=0,"",MEDIAN(K178:M178))</f>
        <v/>
      </c>
      <c r="O178" s="27" t="n"/>
      <c r="P178" s="38" t="n"/>
      <c r="Q178" s="27" t="n"/>
    </row>
    <row r="179">
      <c r="A179" s="27" t="n"/>
      <c r="B179" s="27" t="n"/>
      <c r="C179" s="27" t="n"/>
      <c r="D179" s="27" t="n"/>
      <c r="E179" s="27" t="n"/>
      <c r="F179" s="28" t="n"/>
      <c r="G179" s="38" t="n"/>
      <c r="H179" s="27" t="n"/>
      <c r="I179" s="28" t="n"/>
      <c r="J179" s="36" t="n"/>
      <c r="K179" s="38" t="n"/>
      <c r="L179" s="38" t="n"/>
      <c r="M179" s="38" t="n"/>
      <c r="N179" s="34">
        <f>IF(COUNT(K179:M179)=0,"",MEDIAN(K179:M179))</f>
        <v/>
      </c>
      <c r="O179" s="27" t="n"/>
      <c r="P179" s="38" t="n"/>
      <c r="Q179" s="27" t="n"/>
    </row>
    <row r="180">
      <c r="A180" s="27" t="n"/>
      <c r="B180" s="27" t="n"/>
      <c r="C180" s="27" t="n"/>
      <c r="D180" s="27" t="n"/>
      <c r="E180" s="27" t="n"/>
      <c r="F180" s="28" t="n"/>
      <c r="G180" s="38" t="n"/>
      <c r="H180" s="27" t="n"/>
      <c r="I180" s="28" t="n"/>
      <c r="J180" s="36" t="n"/>
      <c r="K180" s="38" t="n"/>
      <c r="L180" s="38" t="n"/>
      <c r="M180" s="38" t="n"/>
      <c r="N180" s="34">
        <f>IF(COUNT(K180:M180)=0,"",MEDIAN(K180:M180))</f>
        <v/>
      </c>
      <c r="O180" s="27" t="n"/>
      <c r="P180" s="38" t="n"/>
      <c r="Q180" s="27" t="n"/>
    </row>
    <row r="181">
      <c r="A181" s="27" t="n"/>
      <c r="B181" s="27" t="n"/>
      <c r="C181" s="27" t="n"/>
      <c r="D181" s="27" t="n"/>
      <c r="E181" s="27" t="n"/>
      <c r="F181" s="28" t="n"/>
      <c r="G181" s="38" t="n"/>
      <c r="H181" s="27" t="n"/>
      <c r="I181" s="28" t="n"/>
      <c r="J181" s="36" t="n"/>
      <c r="K181" s="38" t="n"/>
      <c r="L181" s="38" t="n"/>
      <c r="M181" s="38" t="n"/>
      <c r="N181" s="34">
        <f>IF(COUNT(K181:M181)=0,"",MEDIAN(K181:M181))</f>
        <v/>
      </c>
      <c r="O181" s="27" t="n"/>
      <c r="P181" s="38" t="n"/>
      <c r="Q181" s="27" t="n"/>
    </row>
    <row r="182">
      <c r="A182" s="27" t="n"/>
      <c r="B182" s="27" t="n"/>
      <c r="C182" s="27" t="n"/>
      <c r="D182" s="27" t="n"/>
      <c r="E182" s="27" t="n"/>
      <c r="F182" s="28" t="n"/>
      <c r="G182" s="38" t="n"/>
      <c r="H182" s="27" t="n"/>
      <c r="I182" s="28" t="n"/>
      <c r="J182" s="36" t="n"/>
      <c r="K182" s="38" t="n"/>
      <c r="L182" s="38" t="n"/>
      <c r="M182" s="38" t="n"/>
      <c r="N182" s="34">
        <f>IF(COUNT(K182:M182)=0,"",MEDIAN(K182:M182))</f>
        <v/>
      </c>
      <c r="O182" s="27" t="n"/>
      <c r="P182" s="38" t="n"/>
      <c r="Q182" s="27" t="n"/>
    </row>
    <row r="183">
      <c r="A183" s="27" t="n"/>
      <c r="B183" s="27" t="n"/>
      <c r="C183" s="27" t="n"/>
      <c r="D183" s="27" t="n"/>
      <c r="E183" s="27" t="n"/>
      <c r="F183" s="28" t="n"/>
      <c r="G183" s="38" t="n"/>
      <c r="H183" s="27" t="n"/>
      <c r="I183" s="28" t="n"/>
      <c r="J183" s="36" t="n"/>
      <c r="K183" s="38" t="n"/>
      <c r="L183" s="38" t="n"/>
      <c r="M183" s="38" t="n"/>
      <c r="N183" s="34">
        <f>IF(COUNT(K183:M183)=0,"",MEDIAN(K183:M183))</f>
        <v/>
      </c>
      <c r="O183" s="27" t="n"/>
      <c r="P183" s="38" t="n"/>
      <c r="Q183" s="27" t="n"/>
    </row>
    <row r="184">
      <c r="A184" s="27" t="n"/>
      <c r="B184" s="27" t="n"/>
      <c r="C184" s="27" t="n"/>
      <c r="D184" s="27" t="n"/>
      <c r="E184" s="27" t="n"/>
      <c r="F184" s="28" t="n"/>
      <c r="G184" s="38" t="n"/>
      <c r="H184" s="27" t="n"/>
      <c r="I184" s="28" t="n"/>
      <c r="J184" s="36" t="n"/>
      <c r="K184" s="38" t="n"/>
      <c r="L184" s="38" t="n"/>
      <c r="M184" s="38" t="n"/>
      <c r="N184" s="34">
        <f>IF(COUNT(K184:M184)=0,"",MEDIAN(K184:M184))</f>
        <v/>
      </c>
      <c r="O184" s="27" t="n"/>
      <c r="P184" s="38" t="n"/>
      <c r="Q184" s="27" t="n"/>
    </row>
    <row r="185">
      <c r="A185" s="27" t="n"/>
      <c r="B185" s="27" t="n"/>
      <c r="C185" s="27" t="n"/>
      <c r="D185" s="27" t="n"/>
      <c r="E185" s="27" t="n"/>
      <c r="F185" s="28" t="n"/>
      <c r="G185" s="38" t="n"/>
      <c r="H185" s="27" t="n"/>
      <c r="I185" s="28" t="n"/>
      <c r="J185" s="36" t="n"/>
      <c r="K185" s="38" t="n"/>
      <c r="L185" s="38" t="n"/>
      <c r="M185" s="38" t="n"/>
      <c r="N185" s="34">
        <f>IF(COUNT(K185:M185)=0,"",MEDIAN(K185:M185))</f>
        <v/>
      </c>
      <c r="O185" s="27" t="n"/>
      <c r="P185" s="38" t="n"/>
      <c r="Q185" s="27" t="n"/>
    </row>
    <row r="186">
      <c r="A186" s="27" t="n"/>
      <c r="B186" s="27" t="n"/>
      <c r="C186" s="27" t="n"/>
      <c r="D186" s="27" t="n"/>
      <c r="E186" s="27" t="n"/>
      <c r="F186" s="28" t="n"/>
      <c r="G186" s="38" t="n"/>
      <c r="H186" s="27" t="n"/>
      <c r="I186" s="28" t="n"/>
      <c r="J186" s="36" t="n"/>
      <c r="K186" s="38" t="n"/>
      <c r="L186" s="38" t="n"/>
      <c r="M186" s="38" t="n"/>
      <c r="N186" s="34">
        <f>IF(COUNT(K186:M186)=0,"",MEDIAN(K186:M186))</f>
        <v/>
      </c>
      <c r="O186" s="27" t="n"/>
      <c r="P186" s="38" t="n"/>
      <c r="Q186" s="27" t="n"/>
    </row>
    <row r="187">
      <c r="A187" s="27" t="n"/>
      <c r="B187" s="27" t="n"/>
      <c r="C187" s="27" t="n"/>
      <c r="D187" s="27" t="n"/>
      <c r="E187" s="27" t="n"/>
      <c r="F187" s="28" t="n"/>
      <c r="G187" s="38" t="n"/>
      <c r="H187" s="27" t="n"/>
      <c r="I187" s="28" t="n"/>
      <c r="J187" s="36" t="n"/>
      <c r="K187" s="38" t="n"/>
      <c r="L187" s="38" t="n"/>
      <c r="M187" s="38" t="n"/>
      <c r="N187" s="34">
        <f>IF(COUNT(K187:M187)=0,"",MEDIAN(K187:M187))</f>
        <v/>
      </c>
      <c r="O187" s="27" t="n"/>
      <c r="P187" s="38" t="n"/>
      <c r="Q187" s="27" t="n"/>
    </row>
    <row r="188">
      <c r="A188" s="27" t="n"/>
      <c r="B188" s="27" t="n"/>
      <c r="C188" s="27" t="n"/>
      <c r="D188" s="27" t="n"/>
      <c r="E188" s="27" t="n"/>
      <c r="F188" s="28" t="n"/>
      <c r="G188" s="38" t="n"/>
      <c r="H188" s="27" t="n"/>
      <c r="I188" s="28" t="n"/>
      <c r="J188" s="36" t="n"/>
      <c r="K188" s="38" t="n"/>
      <c r="L188" s="38" t="n"/>
      <c r="M188" s="38" t="n"/>
      <c r="N188" s="34">
        <f>IF(COUNT(K188:M188)=0,"",MEDIAN(K188:M188))</f>
        <v/>
      </c>
      <c r="O188" s="27" t="n"/>
      <c r="P188" s="38" t="n"/>
      <c r="Q188" s="27" t="n"/>
    </row>
    <row r="189">
      <c r="A189" s="27" t="n"/>
      <c r="B189" s="27" t="n"/>
      <c r="C189" s="27" t="n"/>
      <c r="D189" s="27" t="n"/>
      <c r="E189" s="27" t="n"/>
      <c r="F189" s="28" t="n"/>
      <c r="G189" s="38" t="n"/>
      <c r="H189" s="27" t="n"/>
      <c r="I189" s="28" t="n"/>
      <c r="J189" s="36" t="n"/>
      <c r="K189" s="38" t="n"/>
      <c r="L189" s="38" t="n"/>
      <c r="M189" s="38" t="n"/>
      <c r="N189" s="34">
        <f>IF(COUNT(K189:M189)=0,"",MEDIAN(K189:M189))</f>
        <v/>
      </c>
      <c r="O189" s="27" t="n"/>
      <c r="P189" s="38" t="n"/>
      <c r="Q189" s="27" t="n"/>
    </row>
    <row r="190">
      <c r="A190" s="27" t="n"/>
      <c r="B190" s="27" t="n"/>
      <c r="C190" s="27" t="n"/>
      <c r="D190" s="27" t="n"/>
      <c r="E190" s="27" t="n"/>
      <c r="F190" s="28" t="n"/>
      <c r="G190" s="38" t="n"/>
      <c r="H190" s="27" t="n"/>
      <c r="I190" s="28" t="n"/>
      <c r="J190" s="36" t="n"/>
      <c r="K190" s="38" t="n"/>
      <c r="L190" s="38" t="n"/>
      <c r="M190" s="38" t="n"/>
      <c r="N190" s="34">
        <f>IF(COUNT(K190:M190)=0,"",MEDIAN(K190:M190))</f>
        <v/>
      </c>
      <c r="O190" s="27" t="n"/>
      <c r="P190" s="38" t="n"/>
      <c r="Q190" s="27" t="n"/>
    </row>
    <row r="191">
      <c r="A191" s="27" t="n"/>
      <c r="B191" s="27" t="n"/>
      <c r="C191" s="27" t="n"/>
      <c r="D191" s="27" t="n"/>
      <c r="E191" s="27" t="n"/>
      <c r="F191" s="28" t="n"/>
      <c r="G191" s="38" t="n"/>
      <c r="H191" s="27" t="n"/>
      <c r="I191" s="28" t="n"/>
      <c r="J191" s="36" t="n"/>
      <c r="K191" s="38" t="n"/>
      <c r="L191" s="38" t="n"/>
      <c r="M191" s="38" t="n"/>
      <c r="N191" s="34">
        <f>IF(COUNT(K191:M191)=0,"",MEDIAN(K191:M191))</f>
        <v/>
      </c>
      <c r="O191" s="27" t="n"/>
      <c r="P191" s="38" t="n"/>
      <c r="Q191" s="27" t="n"/>
    </row>
    <row r="192">
      <c r="A192" s="27" t="n"/>
      <c r="B192" s="27" t="n"/>
      <c r="C192" s="27" t="n"/>
      <c r="D192" s="27" t="n"/>
      <c r="E192" s="27" t="n"/>
      <c r="F192" s="28" t="n"/>
      <c r="G192" s="38" t="n"/>
      <c r="H192" s="27" t="n"/>
      <c r="I192" s="28" t="n"/>
      <c r="J192" s="36" t="n"/>
      <c r="K192" s="38" t="n"/>
      <c r="L192" s="38" t="n"/>
      <c r="M192" s="38" t="n"/>
      <c r="N192" s="34">
        <f>IF(COUNT(K192:M192)=0,"",MEDIAN(K192:M192))</f>
        <v/>
      </c>
      <c r="O192" s="27" t="n"/>
      <c r="P192" s="38" t="n"/>
      <c r="Q192" s="27" t="n"/>
    </row>
    <row r="193">
      <c r="A193" s="27" t="n"/>
      <c r="B193" s="27" t="n"/>
      <c r="C193" s="27" t="n"/>
      <c r="D193" s="27" t="n"/>
      <c r="E193" s="27" t="n"/>
      <c r="F193" s="28" t="n"/>
      <c r="G193" s="38" t="n"/>
      <c r="H193" s="27" t="n"/>
      <c r="I193" s="28" t="n"/>
      <c r="J193" s="36" t="n"/>
      <c r="K193" s="38" t="n"/>
      <c r="L193" s="38" t="n"/>
      <c r="M193" s="38" t="n"/>
      <c r="N193" s="34">
        <f>IF(COUNT(K193:M193)=0,"",MEDIAN(K193:M193))</f>
        <v/>
      </c>
      <c r="O193" s="27" t="n"/>
      <c r="P193" s="38" t="n"/>
      <c r="Q193" s="27" t="n"/>
    </row>
    <row r="194">
      <c r="A194" s="27" t="n"/>
      <c r="B194" s="27" t="n"/>
      <c r="C194" s="27" t="n"/>
      <c r="D194" s="27" t="n"/>
      <c r="E194" s="27" t="n"/>
      <c r="F194" s="28" t="n"/>
      <c r="G194" s="38" t="n"/>
      <c r="H194" s="27" t="n"/>
      <c r="I194" s="28" t="n"/>
      <c r="J194" s="36" t="n"/>
      <c r="K194" s="38" t="n"/>
      <c r="L194" s="38" t="n"/>
      <c r="M194" s="38" t="n"/>
      <c r="N194" s="34">
        <f>IF(COUNT(K194:M194)=0,"",MEDIAN(K194:M194))</f>
        <v/>
      </c>
      <c r="O194" s="27" t="n"/>
      <c r="P194" s="38" t="n"/>
      <c r="Q194" s="27" t="n"/>
    </row>
    <row r="195">
      <c r="A195" s="27" t="n"/>
      <c r="B195" s="27" t="n"/>
      <c r="C195" s="27" t="n"/>
      <c r="D195" s="27" t="n"/>
      <c r="E195" s="27" t="n"/>
      <c r="F195" s="28" t="n"/>
      <c r="G195" s="38" t="n"/>
      <c r="H195" s="27" t="n"/>
      <c r="I195" s="28" t="n"/>
      <c r="J195" s="36" t="n"/>
      <c r="K195" s="38" t="n"/>
      <c r="L195" s="38" t="n"/>
      <c r="M195" s="38" t="n"/>
      <c r="N195" s="34">
        <f>IF(COUNT(K195:M195)=0,"",MEDIAN(K195:M195))</f>
        <v/>
      </c>
      <c r="O195" s="27" t="n"/>
      <c r="P195" s="38" t="n"/>
      <c r="Q195" s="27" t="n"/>
    </row>
    <row r="196">
      <c r="A196" s="27" t="n"/>
      <c r="B196" s="27" t="n"/>
      <c r="C196" s="27" t="n"/>
      <c r="D196" s="27" t="n"/>
      <c r="E196" s="27" t="n"/>
      <c r="F196" s="28" t="n"/>
      <c r="G196" s="38" t="n"/>
      <c r="H196" s="27" t="n"/>
      <c r="I196" s="28" t="n"/>
      <c r="J196" s="36" t="n"/>
      <c r="K196" s="38" t="n"/>
      <c r="L196" s="38" t="n"/>
      <c r="M196" s="38" t="n"/>
      <c r="N196" s="34">
        <f>IF(COUNT(K196:M196)=0,"",MEDIAN(K196:M196))</f>
        <v/>
      </c>
      <c r="O196" s="27" t="n"/>
      <c r="P196" s="38" t="n"/>
      <c r="Q196" s="27" t="n"/>
    </row>
    <row r="197">
      <c r="A197" s="27" t="n"/>
      <c r="B197" s="27" t="n"/>
      <c r="C197" s="27" t="n"/>
      <c r="D197" s="27" t="n"/>
      <c r="E197" s="27" t="n"/>
      <c r="F197" s="28" t="n"/>
      <c r="G197" s="38" t="n"/>
      <c r="H197" s="27" t="n"/>
      <c r="I197" s="28" t="n"/>
      <c r="J197" s="36" t="n"/>
      <c r="K197" s="38" t="n"/>
      <c r="L197" s="38" t="n"/>
      <c r="M197" s="38" t="n"/>
      <c r="N197" s="34">
        <f>IF(COUNT(K197:M197)=0,"",MEDIAN(K197:M197))</f>
        <v/>
      </c>
      <c r="O197" s="27" t="n"/>
      <c r="P197" s="38" t="n"/>
      <c r="Q197" s="27" t="n"/>
    </row>
    <row r="198">
      <c r="A198" s="27" t="n"/>
      <c r="B198" s="27" t="n"/>
      <c r="C198" s="27" t="n"/>
      <c r="D198" s="27" t="n"/>
      <c r="E198" s="27" t="n"/>
      <c r="F198" s="28" t="n"/>
      <c r="G198" s="38" t="n"/>
      <c r="H198" s="27" t="n"/>
      <c r="I198" s="28" t="n"/>
      <c r="J198" s="36" t="n"/>
      <c r="K198" s="38" t="n"/>
      <c r="L198" s="38" t="n"/>
      <c r="M198" s="38" t="n"/>
      <c r="N198" s="34">
        <f>IF(COUNT(K198:M198)=0,"",MEDIAN(K198:M198))</f>
        <v/>
      </c>
      <c r="O198" s="27" t="n"/>
      <c r="P198" s="38" t="n"/>
      <c r="Q198" s="27" t="n"/>
    </row>
    <row r="199">
      <c r="A199" s="27" t="n"/>
      <c r="B199" s="27" t="n"/>
      <c r="C199" s="27" t="n"/>
      <c r="D199" s="27" t="n"/>
      <c r="E199" s="27" t="n"/>
      <c r="F199" s="28" t="n"/>
      <c r="G199" s="38" t="n"/>
      <c r="H199" s="27" t="n"/>
      <c r="I199" s="28" t="n"/>
      <c r="J199" s="36" t="n"/>
      <c r="K199" s="38" t="n"/>
      <c r="L199" s="38" t="n"/>
      <c r="M199" s="38" t="n"/>
      <c r="N199" s="34">
        <f>IF(COUNT(K199:M199)=0,"",MEDIAN(K199:M199))</f>
        <v/>
      </c>
      <c r="O199" s="27" t="n"/>
      <c r="P199" s="38" t="n"/>
      <c r="Q199" s="27" t="n"/>
    </row>
    <row r="200">
      <c r="A200" s="27" t="n"/>
      <c r="B200" s="27" t="n"/>
      <c r="C200" s="27" t="n"/>
      <c r="D200" s="27" t="n"/>
      <c r="E200" s="27" t="n"/>
      <c r="F200" s="28" t="n"/>
      <c r="G200" s="38" t="n"/>
      <c r="H200" s="27" t="n"/>
      <c r="I200" s="28" t="n"/>
      <c r="J200" s="36" t="n"/>
      <c r="K200" s="38" t="n"/>
      <c r="L200" s="38" t="n"/>
      <c r="M200" s="38" t="n"/>
      <c r="N200" s="34">
        <f>IF(COUNT(K200:M200)=0,"",MEDIAN(K200:M200))</f>
        <v/>
      </c>
      <c r="O200" s="27" t="n"/>
      <c r="P200" s="38" t="n"/>
      <c r="Q200" s="27" t="n"/>
    </row>
    <row r="201">
      <c r="A201" s="27" t="n"/>
      <c r="B201" s="27" t="n"/>
      <c r="C201" s="27" t="n"/>
      <c r="D201" s="27" t="n"/>
      <c r="E201" s="27" t="n"/>
      <c r="F201" s="28" t="n"/>
      <c r="G201" s="38" t="n"/>
      <c r="H201" s="27" t="n"/>
      <c r="I201" s="28" t="n"/>
      <c r="J201" s="36" t="n"/>
      <c r="K201" s="38" t="n"/>
      <c r="L201" s="38" t="n"/>
      <c r="M201" s="38" t="n"/>
      <c r="N201" s="34">
        <f>IF(COUNT(K201:M201)=0,"",MEDIAN(K201:M201))</f>
        <v/>
      </c>
      <c r="O201" s="27" t="n"/>
      <c r="P201" s="38" t="n"/>
      <c r="Q201" s="27" t="n"/>
    </row>
    <row r="202">
      <c r="A202" s="27" t="n"/>
      <c r="B202" s="27" t="n"/>
      <c r="C202" s="27" t="n"/>
      <c r="D202" s="27" t="n"/>
      <c r="E202" s="27" t="n"/>
      <c r="F202" s="28" t="n"/>
      <c r="G202" s="38" t="n"/>
      <c r="H202" s="27" t="n"/>
      <c r="I202" s="28" t="n"/>
      <c r="J202" s="36" t="n"/>
      <c r="K202" s="38" t="n"/>
      <c r="L202" s="38" t="n"/>
      <c r="M202" s="38" t="n"/>
      <c r="N202" s="34">
        <f>IF(COUNT(K202:M202)=0,"",MEDIAN(K202:M202))</f>
        <v/>
      </c>
      <c r="O202" s="27" t="n"/>
      <c r="P202" s="38" t="n"/>
      <c r="Q202" s="27" t="n"/>
    </row>
    <row r="203">
      <c r="A203" s="27" t="n"/>
      <c r="B203" s="27" t="n"/>
      <c r="C203" s="27" t="n"/>
      <c r="D203" s="27" t="n"/>
      <c r="E203" s="27" t="n"/>
      <c r="F203" s="28" t="n"/>
      <c r="G203" s="38" t="n"/>
      <c r="H203" s="27" t="n"/>
      <c r="I203" s="28" t="n"/>
      <c r="J203" s="36" t="n"/>
      <c r="K203" s="38" t="n"/>
      <c r="L203" s="38" t="n"/>
      <c r="M203" s="38" t="n"/>
      <c r="N203" s="34">
        <f>IF(COUNT(K203:M203)=0,"",MEDIAN(K203:M203))</f>
        <v/>
      </c>
      <c r="O203" s="27" t="n"/>
      <c r="P203" s="38" t="n"/>
      <c r="Q203" s="27" t="n"/>
    </row>
    <row r="204">
      <c r="A204" s="27" t="n"/>
      <c r="B204" s="27" t="n"/>
      <c r="C204" s="27" t="n"/>
      <c r="D204" s="27" t="n"/>
      <c r="E204" s="27" t="n"/>
      <c r="F204" s="28" t="n"/>
      <c r="G204" s="38" t="n"/>
      <c r="H204" s="27" t="n"/>
      <c r="I204" s="28" t="n"/>
      <c r="J204" s="36" t="n"/>
      <c r="K204" s="38" t="n"/>
      <c r="L204" s="38" t="n"/>
      <c r="M204" s="38" t="n"/>
      <c r="N204" s="34">
        <f>IF(COUNT(K204:M204)=0,"",MEDIAN(K204:M204))</f>
        <v/>
      </c>
      <c r="O204" s="27" t="n"/>
      <c r="P204" s="38" t="n"/>
      <c r="Q204" s="27" t="n"/>
    </row>
  </sheetData>
  <mergeCells count="3">
    <mergeCell ref="A3:Q3"/>
    <mergeCell ref="A2:Q2"/>
    <mergeCell ref="A1:Q1"/>
  </mergeCells>
  <dataValidations count="4">
    <dataValidation sqref="D5:D204" showDropDown="0" showInputMessage="0" showErrorMessage="0" allowBlank="1" type="list">
      <formula1>"A1 (DI점),B (원격점),A2 (DI점 재측)"</formula1>
    </dataValidation>
    <dataValidation sqref="E5:E204" showDropDown="0" showInputMessage="0" showErrorMessage="0" allowBlank="1" type="list">
      <formula1>"DI점,원격점"</formula1>
    </dataValidation>
    <dataValidation sqref="O5:O204" showDropDown="0" showInputMessage="0" showErrorMessage="0" allowBlank="1" type="list">
      <formula1>"원배치,교차배치(swap)"</formula1>
    </dataValidation>
    <dataValidation sqref="K5:M204" showDropDown="0" showInputMessage="0" showErrorMessage="1" allowBlank="1" errorTitle="예상 범위 밖" error="총자력 예상 범위 밖이다." type="decimal" errorStyle="warning" operator="between">
      <formula1>30000</formula1>
      <formula2>60000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3" customWidth="1" min="4" max="4"/>
    <col width="15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1" customWidth="1" min="13" max="13"/>
    <col width="13" customWidth="1" min="14" max="14"/>
  </cols>
  <sheetData>
    <row r="1" ht="26" customHeight="1">
      <c r="A1" s="1" t="inlineStr">
        <is>
          <t>법정 요건 · 기록 완전성 게이트 — 통과/실패로만 가른다</t>
        </is>
      </c>
    </row>
    <row r="2" ht="33" customHeight="1">
      <c r="A2" s="3" t="inlineStr">
        <is>
          <t>⚠ 근거 없는 정량 임계로 선점을 확정하지 않기 위해, 판정을 두 층으로 나눈다. 이 시트는 «반드시 통과해야 하는 것»만 다룬다 — 법정 조문과 기록 완전성이다. 정량 지표는 ⑪에서 «참고»로만 본다.</t>
        </is>
      </c>
    </row>
    <row r="4" ht="34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§13② 이격</t>
        </is>
      </c>
      <c r="D4" s="8" t="inlineStr">
        <is>
          <t>§17 0.1 nT 판독</t>
        </is>
      </c>
      <c r="E4" s="8" t="inlineStr">
        <is>
          <t>§19① 1일 6세션 이상</t>
        </is>
      </c>
      <c r="F4" s="8" t="inlineStr">
        <is>
          <t>§19①6 F·시각 동시</t>
        </is>
      </c>
      <c r="G4" s="8" t="inlineStr">
        <is>
          <t>§20 정수차 30′</t>
        </is>
      </c>
      <c r="H4" s="8" t="inlineStr">
        <is>
          <t>§20 20분 이내</t>
        </is>
      </c>
      <c r="I4" s="8" t="inlineStr">
        <is>
          <t>§21 상시 기준점 대조</t>
        </is>
      </c>
      <c r="J4" s="8" t="inlineStr">
        <is>
          <t>기준자력계 연속기록</t>
        </is>
      </c>
      <c r="K4" s="8" t="inlineStr">
        <is>
          <t>두 지점 F(A–B–A)</t>
        </is>
      </c>
      <c r="L4" s="8" t="inlineStr">
        <is>
          <t>참방위각 결정</t>
        </is>
      </c>
      <c r="M4" s="8" t="inlineStr">
        <is>
          <t>좌표 검증</t>
        </is>
      </c>
      <c r="N4" s="8" t="inlineStr">
        <is>
          <t>게이트 종합</t>
        </is>
      </c>
    </row>
    <row r="5">
      <c r="A5" s="24" t="inlineStr">
        <is>
          <t>S01</t>
        </is>
      </c>
      <c r="B5" s="24" t="inlineStr">
        <is>
          <t>태백 신규점</t>
        </is>
      </c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4">
        <f>IF(COUNTIF(C5:L5,"실패")&gt;0,"실패",IF(COUNTIF(C5:L5,"통과")=10,"통과","미완"))</f>
        <v/>
      </c>
    </row>
    <row r="6">
      <c r="A6" s="24" t="inlineStr">
        <is>
          <t>S02</t>
        </is>
      </c>
      <c r="B6" s="24" t="inlineStr">
        <is>
          <t>임계 신규점1</t>
        </is>
      </c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4">
        <f>IF(COUNTIF(C6:L6,"실패")&gt;0,"실패",IF(COUNTIF(C6:L6,"통과")=10,"통과","미완"))</f>
        <v/>
      </c>
    </row>
    <row r="7">
      <c r="A7" s="24" t="inlineStr">
        <is>
          <t>S03</t>
        </is>
      </c>
      <c r="B7" s="24" t="inlineStr">
        <is>
          <t>예산 신규점2</t>
        </is>
      </c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4">
        <f>IF(COUNTIF(C7:L7,"실패")&gt;0,"실패",IF(COUNTIF(C7:L7,"통과")=10,"통과","미완"))</f>
        <v/>
      </c>
    </row>
    <row r="8">
      <c r="A8" s="24" t="inlineStr">
        <is>
          <t>S04</t>
        </is>
      </c>
      <c r="B8" s="24" t="inlineStr">
        <is>
          <t>진안 신규점1</t>
        </is>
      </c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4">
        <f>IF(COUNTIF(C8:L8,"실패")&gt;0,"실패",IF(COUNTIF(C8:L8,"통과")=10,"통과","미완"))</f>
        <v/>
      </c>
    </row>
    <row r="9">
      <c r="A9" s="24" t="inlineStr">
        <is>
          <t>S05</t>
        </is>
      </c>
      <c r="B9" s="24" t="inlineStr">
        <is>
          <t>무풍 신규점1</t>
        </is>
      </c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4">
        <f>IF(COUNTIF(C9:L9,"실패")&gt;0,"실패",IF(COUNTIF(C9:L9,"통과")=10,"통과","미완"))</f>
        <v/>
      </c>
    </row>
    <row r="10">
      <c r="A10" s="24" t="inlineStr">
        <is>
          <t>S06</t>
        </is>
      </c>
      <c r="B10" s="24" t="inlineStr">
        <is>
          <t>길담 신규점</t>
        </is>
      </c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4">
        <f>IF(COUNTIF(C10:L10,"실패")&gt;0,"실패",IF(COUNTIF(C10:L10,"통과")=10,"통과","미완"))</f>
        <v/>
      </c>
    </row>
    <row r="11">
      <c r="A11" s="24" t="inlineStr">
        <is>
          <t>S07</t>
        </is>
      </c>
      <c r="B11" s="24" t="inlineStr">
        <is>
          <t>남해 신규점1</t>
        </is>
      </c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4">
        <f>IF(COUNTIF(C11:L11,"실패")&gt;0,"실패",IF(COUNTIF(C11:L11,"통과")=10,"통과","미완"))</f>
        <v/>
      </c>
    </row>
    <row r="12">
      <c r="A12" s="24" t="inlineStr">
        <is>
          <t>S08</t>
        </is>
      </c>
      <c r="B12" s="24" t="inlineStr">
        <is>
          <t>청일 신규점2</t>
        </is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4">
        <f>IF(COUNTIF(C12:L12,"실패")&gt;0,"실패",IF(COUNTIF(C12:L12,"통과")=10,"통과","미완"))</f>
        <v/>
      </c>
    </row>
    <row r="13">
      <c r="A13" s="24" t="inlineStr">
        <is>
          <t>S09</t>
        </is>
      </c>
      <c r="B13" s="24" t="inlineStr">
        <is>
          <t>어론 신규점</t>
        </is>
      </c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4">
        <f>IF(COUNTIF(C13:L13,"실패")&gt;0,"실패",IF(COUNTIF(C13:L13,"통과")=10,"통과","미완"))</f>
        <v/>
      </c>
    </row>
    <row r="14">
      <c r="A14" s="24" t="inlineStr">
        <is>
          <t>S10</t>
        </is>
      </c>
      <c r="B14" s="24" t="inlineStr">
        <is>
          <t>예안 신규점1</t>
        </is>
      </c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4">
        <f>IF(COUNTIF(C14:L14,"실패")&gt;0,"실패",IF(COUNTIF(C14:L14,"통과")=10,"통과","미완"))</f>
        <v/>
      </c>
    </row>
    <row r="15">
      <c r="A15" s="24" t="inlineStr">
        <is>
          <t>S11</t>
        </is>
      </c>
      <c r="B15" s="24" t="inlineStr">
        <is>
          <t>소천 신규점4</t>
        </is>
      </c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4">
        <f>IF(COUNTIF(C15:L15,"실패")&gt;0,"실패",IF(COUNTIF(C15:L15,"통과")=10,"통과","미완"))</f>
        <v/>
      </c>
    </row>
    <row r="16">
      <c r="A16" s="24" t="inlineStr">
        <is>
          <t>S12</t>
        </is>
      </c>
      <c r="B16" s="24" t="inlineStr">
        <is>
          <t>순창 신규점</t>
        </is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4">
        <f>IF(COUNTIF(C16:L16,"실패")&gt;0,"실패",IF(COUNTIF(C16:L16,"통과")=10,"통과","미완"))</f>
        <v/>
      </c>
    </row>
    <row r="17">
      <c r="A17" s="24" t="inlineStr">
        <is>
          <t>S13</t>
        </is>
      </c>
      <c r="B17" s="24" t="inlineStr">
        <is>
          <t>순천 신규점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4">
        <f>IF(COUNTIF(C17:L17,"실패")&gt;0,"실패",IF(COUNTIF(C17:L17,"통과")=10,"통과","미완"))</f>
        <v/>
      </c>
    </row>
    <row r="18">
      <c r="A18" s="24" t="inlineStr">
        <is>
          <t>S14</t>
        </is>
      </c>
      <c r="B18" s="24" t="inlineStr">
        <is>
          <t>청송 신규점1</t>
        </is>
      </c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4">
        <f>IF(COUNTIF(C18:L18,"실패")&gt;0,"실패",IF(COUNTIF(C18:L18,"통과")=10,"통과","미완"))</f>
        <v/>
      </c>
    </row>
    <row r="19">
      <c r="A19" s="24" t="inlineStr">
        <is>
          <t>S15</t>
        </is>
      </c>
      <c r="B19" s="24" t="inlineStr">
        <is>
          <t>의성 신규점</t>
        </is>
      </c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4">
        <f>IF(COUNTIF(C19:L19,"실패")&gt;0,"실패",IF(COUNTIF(C19:L19,"통과")=10,"통과","미완"))</f>
        <v/>
      </c>
    </row>
    <row r="20">
      <c r="A20" s="24" t="inlineStr">
        <is>
          <t>S16</t>
        </is>
      </c>
      <c r="B20" s="24" t="inlineStr">
        <is>
          <t>예천 신규점</t>
        </is>
      </c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4">
        <f>IF(COUNTIF(C20:L20,"실패")&gt;0,"실패",IF(COUNTIF(C20:L20,"통과")=10,"통과","미완"))</f>
        <v/>
      </c>
    </row>
    <row r="21">
      <c r="A21" s="24" t="inlineStr">
        <is>
          <t>S17</t>
        </is>
      </c>
      <c r="B21" s="24" t="inlineStr">
        <is>
          <t>영양 신규점4</t>
        </is>
      </c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4">
        <f>IF(COUNTIF(C21:L21,"실패")&gt;0,"실패",IF(COUNTIF(C21:L21,"통과")=10,"통과","미완"))</f>
        <v/>
      </c>
    </row>
    <row r="22">
      <c r="A22" s="24" t="inlineStr">
        <is>
          <t>S18</t>
        </is>
      </c>
      <c r="B22" s="24" t="inlineStr">
        <is>
          <t>통영 신규점</t>
        </is>
      </c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4">
        <f>IF(COUNTIF(C22:L22,"실패")&gt;0,"실패",IF(COUNTIF(C22:L22,"통과")=10,"통과","미완"))</f>
        <v/>
      </c>
    </row>
    <row r="23">
      <c r="A23" s="24" t="inlineStr">
        <is>
          <t>S19</t>
        </is>
      </c>
      <c r="B23" s="24" t="inlineStr">
        <is>
          <t>오호 신규점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4">
        <f>IF(COUNTIF(C23:L23,"실패")&gt;0,"실패",IF(COUNTIF(C23:L23,"통과")=10,"통과","미완"))</f>
        <v/>
      </c>
    </row>
    <row r="24">
      <c r="A24" s="24" t="inlineStr">
        <is>
          <t>S20</t>
        </is>
      </c>
      <c r="B24" s="24" t="inlineStr">
        <is>
          <t>보령 신규점2</t>
        </is>
      </c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4">
        <f>IF(COUNTIF(C24:L24,"실패")&gt;0,"실패",IF(COUNTIF(C24:L24,"통과")=10,"통과","미완"))</f>
        <v/>
      </c>
    </row>
    <row r="25">
      <c r="A25" s="24" t="inlineStr">
        <is>
          <t>S21</t>
        </is>
      </c>
      <c r="B25" s="24" t="inlineStr">
        <is>
          <t>담양 신규점2</t>
        </is>
      </c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4">
        <f>IF(COUNTIF(C25:L25,"실패")&gt;0,"실패",IF(COUNTIF(C25:L25,"통과")=10,"통과","미완"))</f>
        <v/>
      </c>
    </row>
    <row r="26">
      <c r="A26" s="24" t="inlineStr">
        <is>
          <t>S22</t>
        </is>
      </c>
      <c r="B26" s="24" t="inlineStr">
        <is>
          <t>완도 신규점</t>
        </is>
      </c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4">
        <f>IF(COUNTIF(C26:L26,"실패")&gt;0,"실패",IF(COUNTIF(C26:L26,"통과")=10,"통과","미완"))</f>
        <v/>
      </c>
    </row>
    <row r="27">
      <c r="A27" s="24" t="inlineStr">
        <is>
          <t>S23</t>
        </is>
      </c>
      <c r="B27" s="24" t="inlineStr">
        <is>
          <t>덕산 신규점1</t>
        </is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4">
        <f>IF(COUNTIF(C27:L27,"실패")&gt;0,"실패",IF(COUNTIF(C27:L27,"통과")=10,"통과","미완"))</f>
        <v/>
      </c>
    </row>
    <row r="28">
      <c r="A28" s="24" t="inlineStr">
        <is>
          <t>S24</t>
        </is>
      </c>
      <c r="B28" s="24" t="inlineStr">
        <is>
          <t>회천 신규점2</t>
        </is>
      </c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4">
        <f>IF(COUNTIF(C28:L28,"실패")&gt;0,"실패",IF(COUNTIF(C28:L28,"통과")=10,"통과","미완"))</f>
        <v/>
      </c>
    </row>
    <row r="29">
      <c r="A29" s="24" t="inlineStr">
        <is>
          <t>S25</t>
        </is>
      </c>
      <c r="B29" s="24" t="inlineStr">
        <is>
          <t>관리 신규점3</t>
        </is>
      </c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4">
        <f>IF(COUNTIF(C29:L29,"실패")&gt;0,"실패",IF(COUNTIF(C29:L29,"통과")=10,"통과","미완"))</f>
        <v/>
      </c>
    </row>
    <row r="30">
      <c r="A30" s="24" t="inlineStr">
        <is>
          <t>S26</t>
        </is>
      </c>
      <c r="B30" s="24" t="inlineStr">
        <is>
          <t>고남 신규점2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4">
        <f>IF(COUNTIF(C30:L30,"실패")&gt;0,"실패",IF(COUNTIF(C30:L30,"통과")=10,"통과","미완"))</f>
        <v/>
      </c>
    </row>
    <row r="31">
      <c r="A31" s="24" t="inlineStr">
        <is>
          <t>S27</t>
        </is>
      </c>
      <c r="B31" s="24" t="inlineStr">
        <is>
          <t>전의 신규점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4">
        <f>IF(COUNTIF(C31:L31,"실패")&gt;0,"실패",IF(COUNTIF(C31:L31,"통과")=10,"통과","미완"))</f>
        <v/>
      </c>
    </row>
    <row r="32">
      <c r="A32" s="24" t="inlineStr">
        <is>
          <t>S28</t>
        </is>
      </c>
      <c r="B32" s="24" t="inlineStr">
        <is>
          <t>이원 신규점</t>
        </is>
      </c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4">
        <f>IF(COUNTIF(C32:L32,"실패")&gt;0,"실패",IF(COUNTIF(C32:L32,"통과")=10,"통과","미완"))</f>
        <v/>
      </c>
    </row>
    <row r="33">
      <c r="A33" s="24" t="inlineStr">
        <is>
          <t>S29</t>
        </is>
      </c>
      <c r="B33" s="24" t="inlineStr">
        <is>
          <t>가야 신규점1</t>
        </is>
      </c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4">
        <f>IF(COUNTIF(C33:L33,"실패")&gt;0,"실패",IF(COUNTIF(C33:L33,"통과")=10,"통과","미완"))</f>
        <v/>
      </c>
    </row>
    <row r="34">
      <c r="A34" s="24" t="inlineStr">
        <is>
          <t>S30</t>
        </is>
      </c>
      <c r="B34" s="24" t="inlineStr">
        <is>
          <t>창녕 신규점</t>
        </is>
      </c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4">
        <f>IF(COUNTIF(C34:L34,"실패")&gt;0,"실패",IF(COUNTIF(C34:L34,"통과")=10,"통과","미완"))</f>
        <v/>
      </c>
    </row>
    <row r="35">
      <c r="A35" s="24" t="inlineStr">
        <is>
          <t>S31</t>
        </is>
      </c>
      <c r="B35" s="24" t="inlineStr">
        <is>
          <t>언양 신규점3</t>
        </is>
      </c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4">
        <f>IF(COUNTIF(C35:L35,"실패")&gt;0,"실패",IF(COUNTIF(C35:L35,"통과")=10,"통과","미완"))</f>
        <v/>
      </c>
    </row>
    <row r="36">
      <c r="A36" s="24" t="inlineStr">
        <is>
          <t>S32</t>
        </is>
      </c>
      <c r="B36" s="24" t="inlineStr">
        <is>
          <t>함양 신규점</t>
        </is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4">
        <f>IF(COUNTIF(C36:L36,"실패")&gt;0,"실패",IF(COUNTIF(C36:L36,"통과")=10,"통과","미완"))</f>
        <v/>
      </c>
    </row>
    <row r="37">
      <c r="A37" s="24" t="inlineStr">
        <is>
          <t>S33</t>
        </is>
      </c>
      <c r="B37" s="24" t="inlineStr">
        <is>
          <t>문산 신규점</t>
        </is>
      </c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4">
        <f>IF(COUNTIF(C37:L37,"실패")&gt;0,"실패",IF(COUNTIF(C37:L37,"통과")=10,"통과","미완"))</f>
        <v/>
      </c>
    </row>
    <row r="38">
      <c r="A38" s="24" t="inlineStr">
        <is>
          <t>S34</t>
        </is>
      </c>
      <c r="B38" s="24" t="inlineStr">
        <is>
          <t>부안 신규점</t>
        </is>
      </c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4">
        <f>IF(COUNTIF(C38:L38,"실패")&gt;0,"실패",IF(COUNTIF(C38:L38,"통과")=10,"통과","미완"))</f>
        <v/>
      </c>
    </row>
    <row r="39">
      <c r="A39" s="24" t="inlineStr">
        <is>
          <t>S35</t>
        </is>
      </c>
      <c r="B39" s="24" t="inlineStr">
        <is>
          <t>상주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4">
        <f>IF(COUNTIF(C39:L39,"실패")&gt;0,"실패",IF(COUNTIF(C39:L39,"통과")=10,"통과","미완"))</f>
        <v/>
      </c>
    </row>
    <row r="40">
      <c r="A40" s="24" t="inlineStr">
        <is>
          <t>S36</t>
        </is>
      </c>
      <c r="B40" s="24" t="inlineStr">
        <is>
          <t>미원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4">
        <f>IF(COUNTIF(C40:L40,"실패")&gt;0,"실패",IF(COUNTIF(C40:L40,"통과")=10,"통과","미완"))</f>
        <v/>
      </c>
    </row>
    <row r="41">
      <c r="A41" s="24" t="inlineStr">
        <is>
          <t>S37</t>
        </is>
      </c>
      <c r="B41" s="24" t="inlineStr">
        <is>
          <t>부안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4">
        <f>IF(COUNTIF(C41:L41,"실패")&gt;0,"실패",IF(COUNTIF(C41:L41,"통과")=10,"통과","미완"))</f>
        <v/>
      </c>
    </row>
    <row r="42">
      <c r="A42" s="24" t="inlineStr">
        <is>
          <t>S38</t>
        </is>
      </c>
      <c r="B42" s="24" t="inlineStr">
        <is>
          <t>강화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4">
        <f>IF(COUNTIF(C42:L42,"실패")&gt;0,"실패",IF(COUNTIF(C42:L42,"통과")=10,"통과","미완"))</f>
        <v/>
      </c>
    </row>
    <row r="43">
      <c r="A43" s="24" t="inlineStr">
        <is>
          <t>S39</t>
        </is>
      </c>
      <c r="B43" s="24" t="inlineStr">
        <is>
          <t>언양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4">
        <f>IF(COUNTIF(C43:L43,"실패")&gt;0,"실패",IF(COUNTIF(C43:L43,"통과")=10,"통과","미완"))</f>
        <v/>
      </c>
    </row>
    <row r="44">
      <c r="A44" s="24" t="inlineStr">
        <is>
          <t>S40</t>
        </is>
      </c>
      <c r="B44" s="24" t="inlineStr">
        <is>
          <t>남지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4">
        <f>IF(COUNTIF(C44:L44,"실패")&gt;0,"실패",IF(COUNTIF(C44:L44,"통과")=10,"통과","미완"))</f>
        <v/>
      </c>
    </row>
    <row r="45">
      <c r="A45" s="24" t="inlineStr">
        <is>
          <t>S41</t>
        </is>
      </c>
      <c r="B45" s="24" t="inlineStr">
        <is>
          <t>거제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4">
        <f>IF(COUNTIF(C45:L45,"실패")&gt;0,"실패",IF(COUNTIF(C45:L45,"통과")=10,"통과","미완"))</f>
        <v/>
      </c>
    </row>
    <row r="46">
      <c r="A46" s="24" t="inlineStr">
        <is>
          <t>S42</t>
        </is>
      </c>
      <c r="B46" s="24" t="inlineStr">
        <is>
          <t>조도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4">
        <f>IF(COUNTIF(C46:L46,"실패")&gt;0,"실패",IF(COUNTIF(C46:L46,"통과")=10,"통과","미완"))</f>
        <v/>
      </c>
    </row>
    <row r="47">
      <c r="A47" s="24" t="inlineStr">
        <is>
          <t>S43</t>
        </is>
      </c>
      <c r="B47" s="24" t="inlineStr">
        <is>
          <t>포천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4">
        <f>IF(COUNTIF(C47:L47,"실패")&gt;0,"실패",IF(COUNTIF(C47:L47,"통과")=10,"통과","미완"))</f>
        <v/>
      </c>
    </row>
    <row r="48">
      <c r="A48" s="24" t="inlineStr">
        <is>
          <t>S44</t>
        </is>
      </c>
      <c r="B48" s="24" t="inlineStr">
        <is>
          <t>성산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4">
        <f>IF(COUNTIF(C48:L48,"실패")&gt;0,"실패",IF(COUNTIF(C48:L48,"통과")=10,"통과","미완"))</f>
        <v/>
      </c>
    </row>
    <row r="49">
      <c r="A49" s="24" t="inlineStr">
        <is>
          <t>S45</t>
        </is>
      </c>
      <c r="B49" s="24" t="inlineStr">
        <is>
          <t>여주</t>
        </is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4">
        <f>IF(COUNTIF(C49:L49,"실패")&gt;0,"실패",IF(COUNTIF(C49:L49,"통과")=10,"통과","미완"))</f>
        <v/>
      </c>
    </row>
    <row r="50">
      <c r="A50" s="24" t="inlineStr">
        <is>
          <t>S46</t>
        </is>
      </c>
      <c r="B50" s="24" t="inlineStr">
        <is>
          <t>화천</t>
        </is>
      </c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4">
        <f>IF(COUNTIF(C50:L50,"실패")&gt;0,"실패",IF(COUNTIF(C50:L50,"통과")=10,"통과","미완"))</f>
        <v/>
      </c>
    </row>
    <row r="51">
      <c r="A51" s="24" t="inlineStr">
        <is>
          <t>S47</t>
        </is>
      </c>
      <c r="B51" s="24" t="inlineStr">
        <is>
          <t>봉평</t>
        </is>
      </c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4">
        <f>IF(COUNTIF(C51:L51,"실패")&gt;0,"실패",IF(COUNTIF(C51:L51,"통과")=10,"통과","미완"))</f>
        <v/>
      </c>
    </row>
    <row r="52">
      <c r="A52" s="24" t="inlineStr">
        <is>
          <t>S48</t>
        </is>
      </c>
      <c r="B52" s="24" t="inlineStr">
        <is>
          <t>삼척</t>
        </is>
      </c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4">
        <f>IF(COUNTIF(C52:L52,"실패")&gt;0,"실패",IF(COUNTIF(C52:L52,"통과")=10,"통과","미완"))</f>
        <v/>
      </c>
    </row>
    <row r="53">
      <c r="A53" s="24" t="inlineStr">
        <is>
          <t>S49</t>
        </is>
      </c>
      <c r="B53" s="24" t="inlineStr">
        <is>
          <t>제천</t>
        </is>
      </c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4">
        <f>IF(COUNTIF(C53:L53,"실패")&gt;0,"실패",IF(COUNTIF(C53:L53,"통과")=10,"통과","미완"))</f>
        <v/>
      </c>
    </row>
    <row r="54">
      <c r="A54" s="24" t="inlineStr">
        <is>
          <t>S50</t>
        </is>
      </c>
      <c r="B54" s="24" t="inlineStr">
        <is>
          <t>함양</t>
        </is>
      </c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4">
        <f>IF(COUNTIF(C54:L54,"실패")&gt;0,"실패",IF(COUNTIF(C54:L54,"통과")=10,"통과","미완"))</f>
        <v/>
      </c>
    </row>
  </sheetData>
  <mergeCells count="2">
    <mergeCell ref="A2:N2"/>
    <mergeCell ref="A1:N1"/>
  </mergeCells>
  <dataValidations count="1">
    <dataValidation sqref="C5:L54" showDropDown="0" showInputMessage="0" showErrorMessage="0" allowBlank="1" type="list">
      <formula1>"통과,실패,PENDING,NOT APPLICABLE"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" customWidth="1" min="3" max="3"/>
    <col width="17" customWidth="1" min="4" max="4"/>
    <col width="16" customWidth="1" min="5" max="5"/>
    <col width="16" customWidth="1" min="6" max="6"/>
    <col width="15" customWidth="1" min="7" max="7"/>
    <col width="13" customWidth="1" min="8" max="8"/>
    <col width="15" customWidth="1" min="9" max="9"/>
    <col width="14" customWidth="1" min="10" max="10"/>
    <col width="12" customWidth="1" min="11" max="11"/>
    <col width="14" customWidth="1" min="12" max="12"/>
    <col width="40" customWidth="1" min="13" max="13"/>
  </cols>
  <sheetData>
    <row r="1" ht="26" customHeight="1">
      <c r="A1" s="1" t="inlineStr">
        <is>
          <t>정량 지표 · 시험 탐사 판정</t>
        </is>
      </c>
    </row>
    <row r="2" ht="33" customHeight="1">
      <c r="A2" s="3" t="inlineStr">
        <is>
          <t>⚠ 아래 지표의 «임계값은 아직 정해지지 않았다». 파일럿에서 반복일·기기·관측자 분산을 추정하고, 후속 D·I·F 허용오차에서 역산한 오차예산과 결합해 정한 뒤 «50점 판정 전에 동결»한다. 그전에는 이 칸의 수치로 선점을 확정·부적합 처리하지 않는다.</t>
        </is>
      </c>
    </row>
    <row r="3" ht="33" customHeight="1">
      <c r="A3" s="2" t="inlineStr">
        <is>
          <t>「예측 |∇ΔT|」와 「현장 국소구배」는 공간 지지범위가 달라 직접 비교 대상이 아니다 — 일치·불일치를 자료 오류나 부적합으로 읽지 말 것. 탐색적 연관성 분석에만 쓴다.</t>
        </is>
      </c>
    </row>
    <row r="4" ht="34" customHeight="1">
      <c r="A4" s="7" t="inlineStr">
        <is>
          <t>Site ID</t>
        </is>
      </c>
      <c r="B4" s="8" t="inlineStr">
        <is>
          <t>지점명</t>
        </is>
      </c>
      <c r="C4" s="8" t="inlineStr">
        <is>
          <t>구분</t>
        </is>
      </c>
      <c r="D4" s="8" t="inlineStr">
        <is>
          <t>현장 국소구배 중앙(nT/m)</t>
        </is>
      </c>
      <c r="E4" s="8" t="inlineStr">
        <is>
          <t>측정범위 max−min(nT)</t>
        </is>
      </c>
      <c r="F4" s="8" t="inlineStr">
        <is>
          <t>반복 재현성 RMS(nT)</t>
        </is>
      </c>
      <c r="G4" s="8" t="inlineStr">
        <is>
          <t>기기 상호대조차(nT)</t>
        </is>
      </c>
      <c r="H4" s="8" t="inlineStr">
        <is>
          <t>세션 정수차(′)</t>
        </is>
      </c>
      <c r="I4" s="8" t="inlineStr">
        <is>
          <t>시간변화 분리 여부</t>
        </is>
      </c>
      <c r="J4" s="8" t="inlineStr">
        <is>
          <t>예측 |∇ΔT|(참고)</t>
        </is>
      </c>
      <c r="K4" s="8" t="inlineStr">
        <is>
          <t>게이트 종합</t>
        </is>
      </c>
      <c r="L4" s="8" t="inlineStr">
        <is>
          <t>시험 탐사 판정</t>
        </is>
      </c>
      <c r="M4" s="8" t="inlineStr">
        <is>
          <t>판정 근거·특이사항</t>
        </is>
      </c>
    </row>
    <row r="5">
      <c r="A5" s="24" t="inlineStr">
        <is>
          <t>S01</t>
        </is>
      </c>
      <c r="B5" s="24" t="inlineStr">
        <is>
          <t>태백 신규점</t>
        </is>
      </c>
      <c r="C5" s="24" t="inlineStr">
        <is>
          <t>A</t>
        </is>
      </c>
      <c r="D5" s="28" t="n"/>
      <c r="E5" s="38" t="n"/>
      <c r="F5" s="38" t="n"/>
      <c r="G5" s="38" t="n"/>
      <c r="H5" s="38" t="n"/>
      <c r="I5" s="38" t="n"/>
      <c r="J5" s="24" t="n">
        <v>15.6</v>
      </c>
      <c r="K5" s="24">
        <f>'⑩ 게이트 점검'!N5</f>
        <v/>
      </c>
      <c r="L5" s="27" t="n"/>
      <c r="M5" s="40" t="n"/>
    </row>
    <row r="6">
      <c r="A6" s="24" t="inlineStr">
        <is>
          <t>S02</t>
        </is>
      </c>
      <c r="B6" s="24" t="inlineStr">
        <is>
          <t>임계 신규점1</t>
        </is>
      </c>
      <c r="C6" s="24" t="inlineStr">
        <is>
          <t>A</t>
        </is>
      </c>
      <c r="D6" s="28" t="n"/>
      <c r="E6" s="38" t="n"/>
      <c r="F6" s="38" t="n"/>
      <c r="G6" s="38" t="n"/>
      <c r="H6" s="38" t="n"/>
      <c r="I6" s="38" t="n"/>
      <c r="J6" s="24" t="n">
        <v>24.3</v>
      </c>
      <c r="K6" s="24">
        <f>'⑩ 게이트 점검'!N6</f>
        <v/>
      </c>
      <c r="L6" s="27" t="n"/>
      <c r="M6" s="40" t="n"/>
    </row>
    <row r="7">
      <c r="A7" s="24" t="inlineStr">
        <is>
          <t>S03</t>
        </is>
      </c>
      <c r="B7" s="24" t="inlineStr">
        <is>
          <t>예산 신규점2</t>
        </is>
      </c>
      <c r="C7" s="24" t="inlineStr">
        <is>
          <t>A</t>
        </is>
      </c>
      <c r="D7" s="28" t="n"/>
      <c r="E7" s="38" t="n"/>
      <c r="F7" s="38" t="n"/>
      <c r="G7" s="38" t="n"/>
      <c r="H7" s="38" t="n"/>
      <c r="I7" s="38" t="n"/>
      <c r="J7" s="24" t="n">
        <v>9.300000000000001</v>
      </c>
      <c r="K7" s="24">
        <f>'⑩ 게이트 점검'!N7</f>
        <v/>
      </c>
      <c r="L7" s="27" t="n"/>
      <c r="M7" s="40" t="n"/>
    </row>
    <row r="8">
      <c r="A8" s="24" t="inlineStr">
        <is>
          <t>S04</t>
        </is>
      </c>
      <c r="B8" s="24" t="inlineStr">
        <is>
          <t>진안 신규점1</t>
        </is>
      </c>
      <c r="C8" s="24" t="inlineStr">
        <is>
          <t>A</t>
        </is>
      </c>
      <c r="D8" s="28" t="n"/>
      <c r="E8" s="38" t="n"/>
      <c r="F8" s="38" t="n"/>
      <c r="G8" s="38" t="n"/>
      <c r="H8" s="38" t="n"/>
      <c r="I8" s="38" t="n"/>
      <c r="J8" s="24" t="n">
        <v>20.1</v>
      </c>
      <c r="K8" s="24">
        <f>'⑩ 게이트 점검'!N8</f>
        <v/>
      </c>
      <c r="L8" s="27" t="n"/>
      <c r="M8" s="40" t="n"/>
    </row>
    <row r="9">
      <c r="A9" s="24" t="inlineStr">
        <is>
          <t>S05</t>
        </is>
      </c>
      <c r="B9" s="24" t="inlineStr">
        <is>
          <t>무풍 신규점1</t>
        </is>
      </c>
      <c r="C9" s="24" t="inlineStr">
        <is>
          <t>A</t>
        </is>
      </c>
      <c r="D9" s="28" t="n"/>
      <c r="E9" s="38" t="n"/>
      <c r="F9" s="38" t="n"/>
      <c r="G9" s="38" t="n"/>
      <c r="H9" s="38" t="n"/>
      <c r="I9" s="38" t="n"/>
      <c r="J9" s="24" t="n">
        <v>26.6</v>
      </c>
      <c r="K9" s="24">
        <f>'⑩ 게이트 점검'!N9</f>
        <v/>
      </c>
      <c r="L9" s="27" t="n"/>
      <c r="M9" s="40" t="n"/>
    </row>
    <row r="10">
      <c r="A10" s="24" t="inlineStr">
        <is>
          <t>S06</t>
        </is>
      </c>
      <c r="B10" s="24" t="inlineStr">
        <is>
          <t>길담 신규점</t>
        </is>
      </c>
      <c r="C10" s="24" t="inlineStr">
        <is>
          <t>B</t>
        </is>
      </c>
      <c r="D10" s="28" t="n"/>
      <c r="E10" s="38" t="n"/>
      <c r="F10" s="38" t="n"/>
      <c r="G10" s="38" t="n"/>
      <c r="H10" s="38" t="n"/>
      <c r="I10" s="38" t="n"/>
      <c r="J10" s="24" t="n">
        <v>8.4</v>
      </c>
      <c r="K10" s="24">
        <f>'⑩ 게이트 점검'!N10</f>
        <v/>
      </c>
      <c r="L10" s="27" t="n"/>
      <c r="M10" s="40" t="n"/>
    </row>
    <row r="11">
      <c r="A11" s="24" t="inlineStr">
        <is>
          <t>S07</t>
        </is>
      </c>
      <c r="B11" s="24" t="inlineStr">
        <is>
          <t>남해 신규점1</t>
        </is>
      </c>
      <c r="C11" s="24" t="inlineStr">
        <is>
          <t>B</t>
        </is>
      </c>
      <c r="D11" s="28" t="n"/>
      <c r="E11" s="38" t="n"/>
      <c r="F11" s="38" t="n"/>
      <c r="G11" s="38" t="n"/>
      <c r="H11" s="38" t="n"/>
      <c r="I11" s="38" t="n"/>
      <c r="J11" s="24" t="n">
        <v>5.4</v>
      </c>
      <c r="K11" s="24">
        <f>'⑩ 게이트 점검'!N11</f>
        <v/>
      </c>
      <c r="L11" s="27" t="n"/>
      <c r="M11" s="40" t="n"/>
    </row>
    <row r="12">
      <c r="A12" s="24" t="inlineStr">
        <is>
          <t>S08</t>
        </is>
      </c>
      <c r="B12" s="24" t="inlineStr">
        <is>
          <t>청일 신규점2</t>
        </is>
      </c>
      <c r="C12" s="24" t="inlineStr">
        <is>
          <t>B</t>
        </is>
      </c>
      <c r="D12" s="28" t="n"/>
      <c r="E12" s="38" t="n"/>
      <c r="F12" s="38" t="n"/>
      <c r="G12" s="38" t="n"/>
      <c r="H12" s="38" t="n"/>
      <c r="I12" s="38" t="n"/>
      <c r="J12" s="24" t="n">
        <v>7.6</v>
      </c>
      <c r="K12" s="24">
        <f>'⑩ 게이트 점검'!N12</f>
        <v/>
      </c>
      <c r="L12" s="27" t="n"/>
      <c r="M12" s="40" t="n"/>
    </row>
    <row r="13">
      <c r="A13" s="24" t="inlineStr">
        <is>
          <t>S09</t>
        </is>
      </c>
      <c r="B13" s="24" t="inlineStr">
        <is>
          <t>어론 신규점</t>
        </is>
      </c>
      <c r="C13" s="24" t="inlineStr">
        <is>
          <t>B</t>
        </is>
      </c>
      <c r="D13" s="28" t="n"/>
      <c r="E13" s="38" t="n"/>
      <c r="F13" s="38" t="n"/>
      <c r="G13" s="38" t="n"/>
      <c r="H13" s="38" t="n"/>
      <c r="I13" s="38" t="n"/>
      <c r="J13" s="24" t="n">
        <v>4.7</v>
      </c>
      <c r="K13" s="24">
        <f>'⑩ 게이트 점검'!N13</f>
        <v/>
      </c>
      <c r="L13" s="27" t="n"/>
      <c r="M13" s="40" t="n"/>
    </row>
    <row r="14">
      <c r="A14" s="24" t="inlineStr">
        <is>
          <t>S10</t>
        </is>
      </c>
      <c r="B14" s="24" t="inlineStr">
        <is>
          <t>예안 신규점1</t>
        </is>
      </c>
      <c r="C14" s="24" t="inlineStr">
        <is>
          <t>B</t>
        </is>
      </c>
      <c r="D14" s="28" t="n"/>
      <c r="E14" s="38" t="n"/>
      <c r="F14" s="38" t="n"/>
      <c r="G14" s="38" t="n"/>
      <c r="H14" s="38" t="n"/>
      <c r="I14" s="38" t="n"/>
      <c r="J14" s="24" t="n">
        <v>7.5</v>
      </c>
      <c r="K14" s="24">
        <f>'⑩ 게이트 점검'!N14</f>
        <v/>
      </c>
      <c r="L14" s="27" t="n"/>
      <c r="M14" s="40" t="n"/>
    </row>
    <row r="15">
      <c r="A15" s="24" t="inlineStr">
        <is>
          <t>S11</t>
        </is>
      </c>
      <c r="B15" s="24" t="inlineStr">
        <is>
          <t>소천 신규점4</t>
        </is>
      </c>
      <c r="C15" s="24" t="inlineStr">
        <is>
          <t>B</t>
        </is>
      </c>
      <c r="D15" s="28" t="n"/>
      <c r="E15" s="38" t="n"/>
      <c r="F15" s="38" t="n"/>
      <c r="G15" s="38" t="n"/>
      <c r="H15" s="38" t="n"/>
      <c r="I15" s="38" t="n"/>
      <c r="J15" s="24" t="n">
        <v>34.9</v>
      </c>
      <c r="K15" s="24">
        <f>'⑩ 게이트 점검'!N15</f>
        <v/>
      </c>
      <c r="L15" s="27" t="n"/>
      <c r="M15" s="40" t="n"/>
    </row>
    <row r="16">
      <c r="A16" s="24" t="inlineStr">
        <is>
          <t>S12</t>
        </is>
      </c>
      <c r="B16" s="24" t="inlineStr">
        <is>
          <t>순창 신규점</t>
        </is>
      </c>
      <c r="C16" s="24" t="inlineStr">
        <is>
          <t>B</t>
        </is>
      </c>
      <c r="D16" s="28" t="n"/>
      <c r="E16" s="38" t="n"/>
      <c r="F16" s="38" t="n"/>
      <c r="G16" s="38" t="n"/>
      <c r="H16" s="38" t="n"/>
      <c r="I16" s="38" t="n"/>
      <c r="J16" s="24" t="n">
        <v>23.1</v>
      </c>
      <c r="K16" s="24">
        <f>'⑩ 게이트 점검'!N16</f>
        <v/>
      </c>
      <c r="L16" s="27" t="n"/>
      <c r="M16" s="40" t="n"/>
    </row>
    <row r="17">
      <c r="A17" s="24" t="inlineStr">
        <is>
          <t>S13</t>
        </is>
      </c>
      <c r="B17" s="24" t="inlineStr">
        <is>
          <t>순천 신규점</t>
        </is>
      </c>
      <c r="C17" s="24" t="inlineStr">
        <is>
          <t>B</t>
        </is>
      </c>
      <c r="D17" s="28" t="n"/>
      <c r="E17" s="38" t="n"/>
      <c r="F17" s="38" t="n"/>
      <c r="G17" s="38" t="n"/>
      <c r="H17" s="38" t="n"/>
      <c r="I17" s="38" t="n"/>
      <c r="J17" s="24" t="n">
        <v>4.8</v>
      </c>
      <c r="K17" s="24">
        <f>'⑩ 게이트 점검'!N17</f>
        <v/>
      </c>
      <c r="L17" s="27" t="n"/>
      <c r="M17" s="40" t="n"/>
    </row>
    <row r="18">
      <c r="A18" s="24" t="inlineStr">
        <is>
          <t>S14</t>
        </is>
      </c>
      <c r="B18" s="24" t="inlineStr">
        <is>
          <t>청송 신규점1</t>
        </is>
      </c>
      <c r="C18" s="24" t="inlineStr">
        <is>
          <t>B</t>
        </is>
      </c>
      <c r="D18" s="28" t="n"/>
      <c r="E18" s="38" t="n"/>
      <c r="F18" s="38" t="n"/>
      <c r="G18" s="38" t="n"/>
      <c r="H18" s="38" t="n"/>
      <c r="I18" s="38" t="n"/>
      <c r="J18" s="24" t="n">
        <v>36.9</v>
      </c>
      <c r="K18" s="24">
        <f>'⑩ 게이트 점검'!N18</f>
        <v/>
      </c>
      <c r="L18" s="27" t="n"/>
      <c r="M18" s="40" t="n"/>
    </row>
    <row r="19">
      <c r="A19" s="24" t="inlineStr">
        <is>
          <t>S15</t>
        </is>
      </c>
      <c r="B19" s="24" t="inlineStr">
        <is>
          <t>의성 신규점</t>
        </is>
      </c>
      <c r="C19" s="24" t="inlineStr">
        <is>
          <t>B</t>
        </is>
      </c>
      <c r="D19" s="28" t="n"/>
      <c r="E19" s="38" t="n"/>
      <c r="F19" s="38" t="n"/>
      <c r="G19" s="38" t="n"/>
      <c r="H19" s="38" t="n"/>
      <c r="I19" s="38" t="n"/>
      <c r="J19" s="24" t="n">
        <v>5.7</v>
      </c>
      <c r="K19" s="24">
        <f>'⑩ 게이트 점검'!N19</f>
        <v/>
      </c>
      <c r="L19" s="27" t="n"/>
      <c r="M19" s="40" t="n"/>
    </row>
    <row r="20">
      <c r="A20" s="24" t="inlineStr">
        <is>
          <t>S16</t>
        </is>
      </c>
      <c r="B20" s="24" t="inlineStr">
        <is>
          <t>예천 신규점</t>
        </is>
      </c>
      <c r="C20" s="24" t="inlineStr">
        <is>
          <t>B</t>
        </is>
      </c>
      <c r="D20" s="28" t="n"/>
      <c r="E20" s="38" t="n"/>
      <c r="F20" s="38" t="n"/>
      <c r="G20" s="38" t="n"/>
      <c r="H20" s="38" t="n"/>
      <c r="I20" s="38" t="n"/>
      <c r="J20" s="24" t="n">
        <v>10.3</v>
      </c>
      <c r="K20" s="24">
        <f>'⑩ 게이트 점검'!N20</f>
        <v/>
      </c>
      <c r="L20" s="27" t="n"/>
      <c r="M20" s="40" t="n"/>
    </row>
    <row r="21">
      <c r="A21" s="24" t="inlineStr">
        <is>
          <t>S17</t>
        </is>
      </c>
      <c r="B21" s="24" t="inlineStr">
        <is>
          <t>영양 신규점4</t>
        </is>
      </c>
      <c r="C21" s="24" t="inlineStr">
        <is>
          <t>B</t>
        </is>
      </c>
      <c r="D21" s="28" t="n"/>
      <c r="E21" s="38" t="n"/>
      <c r="F21" s="38" t="n"/>
      <c r="G21" s="38" t="n"/>
      <c r="H21" s="38" t="n"/>
      <c r="I21" s="38" t="n"/>
      <c r="J21" s="24" t="n">
        <v>14.3</v>
      </c>
      <c r="K21" s="24">
        <f>'⑩ 게이트 점검'!N21</f>
        <v/>
      </c>
      <c r="L21" s="27" t="n"/>
      <c r="M21" s="40" t="n"/>
    </row>
    <row r="22">
      <c r="A22" s="24" t="inlineStr">
        <is>
          <t>S18</t>
        </is>
      </c>
      <c r="B22" s="24" t="inlineStr">
        <is>
          <t>통영 신규점</t>
        </is>
      </c>
      <c r="C22" s="24" t="inlineStr">
        <is>
          <t>B</t>
        </is>
      </c>
      <c r="D22" s="28" t="n"/>
      <c r="E22" s="38" t="n"/>
      <c r="F22" s="38" t="n"/>
      <c r="G22" s="38" t="n"/>
      <c r="H22" s="38" t="n"/>
      <c r="I22" s="38" t="n"/>
      <c r="J22" s="24" t="n">
        <v>140.1</v>
      </c>
      <c r="K22" s="24">
        <f>'⑩ 게이트 점검'!N22</f>
        <v/>
      </c>
      <c r="L22" s="27" t="n"/>
      <c r="M22" s="40" t="n"/>
    </row>
    <row r="23">
      <c r="A23" s="24" t="inlineStr">
        <is>
          <t>S19</t>
        </is>
      </c>
      <c r="B23" s="24" t="inlineStr">
        <is>
          <t>오호 신규점</t>
        </is>
      </c>
      <c r="C23" s="24" t="inlineStr">
        <is>
          <t>B</t>
        </is>
      </c>
      <c r="D23" s="28" t="n"/>
      <c r="E23" s="38" t="n"/>
      <c r="F23" s="38" t="n"/>
      <c r="G23" s="38" t="n"/>
      <c r="H23" s="38" t="n"/>
      <c r="I23" s="38" t="n"/>
      <c r="J23" s="41" t="inlineStr">
        <is>
          <t>NOT AVAILABLE</t>
        </is>
      </c>
      <c r="K23" s="24">
        <f>'⑩ 게이트 점검'!N23</f>
        <v/>
      </c>
      <c r="L23" s="27" t="n"/>
      <c r="M23" s="40" t="n"/>
    </row>
    <row r="24">
      <c r="A24" s="24" t="inlineStr">
        <is>
          <t>S20</t>
        </is>
      </c>
      <c r="B24" s="24" t="inlineStr">
        <is>
          <t>보령 신규점2</t>
        </is>
      </c>
      <c r="C24" s="24" t="inlineStr">
        <is>
          <t>B</t>
        </is>
      </c>
      <c r="D24" s="28" t="n"/>
      <c r="E24" s="38" t="n"/>
      <c r="F24" s="38" t="n"/>
      <c r="G24" s="38" t="n"/>
      <c r="H24" s="38" t="n"/>
      <c r="I24" s="38" t="n"/>
      <c r="J24" s="24" t="n">
        <v>4.4</v>
      </c>
      <c r="K24" s="24">
        <f>'⑩ 게이트 점검'!N24</f>
        <v/>
      </c>
      <c r="L24" s="27" t="n"/>
      <c r="M24" s="40" t="n"/>
    </row>
    <row r="25">
      <c r="A25" s="24" t="inlineStr">
        <is>
          <t>S21</t>
        </is>
      </c>
      <c r="B25" s="24" t="inlineStr">
        <is>
          <t>담양 신규점2</t>
        </is>
      </c>
      <c r="C25" s="24" t="inlineStr">
        <is>
          <t>B</t>
        </is>
      </c>
      <c r="D25" s="28" t="n"/>
      <c r="E25" s="38" t="n"/>
      <c r="F25" s="38" t="n"/>
      <c r="G25" s="38" t="n"/>
      <c r="H25" s="38" t="n"/>
      <c r="I25" s="38" t="n"/>
      <c r="J25" s="24" t="n">
        <v>35.3</v>
      </c>
      <c r="K25" s="24">
        <f>'⑩ 게이트 점검'!N25</f>
        <v/>
      </c>
      <c r="L25" s="27" t="n"/>
      <c r="M25" s="40" t="n"/>
    </row>
    <row r="26">
      <c r="A26" s="24" t="inlineStr">
        <is>
          <t>S22</t>
        </is>
      </c>
      <c r="B26" s="24" t="inlineStr">
        <is>
          <t>완도 신규점</t>
        </is>
      </c>
      <c r="C26" s="24" t="inlineStr">
        <is>
          <t>B</t>
        </is>
      </c>
      <c r="D26" s="28" t="n"/>
      <c r="E26" s="38" t="n"/>
      <c r="F26" s="38" t="n"/>
      <c r="G26" s="38" t="n"/>
      <c r="H26" s="38" t="n"/>
      <c r="I26" s="38" t="n"/>
      <c r="J26" s="24" t="n">
        <v>48.2</v>
      </c>
      <c r="K26" s="24">
        <f>'⑩ 게이트 점검'!N26</f>
        <v/>
      </c>
      <c r="L26" s="27" t="n"/>
      <c r="M26" s="40" t="n"/>
    </row>
    <row r="27">
      <c r="A27" s="24" t="inlineStr">
        <is>
          <t>S23</t>
        </is>
      </c>
      <c r="B27" s="24" t="inlineStr">
        <is>
          <t>덕산 신규점1</t>
        </is>
      </c>
      <c r="C27" s="24" t="inlineStr">
        <is>
          <t>B</t>
        </is>
      </c>
      <c r="D27" s="28" t="n"/>
      <c r="E27" s="38" t="n"/>
      <c r="F27" s="38" t="n"/>
      <c r="G27" s="38" t="n"/>
      <c r="H27" s="38" t="n"/>
      <c r="I27" s="38" t="n"/>
      <c r="J27" s="24" t="n">
        <v>9.9</v>
      </c>
      <c r="K27" s="24">
        <f>'⑩ 게이트 점검'!N27</f>
        <v/>
      </c>
      <c r="L27" s="27" t="n"/>
      <c r="M27" s="40" t="n"/>
    </row>
    <row r="28">
      <c r="A28" s="24" t="inlineStr">
        <is>
          <t>S24</t>
        </is>
      </c>
      <c r="B28" s="24" t="inlineStr">
        <is>
          <t>회천 신규점2</t>
        </is>
      </c>
      <c r="C28" s="24" t="inlineStr">
        <is>
          <t>B</t>
        </is>
      </c>
      <c r="D28" s="28" t="n"/>
      <c r="E28" s="38" t="n"/>
      <c r="F28" s="38" t="n"/>
      <c r="G28" s="38" t="n"/>
      <c r="H28" s="38" t="n"/>
      <c r="I28" s="38" t="n"/>
      <c r="J28" s="24" t="n">
        <v>10.1</v>
      </c>
      <c r="K28" s="24">
        <f>'⑩ 게이트 점검'!N28</f>
        <v/>
      </c>
      <c r="L28" s="27" t="n"/>
      <c r="M28" s="40" t="n"/>
    </row>
    <row r="29">
      <c r="A29" s="24" t="inlineStr">
        <is>
          <t>S25</t>
        </is>
      </c>
      <c r="B29" s="24" t="inlineStr">
        <is>
          <t>관리 신규점3</t>
        </is>
      </c>
      <c r="C29" s="24" t="inlineStr">
        <is>
          <t>B</t>
        </is>
      </c>
      <c r="D29" s="28" t="n"/>
      <c r="E29" s="38" t="n"/>
      <c r="F29" s="38" t="n"/>
      <c r="G29" s="38" t="n"/>
      <c r="H29" s="38" t="n"/>
      <c r="I29" s="38" t="n"/>
      <c r="J29" s="24" t="n">
        <v>54.9</v>
      </c>
      <c r="K29" s="24">
        <f>'⑩ 게이트 점검'!N29</f>
        <v/>
      </c>
      <c r="L29" s="27" t="n"/>
      <c r="M29" s="40" t="n"/>
    </row>
    <row r="30">
      <c r="A30" s="24" t="inlineStr">
        <is>
          <t>S26</t>
        </is>
      </c>
      <c r="B30" s="24" t="inlineStr">
        <is>
          <t>고남 신규점2</t>
        </is>
      </c>
      <c r="C30" s="24" t="inlineStr">
        <is>
          <t>B</t>
        </is>
      </c>
      <c r="D30" s="28" t="n"/>
      <c r="E30" s="38" t="n"/>
      <c r="F30" s="38" t="n"/>
      <c r="G30" s="38" t="n"/>
      <c r="H30" s="38" t="n"/>
      <c r="I30" s="38" t="n"/>
      <c r="J30" s="24" t="n">
        <v>2.9</v>
      </c>
      <c r="K30" s="24">
        <f>'⑩ 게이트 점검'!N30</f>
        <v/>
      </c>
      <c r="L30" s="27" t="n"/>
      <c r="M30" s="40" t="n"/>
    </row>
    <row r="31">
      <c r="A31" s="24" t="inlineStr">
        <is>
          <t>S27</t>
        </is>
      </c>
      <c r="B31" s="24" t="inlineStr">
        <is>
          <t>전의 신규점</t>
        </is>
      </c>
      <c r="C31" s="24" t="inlineStr">
        <is>
          <t>B</t>
        </is>
      </c>
      <c r="D31" s="28" t="n"/>
      <c r="E31" s="38" t="n"/>
      <c r="F31" s="38" t="n"/>
      <c r="G31" s="38" t="n"/>
      <c r="H31" s="38" t="n"/>
      <c r="I31" s="38" t="n"/>
      <c r="J31" s="24" t="n">
        <v>2.9</v>
      </c>
      <c r="K31" s="24">
        <f>'⑩ 게이트 점검'!N31</f>
        <v/>
      </c>
      <c r="L31" s="27" t="n"/>
      <c r="M31" s="40" t="n"/>
    </row>
    <row r="32">
      <c r="A32" s="24" t="inlineStr">
        <is>
          <t>S28</t>
        </is>
      </c>
      <c r="B32" s="24" t="inlineStr">
        <is>
          <t>이원 신규점</t>
        </is>
      </c>
      <c r="C32" s="24" t="inlineStr">
        <is>
          <t>B</t>
        </is>
      </c>
      <c r="D32" s="28" t="n"/>
      <c r="E32" s="38" t="n"/>
      <c r="F32" s="38" t="n"/>
      <c r="G32" s="38" t="n"/>
      <c r="H32" s="38" t="n"/>
      <c r="I32" s="38" t="n"/>
      <c r="J32" s="24" t="n">
        <v>12</v>
      </c>
      <c r="K32" s="24">
        <f>'⑩ 게이트 점검'!N32</f>
        <v/>
      </c>
      <c r="L32" s="27" t="n"/>
      <c r="M32" s="40" t="n"/>
    </row>
    <row r="33">
      <c r="A33" s="24" t="inlineStr">
        <is>
          <t>S29</t>
        </is>
      </c>
      <c r="B33" s="24" t="inlineStr">
        <is>
          <t>가야 신규점1</t>
        </is>
      </c>
      <c r="C33" s="24" t="inlineStr">
        <is>
          <t>B</t>
        </is>
      </c>
      <c r="D33" s="28" t="n"/>
      <c r="E33" s="38" t="n"/>
      <c r="F33" s="38" t="n"/>
      <c r="G33" s="38" t="n"/>
      <c r="H33" s="38" t="n"/>
      <c r="I33" s="38" t="n"/>
      <c r="J33" s="24" t="n">
        <v>26.8</v>
      </c>
      <c r="K33" s="24">
        <f>'⑩ 게이트 점검'!N33</f>
        <v/>
      </c>
      <c r="L33" s="27" t="n"/>
      <c r="M33" s="40" t="n"/>
    </row>
    <row r="34">
      <c r="A34" s="24" t="inlineStr">
        <is>
          <t>S30</t>
        </is>
      </c>
      <c r="B34" s="24" t="inlineStr">
        <is>
          <t>창녕 신규점</t>
        </is>
      </c>
      <c r="C34" s="24" t="inlineStr">
        <is>
          <t>B</t>
        </is>
      </c>
      <c r="D34" s="28" t="n"/>
      <c r="E34" s="38" t="n"/>
      <c r="F34" s="38" t="n"/>
      <c r="G34" s="38" t="n"/>
      <c r="H34" s="38" t="n"/>
      <c r="I34" s="38" t="n"/>
      <c r="J34" s="24" t="n">
        <v>22.7</v>
      </c>
      <c r="K34" s="24">
        <f>'⑩ 게이트 점검'!N34</f>
        <v/>
      </c>
      <c r="L34" s="27" t="n"/>
      <c r="M34" s="40" t="n"/>
    </row>
    <row r="35">
      <c r="A35" s="24" t="inlineStr">
        <is>
          <t>S31</t>
        </is>
      </c>
      <c r="B35" s="24" t="inlineStr">
        <is>
          <t>언양 신규점3</t>
        </is>
      </c>
      <c r="C35" s="24" t="inlineStr">
        <is>
          <t>B</t>
        </is>
      </c>
      <c r="D35" s="28" t="n"/>
      <c r="E35" s="38" t="n"/>
      <c r="F35" s="38" t="n"/>
      <c r="G35" s="38" t="n"/>
      <c r="H35" s="38" t="n"/>
      <c r="I35" s="38" t="n"/>
      <c r="J35" s="24" t="n">
        <v>24.2</v>
      </c>
      <c r="K35" s="24">
        <f>'⑩ 게이트 점검'!N35</f>
        <v/>
      </c>
      <c r="L35" s="27" t="n"/>
      <c r="M35" s="40" t="n"/>
    </row>
    <row r="36">
      <c r="A36" s="24" t="inlineStr">
        <is>
          <t>S32</t>
        </is>
      </c>
      <c r="B36" s="24" t="inlineStr">
        <is>
          <t>함양 신규점</t>
        </is>
      </c>
      <c r="C36" s="24" t="inlineStr">
        <is>
          <t>B</t>
        </is>
      </c>
      <c r="D36" s="28" t="n"/>
      <c r="E36" s="38" t="n"/>
      <c r="F36" s="38" t="n"/>
      <c r="G36" s="38" t="n"/>
      <c r="H36" s="38" t="n"/>
      <c r="I36" s="38" t="n"/>
      <c r="J36" s="24" t="n">
        <v>16.5</v>
      </c>
      <c r="K36" s="24">
        <f>'⑩ 게이트 점검'!N36</f>
        <v/>
      </c>
      <c r="L36" s="27" t="n"/>
      <c r="M36" s="40" t="n"/>
    </row>
    <row r="37">
      <c r="A37" s="24" t="inlineStr">
        <is>
          <t>S33</t>
        </is>
      </c>
      <c r="B37" s="24" t="inlineStr">
        <is>
          <t>문산 신규점</t>
        </is>
      </c>
      <c r="C37" s="24" t="inlineStr">
        <is>
          <t>B</t>
        </is>
      </c>
      <c r="D37" s="28" t="n"/>
      <c r="E37" s="38" t="n"/>
      <c r="F37" s="38" t="n"/>
      <c r="G37" s="38" t="n"/>
      <c r="H37" s="38" t="n"/>
      <c r="I37" s="38" t="n"/>
      <c r="J37" s="41" t="inlineStr">
        <is>
          <t>NOT AVAILABLE</t>
        </is>
      </c>
      <c r="K37" s="24">
        <f>'⑩ 게이트 점검'!N37</f>
        <v/>
      </c>
      <c r="L37" s="27" t="n"/>
      <c r="M37" s="40" t="n"/>
    </row>
    <row r="38">
      <c r="A38" s="24" t="inlineStr">
        <is>
          <t>S34</t>
        </is>
      </c>
      <c r="B38" s="24" t="inlineStr">
        <is>
          <t>부안 신규점</t>
        </is>
      </c>
      <c r="C38" s="24" t="inlineStr">
        <is>
          <t>B</t>
        </is>
      </c>
      <c r="D38" s="28" t="n"/>
      <c r="E38" s="38" t="n"/>
      <c r="F38" s="38" t="n"/>
      <c r="G38" s="38" t="n"/>
      <c r="H38" s="38" t="n"/>
      <c r="I38" s="38" t="n"/>
      <c r="J38" s="24" t="n">
        <v>17</v>
      </c>
      <c r="K38" s="24">
        <f>'⑩ 게이트 점검'!N38</f>
        <v/>
      </c>
      <c r="L38" s="27" t="n"/>
      <c r="M38" s="40" t="n"/>
    </row>
    <row r="39">
      <c r="A39" s="24" t="inlineStr">
        <is>
          <t>S35</t>
        </is>
      </c>
      <c r="B39" s="24" t="inlineStr">
        <is>
          <t>상주</t>
        </is>
      </c>
      <c r="C39" s="24" t="inlineStr">
        <is>
          <t>기존점</t>
        </is>
      </c>
      <c r="D39" s="28" t="n"/>
      <c r="E39" s="38" t="n"/>
      <c r="F39" s="38" t="n"/>
      <c r="G39" s="38" t="n"/>
      <c r="H39" s="38" t="n"/>
      <c r="I39" s="38" t="n"/>
      <c r="J39" s="24" t="n">
        <v>43.6</v>
      </c>
      <c r="K39" s="24">
        <f>'⑩ 게이트 점검'!N39</f>
        <v/>
      </c>
      <c r="L39" s="27" t="n"/>
      <c r="M39" s="40" t="n"/>
    </row>
    <row r="40">
      <c r="A40" s="24" t="inlineStr">
        <is>
          <t>S36</t>
        </is>
      </c>
      <c r="B40" s="24" t="inlineStr">
        <is>
          <t>미원</t>
        </is>
      </c>
      <c r="C40" s="24" t="inlineStr">
        <is>
          <t>기존점</t>
        </is>
      </c>
      <c r="D40" s="28" t="n"/>
      <c r="E40" s="38" t="n"/>
      <c r="F40" s="38" t="n"/>
      <c r="G40" s="38" t="n"/>
      <c r="H40" s="38" t="n"/>
      <c r="I40" s="38" t="n"/>
      <c r="J40" s="24" t="n">
        <v>5.4</v>
      </c>
      <c r="K40" s="24">
        <f>'⑩ 게이트 점검'!N40</f>
        <v/>
      </c>
      <c r="L40" s="27" t="n"/>
      <c r="M40" s="40" t="n"/>
    </row>
    <row r="41">
      <c r="A41" s="24" t="inlineStr">
        <is>
          <t>S37</t>
        </is>
      </c>
      <c r="B41" s="24" t="inlineStr">
        <is>
          <t>부안</t>
        </is>
      </c>
      <c r="C41" s="24" t="inlineStr">
        <is>
          <t>기존점</t>
        </is>
      </c>
      <c r="D41" s="28" t="n"/>
      <c r="E41" s="38" t="n"/>
      <c r="F41" s="38" t="n"/>
      <c r="G41" s="38" t="n"/>
      <c r="H41" s="38" t="n"/>
      <c r="I41" s="38" t="n"/>
      <c r="J41" s="24" t="n">
        <v>23.8</v>
      </c>
      <c r="K41" s="24">
        <f>'⑩ 게이트 점검'!N41</f>
        <v/>
      </c>
      <c r="L41" s="27" t="n"/>
      <c r="M41" s="40" t="n"/>
    </row>
    <row r="42">
      <c r="A42" s="24" t="inlineStr">
        <is>
          <t>S38</t>
        </is>
      </c>
      <c r="B42" s="24" t="inlineStr">
        <is>
          <t>강화</t>
        </is>
      </c>
      <c r="C42" s="24" t="inlineStr">
        <is>
          <t>기존점</t>
        </is>
      </c>
      <c r="D42" s="28" t="n"/>
      <c r="E42" s="38" t="n"/>
      <c r="F42" s="38" t="n"/>
      <c r="G42" s="38" t="n"/>
      <c r="H42" s="38" t="n"/>
      <c r="I42" s="38" t="n"/>
      <c r="J42" s="41" t="inlineStr">
        <is>
          <t>NOT AVAILABLE</t>
        </is>
      </c>
      <c r="K42" s="24">
        <f>'⑩ 게이트 점검'!N42</f>
        <v/>
      </c>
      <c r="L42" s="27" t="n"/>
      <c r="M42" s="40" t="n"/>
    </row>
    <row r="43">
      <c r="A43" s="24" t="inlineStr">
        <is>
          <t>S39</t>
        </is>
      </c>
      <c r="B43" s="24" t="inlineStr">
        <is>
          <t>언양</t>
        </is>
      </c>
      <c r="C43" s="24" t="inlineStr">
        <is>
          <t>기존점</t>
        </is>
      </c>
      <c r="D43" s="28" t="n"/>
      <c r="E43" s="38" t="n"/>
      <c r="F43" s="38" t="n"/>
      <c r="G43" s="38" t="n"/>
      <c r="H43" s="38" t="n"/>
      <c r="I43" s="38" t="n"/>
      <c r="J43" s="24" t="n">
        <v>38.3</v>
      </c>
      <c r="K43" s="24">
        <f>'⑩ 게이트 점검'!N43</f>
        <v/>
      </c>
      <c r="L43" s="27" t="n"/>
      <c r="M43" s="40" t="n"/>
    </row>
    <row r="44">
      <c r="A44" s="24" t="inlineStr">
        <is>
          <t>S40</t>
        </is>
      </c>
      <c r="B44" s="24" t="inlineStr">
        <is>
          <t>남지</t>
        </is>
      </c>
      <c r="C44" s="24" t="inlineStr">
        <is>
          <t>기존점</t>
        </is>
      </c>
      <c r="D44" s="28" t="n"/>
      <c r="E44" s="38" t="n"/>
      <c r="F44" s="38" t="n"/>
      <c r="G44" s="38" t="n"/>
      <c r="H44" s="38" t="n"/>
      <c r="I44" s="38" t="n"/>
      <c r="J44" s="24" t="n">
        <v>9.4</v>
      </c>
      <c r="K44" s="24">
        <f>'⑩ 게이트 점검'!N44</f>
        <v/>
      </c>
      <c r="L44" s="27" t="n"/>
      <c r="M44" s="40" t="n"/>
    </row>
    <row r="45">
      <c r="A45" s="24" t="inlineStr">
        <is>
          <t>S41</t>
        </is>
      </c>
      <c r="B45" s="24" t="inlineStr">
        <is>
          <t>거제</t>
        </is>
      </c>
      <c r="C45" s="24" t="inlineStr">
        <is>
          <t>기존점</t>
        </is>
      </c>
      <c r="D45" s="28" t="n"/>
      <c r="E45" s="38" t="n"/>
      <c r="F45" s="38" t="n"/>
      <c r="G45" s="38" t="n"/>
      <c r="H45" s="38" t="n"/>
      <c r="I45" s="38" t="n"/>
      <c r="J45" s="24" t="n">
        <v>28.9</v>
      </c>
      <c r="K45" s="24">
        <f>'⑩ 게이트 점검'!N45</f>
        <v/>
      </c>
      <c r="L45" s="27" t="n"/>
      <c r="M45" s="40" t="n"/>
    </row>
    <row r="46">
      <c r="A46" s="24" t="inlineStr">
        <is>
          <t>S42</t>
        </is>
      </c>
      <c r="B46" s="24" t="inlineStr">
        <is>
          <t>조도</t>
        </is>
      </c>
      <c r="C46" s="24" t="inlineStr">
        <is>
          <t>기존점</t>
        </is>
      </c>
      <c r="D46" s="28" t="n"/>
      <c r="E46" s="38" t="n"/>
      <c r="F46" s="38" t="n"/>
      <c r="G46" s="38" t="n"/>
      <c r="H46" s="38" t="n"/>
      <c r="I46" s="38" t="n"/>
      <c r="J46" s="24" t="n">
        <v>100.2</v>
      </c>
      <c r="K46" s="24">
        <f>'⑩ 게이트 점검'!N46</f>
        <v/>
      </c>
      <c r="L46" s="27" t="n"/>
      <c r="M46" s="40" t="n"/>
    </row>
    <row r="47">
      <c r="A47" s="24" t="inlineStr">
        <is>
          <t>S43</t>
        </is>
      </c>
      <c r="B47" s="24" t="inlineStr">
        <is>
          <t>포천</t>
        </is>
      </c>
      <c r="C47" s="24" t="inlineStr">
        <is>
          <t>기존점</t>
        </is>
      </c>
      <c r="D47" s="28" t="n"/>
      <c r="E47" s="38" t="n"/>
      <c r="F47" s="38" t="n"/>
      <c r="G47" s="38" t="n"/>
      <c r="H47" s="38" t="n"/>
      <c r="I47" s="38" t="n"/>
      <c r="J47" s="41" t="inlineStr">
        <is>
          <t>NOT AVAILABLE</t>
        </is>
      </c>
      <c r="K47" s="24">
        <f>'⑩ 게이트 점검'!N47</f>
        <v/>
      </c>
      <c r="L47" s="27" t="n"/>
      <c r="M47" s="40" t="n"/>
    </row>
    <row r="48">
      <c r="A48" s="24" t="inlineStr">
        <is>
          <t>S44</t>
        </is>
      </c>
      <c r="B48" s="24" t="inlineStr">
        <is>
          <t>성산</t>
        </is>
      </c>
      <c r="C48" s="24" t="inlineStr">
        <is>
          <t>기존점</t>
        </is>
      </c>
      <c r="D48" s="28" t="n"/>
      <c r="E48" s="38" t="n"/>
      <c r="F48" s="38" t="n"/>
      <c r="G48" s="38" t="n"/>
      <c r="H48" s="38" t="n"/>
      <c r="I48" s="38" t="n"/>
      <c r="J48" s="24" t="n">
        <v>46.7</v>
      </c>
      <c r="K48" s="24">
        <f>'⑩ 게이트 점검'!N48</f>
        <v/>
      </c>
      <c r="L48" s="27" t="n"/>
      <c r="M48" s="40" t="n"/>
    </row>
    <row r="49">
      <c r="A49" s="24" t="inlineStr">
        <is>
          <t>S45</t>
        </is>
      </c>
      <c r="B49" s="24" t="inlineStr">
        <is>
          <t>여주</t>
        </is>
      </c>
      <c r="C49" s="24" t="inlineStr">
        <is>
          <t>기존점</t>
        </is>
      </c>
      <c r="D49" s="28" t="n"/>
      <c r="E49" s="38" t="n"/>
      <c r="F49" s="38" t="n"/>
      <c r="G49" s="38" t="n"/>
      <c r="H49" s="38" t="n"/>
      <c r="I49" s="38" t="n"/>
      <c r="J49" s="24" t="n">
        <v>10.7</v>
      </c>
      <c r="K49" s="24">
        <f>'⑩ 게이트 점검'!N49</f>
        <v/>
      </c>
      <c r="L49" s="27" t="n"/>
      <c r="M49" s="40" t="n"/>
    </row>
    <row r="50">
      <c r="A50" s="24" t="inlineStr">
        <is>
          <t>S46</t>
        </is>
      </c>
      <c r="B50" s="24" t="inlineStr">
        <is>
          <t>화천</t>
        </is>
      </c>
      <c r="C50" s="24" t="inlineStr">
        <is>
          <t>기존점</t>
        </is>
      </c>
      <c r="D50" s="28" t="n"/>
      <c r="E50" s="38" t="n"/>
      <c r="F50" s="38" t="n"/>
      <c r="G50" s="38" t="n"/>
      <c r="H50" s="38" t="n"/>
      <c r="I50" s="38" t="n"/>
      <c r="J50" s="41" t="inlineStr">
        <is>
          <t>NOT AVAILABLE</t>
        </is>
      </c>
      <c r="K50" s="24">
        <f>'⑩ 게이트 점검'!N50</f>
        <v/>
      </c>
      <c r="L50" s="27" t="n"/>
      <c r="M50" s="40" t="n"/>
    </row>
    <row r="51">
      <c r="A51" s="24" t="inlineStr">
        <is>
          <t>S47</t>
        </is>
      </c>
      <c r="B51" s="24" t="inlineStr">
        <is>
          <t>봉평</t>
        </is>
      </c>
      <c r="C51" s="24" t="inlineStr">
        <is>
          <t>기존점</t>
        </is>
      </c>
      <c r="D51" s="28" t="n"/>
      <c r="E51" s="38" t="n"/>
      <c r="F51" s="38" t="n"/>
      <c r="G51" s="38" t="n"/>
      <c r="H51" s="38" t="n"/>
      <c r="I51" s="38" t="n"/>
      <c r="J51" s="24" t="n">
        <v>6.7</v>
      </c>
      <c r="K51" s="24">
        <f>'⑩ 게이트 점검'!N51</f>
        <v/>
      </c>
      <c r="L51" s="27" t="n"/>
      <c r="M51" s="40" t="n"/>
    </row>
    <row r="52">
      <c r="A52" s="24" t="inlineStr">
        <is>
          <t>S48</t>
        </is>
      </c>
      <c r="B52" s="24" t="inlineStr">
        <is>
          <t>삼척</t>
        </is>
      </c>
      <c r="C52" s="24" t="inlineStr">
        <is>
          <t>기존점</t>
        </is>
      </c>
      <c r="D52" s="28" t="n"/>
      <c r="E52" s="38" t="n"/>
      <c r="F52" s="38" t="n"/>
      <c r="G52" s="38" t="n"/>
      <c r="H52" s="38" t="n"/>
      <c r="I52" s="38" t="n"/>
      <c r="J52" s="24" t="n">
        <v>1.3</v>
      </c>
      <c r="K52" s="24">
        <f>'⑩ 게이트 점검'!N52</f>
        <v/>
      </c>
      <c r="L52" s="27" t="n"/>
      <c r="M52" s="40" t="n"/>
    </row>
    <row r="53">
      <c r="A53" s="24" t="inlineStr">
        <is>
          <t>S49</t>
        </is>
      </c>
      <c r="B53" s="24" t="inlineStr">
        <is>
          <t>제천</t>
        </is>
      </c>
      <c r="C53" s="24" t="inlineStr">
        <is>
          <t>기존점</t>
        </is>
      </c>
      <c r="D53" s="28" t="n"/>
      <c r="E53" s="38" t="n"/>
      <c r="F53" s="38" t="n"/>
      <c r="G53" s="38" t="n"/>
      <c r="H53" s="38" t="n"/>
      <c r="I53" s="38" t="n"/>
      <c r="J53" s="24" t="n">
        <v>13.7</v>
      </c>
      <c r="K53" s="24">
        <f>'⑩ 게이트 점검'!N53</f>
        <v/>
      </c>
      <c r="L53" s="27" t="n"/>
      <c r="M53" s="40" t="n"/>
    </row>
    <row r="54">
      <c r="A54" s="24" t="inlineStr">
        <is>
          <t>S50</t>
        </is>
      </c>
      <c r="B54" s="24" t="inlineStr">
        <is>
          <t>함양</t>
        </is>
      </c>
      <c r="C54" s="24" t="inlineStr">
        <is>
          <t>기존점</t>
        </is>
      </c>
      <c r="D54" s="28" t="n"/>
      <c r="E54" s="38" t="n"/>
      <c r="F54" s="38" t="n"/>
      <c r="G54" s="38" t="n"/>
      <c r="H54" s="38" t="n"/>
      <c r="I54" s="38" t="n"/>
      <c r="J54" s="24" t="n">
        <v>23.9</v>
      </c>
      <c r="K54" s="24">
        <f>'⑩ 게이트 점검'!N54</f>
        <v/>
      </c>
      <c r="L54" s="27" t="n"/>
      <c r="M54" s="40" t="n"/>
    </row>
  </sheetData>
  <mergeCells count="3">
    <mergeCell ref="A3:M3"/>
    <mergeCell ref="A2:M2"/>
    <mergeCell ref="A1:M1"/>
  </mergeCells>
  <dataValidations count="2">
    <dataValidation sqref="I5:I54" showDropDown="0" showInputMessage="0" showErrorMessage="0" allowBlank="1" type="list">
      <formula1>"분리됨 — 기준자력계 연속기록,미분리 — 확정 근거 불가"</formula1>
    </dataValidation>
    <dataValidation sqref="L5:L54" showDropDown="0" showInputMessage="0" showErrorMessage="0" allowBlank="1" type="list">
      <formula1>"선점 확정,조건부,부적합,재측정,HOLD,PENDING"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6" customWidth="1" min="3" max="3"/>
    <col width="20" customWidth="1" min="4" max="4"/>
    <col width="22" customWidth="1" min="5" max="5"/>
  </cols>
  <sheetData>
    <row r="1" ht="26" customHeight="1">
      <c r="A1" s="1" t="inlineStr">
        <is>
          <t>Human 확인 필요 — 이 야장이 답하지 않는 것</t>
        </is>
      </c>
    </row>
    <row r="2" ht="33" customHeight="1">
      <c r="A2" s="2" t="inlineStr">
        <is>
          <t>Codex 독립 검토(2026-09-07)가 「기관 확인 없이는 확정할 수 없다」고 지목한 항목이다. 야장 설계로는 해소되지 않으므로 착수 전에 결정해야 한다.</t>
        </is>
      </c>
    </row>
    <row r="3" ht="34" customHeight="1">
      <c r="A3" s="8" t="inlineStr">
        <is>
          <t>#</t>
        </is>
      </c>
      <c r="B3" s="8" t="inlineStr">
        <is>
          <t>항목</t>
        </is>
      </c>
      <c r="C3" s="8" t="inlineStr">
        <is>
          <t>왜 확인해야 하는가</t>
        </is>
      </c>
      <c r="D3" s="8" t="inlineStr">
        <is>
          <t>결정 주체</t>
        </is>
      </c>
      <c r="E3" s="8" t="inlineStr">
        <is>
          <t>상태</t>
        </is>
      </c>
    </row>
    <row r="4" ht="44" customHeight="1">
      <c r="A4" s="24" t="n">
        <v>1</v>
      </c>
      <c r="B4" s="42" t="inlineStr">
        <is>
          <t>§19·§20 의 «세션» 및 20분 요건 공식 적용단위</t>
        </is>
      </c>
      <c r="C4" s="42" t="inlineStr">
        <is>
          <t>1일 6회의 «회»가 무엇인지, 20분이 어느 구간인지에 따라 야장 관측행 설계와 적합 판정이 달라진다. 법적·제도적 해석 사항.</t>
        </is>
      </c>
      <c r="D4" s="24" t="inlineStr">
        <is>
          <t>국토지리정보원</t>
        </is>
      </c>
      <c r="E4" s="27" t="inlineStr"/>
    </row>
    <row r="5" ht="44" customHeight="1">
      <c r="A5" s="24" t="n">
        <v>2</v>
      </c>
      <c r="B5" s="42" t="inlineStr">
        <is>
          <t>기존 16점의 표석·표지 동일성과 공식 좌표</t>
        </is>
      </c>
      <c r="C5" s="42" t="inlineStr">
        <is>
          <t>과거 성과와 신규 관측을 견주려면 같은 물리점임이 확인돼야 한다. 미원은 좌표가 353 m 어긋나 HOLD 로 두었다.</t>
        </is>
      </c>
      <c r="D5" s="24" t="inlineStr">
        <is>
          <t>국토지리정보원</t>
        </is>
      </c>
      <c r="E5" s="27" t="inlineStr"/>
    </row>
    <row r="6" ht="44" customHeight="1">
      <c r="A6" s="24" t="n">
        <v>3</v>
      </c>
      <c r="B6" s="42" t="inlineStr">
        <is>
          <t>현지 기준자력계 투입 여부</t>
        </is>
      </c>
      <c r="C6" s="42" t="inlineStr">
        <is>
          <t>이것 없이는 일변화와 공간변화를 분리할 수 없어 시험 결과를 선점 확정 근거로 쓸 수 없다. 추가 기기·인력·관측시간이 든다.</t>
        </is>
      </c>
      <c r="D6" s="24" t="inlineStr">
        <is>
          <t>발주기관 · 예산</t>
        </is>
      </c>
      <c r="E6" s="27" t="inlineStr"/>
    </row>
    <row r="7" ht="44" customHeight="1">
      <c r="A7" s="24" t="n">
        <v>4</v>
      </c>
      <c r="B7" s="42" t="inlineStr">
        <is>
          <t>정량 임계값과 허용 오판위험 승인</t>
        </is>
      </c>
      <c r="C7" s="42" t="inlineStr">
        <is>
          <t>임계를 어디에 두느냐가 «부적합지를 통과시키는 위험»과 «양호지를 탈락시키는 위험» 의 교환이다. 가치판단이 필요하다.</t>
        </is>
      </c>
      <c r="D7" s="24" t="inlineStr">
        <is>
          <t>발주기관</t>
        </is>
      </c>
      <c r="E7" s="27" t="inlineStr"/>
    </row>
    <row r="8" ht="44" customHeight="1">
      <c r="A8" s="24" t="n">
        <v>5</v>
      </c>
      <c r="B8" s="42" t="inlineStr">
        <is>
          <t>§13② 시설 분류와 거리 산정 방법</t>
        </is>
      </c>
      <c r="C8" s="42" t="inlineStr">
        <is>
          <t>시설 유형 분류가 애매하면 법정 이격 판정이 갈린다. 대외 법정 적합성에 직결.</t>
        </is>
      </c>
      <c r="D8" s="24" t="inlineStr">
        <is>
          <t>국토지리정보원</t>
        </is>
      </c>
      <c r="E8" s="27" t="inlineStr"/>
    </row>
    <row r="9" ht="44" customHeight="1">
      <c r="A9" s="24" t="n">
        <v>6</v>
      </c>
      <c r="B9" s="42" t="inlineStr">
        <is>
          <t>상시관측소 원자료의 제공조건·시간해상도</t>
        </is>
      </c>
      <c r="C9" s="42" t="inlineStr">
        <is>
          <t>자료가 «존재한다»와 «쓸 수 있다»는 다르다. §21 대조의 실현 가능성이 여기 달렸다.</t>
        </is>
      </c>
      <c r="D9" s="24" t="inlineStr">
        <is>
          <t>청양(INTERMAGNET) · KASA</t>
        </is>
      </c>
      <c r="E9" s="27" t="inlineStr"/>
    </row>
  </sheetData>
  <mergeCells count="2">
    <mergeCell ref="A2:E2"/>
    <mergeCell ref="A1:E1"/>
  </mergeCells>
  <dataValidations count="1">
    <dataValidation sqref="E4:E9" showDropDown="0" showInputMessage="0" showErrorMessage="0" allowBlank="1" type="list">
      <formula1>"확인 완료,질의 중,PENDING"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2026-09-07T02:26:37Z</dcterms:created>
  <dcterms:modified xmlns:dcterms="http://purl.org/dc/terms/" xmlns:xsi="http://www.w3.org/2001/XMLSchema-instance" xsi:type="dcterms:W3CDTF">2026-09-07T02:26:38Z</dcterms:modified>
</cp:coreProperties>
</file>