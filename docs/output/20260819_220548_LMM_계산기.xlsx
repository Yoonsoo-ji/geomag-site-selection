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계산" sheetId="1" r:id="rId1"/>
    <sheet name="IGRF_D" sheetId="2" r:id="rId2"/>
    <sheet name="IGRF_I" sheetId="3" r:id="rId3"/>
    <sheet name="IGRF_F" sheetId="4" r:id="rId4"/>
    <sheet name="CRUSTAL" sheetId="5" r:id="rId5"/>
    <sheet name="REGIONAL" sheetId="6" r:id="rId6"/>
    <sheet name="검증" sheetId="7" r:id="rId7"/>
    <sheet name="설명" sheetId="8" r:id="rId8"/>
  </sheets>
  <definedNames>
    <definedName name="CR_LAT">'CRUSTAL'!$A$3:$A$200</definedName>
    <definedName name="CR_LON">'CRUSTAL'!$B$2:$EY$2</definedName>
    <definedName name="CR_VAL">'CRUSTAL'!$B$3:$EY$200</definedName>
    <definedName name="IGD_LAT">'IGRF_D'!$A$3:$A$59</definedName>
    <definedName name="IGD_LATSV">'IGRF_D'!$A$64:$A$120</definedName>
    <definedName name="IGD_LON">'IGRF_D'!$B$2:$AT$2</definedName>
    <definedName name="IGD_LONSV">'IGRF_D'!$B$63:$AT$63</definedName>
    <definedName name="IGD_VAL">'IGRF_D'!$B$3:$AT$59</definedName>
    <definedName name="IGD_VALSV">'IGRF_D'!$B$64:$AT$120</definedName>
    <definedName name="IGF_LAT">'IGRF_F'!$A$3:$A$59</definedName>
    <definedName name="IGF_LATSV">'IGRF_F'!$A$64:$A$120</definedName>
    <definedName name="IGF_LON">'IGRF_F'!$B$2:$AT$2</definedName>
    <definedName name="IGF_LONSV">'IGRF_F'!$B$63:$AT$63</definedName>
    <definedName name="IGF_VAL">'IGRF_F'!$B$3:$AT$59</definedName>
    <definedName name="IGF_VALSV">'IGRF_F'!$B$64:$AT$120</definedName>
    <definedName name="IGI_LAT">'IGRF_I'!$A$3:$A$59</definedName>
    <definedName name="IGI_LATSV">'IGRF_I'!$A$64:$A$120</definedName>
    <definedName name="IGI_LON">'IGRF_I'!$B$2:$AT$2</definedName>
    <definedName name="IGI_LONSV">'IGRF_I'!$B$63:$AT$63</definedName>
    <definedName name="IGI_VAL">'IGRF_I'!$B$3:$AT$59</definedName>
    <definedName name="IGI_VALSV">'IGRF_I'!$B$64:$AT$120</definedName>
    <definedName name="REG_D">'REGIONAL'!$B$5:$B$5</definedName>
    <definedName name="REG_F">'REGIONAL'!$D$5:$D$5</definedName>
    <definedName name="REG_I">'REGIONAL'!$C$5:$C$5</definedName>
  </definedNames>
  <calcPr calcId="124519" fullCalcOnLoad="1"/>
</workbook>
</file>

<file path=xl/sharedStrings.xml><?xml version="1.0" encoding="utf-8"?>
<sst xmlns="http://schemas.openxmlformats.org/spreadsheetml/2006/main" count="119" uniqueCount="119">
  <si>
    <t>IGRF-14 D @ Epoch 2025.0 (표고 0 m)</t>
  </si>
  <si>
    <t>연변화율 SV (D/year)</t>
  </si>
  <si>
    <t>IGRF-14 I @ Epoch 2025.0 (표고 0 m)</t>
  </si>
  <si>
    <t>연변화율 SV (I/year)</t>
  </si>
  <si>
    <t>IGRF-14 F @ Epoch 2025.0 (표고 0 m)</t>
  </si>
  <si>
    <t>연변화율 SV (F/year)</t>
  </si>
  <si>
    <t>KIGAM 자력이상 (nT) — 빈 셀은 항공자력 미측선 구역</t>
  </si>
  <si>
    <t>Regional 층 다항식 계수</t>
  </si>
  <si>
    <t>기준점 lat0=36.0, lon0=127.5, 차수=0</t>
  </si>
  <si>
    <t>항</t>
  </si>
  <si>
    <t>D (deg)</t>
  </si>
  <si>
    <t>I (deg)</t>
  </si>
  <si>
    <t>F (nT)</t>
  </si>
  <si>
    <t>u^0 v^0</t>
  </si>
  <si>
    <t>한반도 LMM 계산기</t>
  </si>
  <si>
    <t>노란 칸에 값을 입력하면 아래 결과가 자동 계산됩니다. 매크로 없이 수식만 사용합니다.</t>
  </si>
  <si>
    <t>위도 (°N)</t>
  </si>
  <si>
    <t>경도 (°E)</t>
  </si>
  <si>
    <t>표고 (m)</t>
  </si>
  <si>
    <t>연도 (예: 2027.5)</t>
  </si>
  <si>
    <t>── 층별 계산 ──</t>
  </si>
  <si>
    <t>① IGRF D @2025 (deg)</t>
  </si>
  <si>
    <t xml:space="preserve">   SV D (/year)</t>
  </si>
  <si>
    <t xml:space="preserve">   표고보정 D</t>
  </si>
  <si>
    <t xml:space="preserve">   IGRF D 최종</t>
  </si>
  <si>
    <t>① IGRF I @2025 (deg)</t>
  </si>
  <si>
    <t xml:space="preserve">   SV I (/year)</t>
  </si>
  <si>
    <t xml:space="preserve">   표고보정 I</t>
  </si>
  <si>
    <t xml:space="preserve">   IGRF I 최종</t>
  </si>
  <si>
    <t>① IGRF F @2025 (nT)</t>
  </si>
  <si>
    <t xml:space="preserve">   SV F (/year)</t>
  </si>
  <si>
    <t xml:space="preserve">   표고보정 F</t>
  </si>
  <si>
    <t xml:space="preserve">   IGRF F 최종</t>
  </si>
  <si>
    <t>② Regional 다항식</t>
  </si>
  <si>
    <t xml:space="preserve">   Regional D</t>
  </si>
  <si>
    <t xml:space="preserve">   Regional I</t>
  </si>
  <si>
    <t xml:space="preserve">   Regional F</t>
  </si>
  <si>
    <t>③ Crustal F (nT)</t>
  </si>
  <si>
    <t xml:space="preserve">   자료 유무</t>
  </si>
  <si>
    <t>④ External (CYG)</t>
  </si>
  <si>
    <t>예측 시점에는 미적용 — LMM 은 정온시 기준값 모형입니다. 외부장은 관측 성과 정리 단계에서 관측소 4소(청양·제주·강릉·이천) 공간보간으로 편각에 반영했습니다 ('설명' 시트 참조).</t>
  </si>
  <si>
    <t>── LMM 최종 결과 ──</t>
  </si>
  <si>
    <t>편각 D (°)</t>
  </si>
  <si>
    <t>복각 I (°)</t>
  </si>
  <si>
    <t>총자력 F (nT)</t>
  </si>
  <si>
    <t>수평 H (nT)</t>
  </si>
  <si>
    <t>북 X (nT)</t>
  </si>
  <si>
    <t>동 Y (nT)</t>
  </si>
  <si>
    <t>연직 Z (nT)</t>
  </si>
  <si>
    <t>편각 D (도 분 초)</t>
  </si>
  <si>
    <t>정확도 고지</t>
  </si>
  <si>
    <t>본 모델은 4개 층 중 3개(IGRF·Regional·Crustal)만으로 구축된 잠정판입니다. 교차검증 실측오차 D 0.50°, I 0.24°, F 63 nT 로 목표 KPI(D&lt;0.1°, F&lt;50 nT)에 미달합니다. IGRF-14 대비 개선된 참고값으로만 사용하고, 지형도 자침편차 등 정식 편각 산출에는 사용하지 마십시오. ※ 위 KPI 는 설명자료가 제시한 공학적 목표치이며 법정 기준이 아닙니다. 법정 측정오차 한계는 편각 정수차 30'(지구물리측량 작업규정 제20조)입니다. 자세한 내용은 '설명' 시트를 참조하십시오.</t>
  </si>
  <si>
    <t>엑셀 수식 vs Python 모델 대조</t>
  </si>
  <si>
    <t>동일 좌표에 대해 Python 이 계산한 값을 함께 기록했습니다. 엑셀 수식 결과와 일치해야 합니다.</t>
  </si>
  <si>
    <t>위도</t>
  </si>
  <si>
    <t>경도</t>
  </si>
  <si>
    <t>표고</t>
  </si>
  <si>
    <t>연도</t>
  </si>
  <si>
    <t>D(Python)</t>
  </si>
  <si>
    <t>I(Python)</t>
  </si>
  <si>
    <t>F(Python)</t>
  </si>
  <si>
    <t>한반도 LMM 계산기 — 방법론 및 한계</t>
  </si>
  <si>
    <t>1. 모델 구조</t>
  </si>
  <si>
    <t xml:space="preserve">   B_LMM = B_IGRF + B_Regional + B_Crustal + B_External</t>
  </si>
  <si>
    <t xml:space="preserve">   ① IGRF-14 (13차 구면조화) — 0.1° 격자 사전계산 후 쌍선형 보간.</t>
  </si>
  <si>
    <t xml:space="preserve">      사전격자 오차: D 0.09", F 0.017 nT (직접계산 대비)</t>
  </si>
  <si>
    <t xml:space="preserve">   ② Regional — 지표 절대측정 성과에 적합한 다항식</t>
  </si>
  <si>
    <t xml:space="preserve">   ③ Crustal — KIGAM 자력이상도 (1.5분 ≒ 2.8 km) 쌍선형 보간</t>
  </si>
  <si>
    <t xml:space="preserve">      총자력 F 에 1:1 로 결합합니다. 결합계수를 자료로 추정해 보았으나</t>
  </si>
  <si>
    <t xml:space="preserve">      (α = 0.67) 교차검증 오차가 커져 α = 1 을 유지했습니다.</t>
  </si>
  <si>
    <t xml:space="preserve">      스칼라 이상에서 벡터를 복원해 편각·복각에 반영하는 방안은 격자</t>
  </si>
  <si>
    <t xml:space="preserve">      결측 39% 를 0 으로 채운 역산이라 현재 진단 전용으로 둡니다.</t>
  </si>
  <si>
    <t xml:space="preserve">   ④ External — 예측 시점 미적용 (LMM 은 정온시 기준값 모형)</t>
  </si>
  <si>
    <t xml:space="preserve">      외부장이 들어갈 자리는 예측 시점이 아니라 관측 성과 정리 단계입니다.</t>
  </si>
  <si>
    <t xml:space="preserve">      관측소 4소(청양·제주·강릉·이천)의 정온야간 기준선 대비 세션 편차를</t>
  </si>
  <si>
    <t xml:space="preserve">      1차 평면으로 공간보간해 측점 위치의 편차를 추정하고, 편각은 편각</t>
  </si>
  <si>
    <t xml:space="preserve">      관측 구간, 복각은 복각 관측 구간의 보정량으로 각각 뺐습니다.</t>
  </si>
  <si>
    <t xml:space="preserve">      단일 관측소·최근접 관측소는 오히려 기준선보다 나빠 채택하지 않았고,</t>
  </si>
  <si>
    <t xml:space="preserve">      상시관측소 축 규약 문서 확보 전까지 잠정 적용입니다.</t>
  </si>
  <si>
    <t xml:space="preserve">      총자력에는 적용하지 않습니다 — 야장에 F 관측시각이 없습니다.</t>
  </si>
  <si>
    <t>2. 표고 보정</t>
  </si>
  <si>
    <t xml:space="preserve">   F -26.25 nT/km, D 13.90 arcsec/km 의 선형 기울기를 적용합니다(한반도 중심 기준 상수).</t>
  </si>
  <si>
    <t>3. 한계 — 반드시 읽어주십시오</t>
  </si>
  <si>
    <t xml:space="preserve">   · External 층은 성과 정리 단계에만 적용: 외부장 일변동은 F 중앙값 37.5 nT,</t>
  </si>
  <si>
    <t xml:space="preserve">     D 중앙값 0.112° 로 편각은 전형적인 하루 변동만으로도 KPI(0.1°)를 초과한다.</t>
  </si>
  <si>
    <t xml:space="preserve">     관측소 4소 공간보간으로 편각을 보정했으나, 4소는 NOC 모드 분해에</t>
  </si>
  <si>
    <t xml:space="preserve">     필요한 밀도에 못 미쳐 근사에 머문다.</t>
  </si>
  <si>
    <t xml:space="preserve">   · Crustal 해상도 부족: 보유 격자는 2.8 km 간격 전국 컴필레이션으로,</t>
  </si>
  <si>
    <t xml:space="preserve">     지표 점 잔차와의 상관이 낮습니다. 측선간격 250 m 원측선 자료는 존재하지</t>
  </si>
  <si>
    <t xml:space="preserve">     않으므로 현 격자가 해상도 상한입니다(신규 자력측량 여부가 갈림길).</t>
  </si>
  <si>
    <t xml:space="preserve">   · 지표 측점 부족 및 품질: 유효 측점이 권고치(30점)에 미달하며,</t>
  </si>
  <si>
    <t xml:space="preserve">     일부 측점은 재방문 편각 산포가 영년변화로 설명 불가한 수준입니다.</t>
  </si>
  <si>
    <t>4. 좌표계와 높이 기준</t>
  </si>
  <si>
    <t xml:space="preserve">   위경도는 WGS84 측지좌표를 입력합니다.</t>
  </si>
  <si>
    <t xml:space="preserve">   높이는 '표고'(정표고, 평균해면 기준)를 입력합니다. 본 모델이 표고로 적합되었기 때문입니다.</t>
  </si>
  <si>
    <t xml:space="preserve">   GNSS·RTK 수신값은 '타원체고(h)'이므로 지오이드고 N 을 빼서 표고로 바꿔야 합니다.</t>
  </si>
  <si>
    <t xml:space="preserve">     H(표고) = h(타원체고) − N(지오이드고),  한반도 N ≈ 20~30 m (KNGeoid)</t>
  </si>
  <si>
    <t xml:space="preserve">   참고 — IGRF 자체는 타원체고를 요구하지만(ppigrf: height above ellipsoid),</t>
  </si>
  <si>
    <t xml:space="preserve">   지오이드 오프셋은 공간적으로 완만해 Regional 다항식의 상수항에 흡수됩니다.</t>
  </si>
  <si>
    <t xml:space="preserve">   실측: N 을 20~30 m 부여해도 교차검증 오차는 58.64 nT 로 변하지 않고</t>
  </si>
  <si>
    <t xml:space="preserve">   Regional F 상수항만 약 0.7 nT 이동합니다. 높이 감도는 F 기준 −0.026 nT/m 이므로</t>
  </si>
  <si>
    <t xml:space="preserve">   표고/타원체고 혼동(약 25 m)은 0.7 nT 수준으로 현재 모델 불확도(59 nT)에 비해 미미합니다.</t>
  </si>
  <si>
    <t>5. KPI 의 성격 — 법정 기준이 아님</t>
  </si>
  <si>
    <t xml:space="preserve">   D&lt;0.1°, F&lt;50 nT 는 「한반도 LMM」 설명자료(오석훈, 강원대)가 제시한 공학적 목표치입니다.</t>
  </si>
  <si>
    <t xml:space="preserve">   법정 기준은 「지구물리측량 작업규정」(고시 제2021-2985호)에 있습니다.</t>
  </si>
  <si>
    <t xml:space="preserve">     · 제20조 측정오차의 한계: 편각·복각 정수차 30'(=0.5°), 관측시간 20분 이내</t>
  </si>
  <si>
    <t xml:space="preserve">     · 제17조: 총자기장 측정기 0.1 nT 단위 판독</t>
  </si>
  <si>
    <t xml:space="preserve">     · 제19조: 1등 1일 6회 이상 측정, 편각·복각 측정 시 총자기장과 시간 동시 측정</t>
  </si>
  <si>
    <t xml:space="preserve">     · 제21조: 상시 기준점과 비교하여 일변화·영년변화 보정 후 기준년 환산</t>
  </si>
  <si>
    <t xml:space="preserve">   법정 한계(30')는 측정 품질관리 기준이고 KPI(0.1°)는 모델 예측정확도 목표로,</t>
  </si>
  <si>
    <t xml:space="preserve">   성격이 다르며 KPI 가 5배 엄격합니다. 따라서 KPI 미달은 법령 위반이 아닙니다.</t>
  </si>
  <si>
    <t xml:space="preserve">   자편각 표기의 근거: 같은 규정 제12조제1항은 1등 지자기점의 설치 목적에</t>
  </si>
  <si>
    <t xml:space="preserve">   '국가기본도의 자편각 표기'를 명시합니다. 다만 지형도 도식 규정상 자침편차 도표는</t>
  </si>
  <si>
    <t xml:space="preserve">   난외사항 필수목록에 없어 표기 자체는 임의사항이며, 적용 축척도 특정되어 있지 않습니다.</t>
  </si>
  <si>
    <t xml:space="preserve">   다만 도폭 규격은 법정 사항이며, 1:25,000 을 기준으로 삼는 근거는 다음과 같습니다.</t>
  </si>
  <si>
    <t xml:space="preserve">     · 도식적용규정 제4조: 1:25,000 도곽 = 경위도 7'30" (0.125°)</t>
  </si>
  <si>
    <t xml:space="preserve">     · 도폭당 자침편차를 단일 값으로 표기하려면 도폭 내 편각 변화가 표기 정밀도보다 작아야 함</t>
  </si>
  <si>
    <t xml:space="preserve">     · 실측 계산: 도폭 내 D 변화가 1:50,000 은 0.091°(0.1° 예산의 91%),</t>
  </si>
  <si>
    <t xml:space="preserve">       1:25,000 은 0.045°(45%). 모델 오차분을 남길 수 있는 가장 성긴 축척이 1:25,000</t>
  </si>
</sst>
</file>

<file path=xl/styles.xml><?xml version="1.0" encoding="utf-8"?>
<styleSheet xmlns="http://schemas.openxmlformats.org/spreadsheetml/2006/main">
  <numFmts count="4">
    <numFmt numFmtId="164" formatCode="0.######"/>
    <numFmt numFmtId="165" formatCode="0.0000"/>
    <numFmt numFmtId="166" formatCode="0.0"/>
    <numFmt numFmtId="167" formatCode="0.###"/>
  </numFmts>
  <fonts count="3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7F9FB"/>
        <bgColor indexed="64"/>
      </patternFill>
    </fill>
    <fill>
      <patternFill patternType="solid">
        <fgColor rgb="FFFFF8E1"/>
        <bgColor indexed="64"/>
      </patternFill>
    </fill>
    <fill>
      <patternFill patternType="solid">
        <fgColor rgb="FFFFF4E5"/>
        <bgColor indexed="64"/>
      </patternFill>
    </fill>
    <fill>
      <patternFill patternType="solid">
        <fgColor rgb="FFEDF1F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2" borderId="1" xfId="0" applyFont="1" applyFill="1" applyBorder="1"/>
    <xf numFmtId="164" fontId="0" fillId="3" borderId="1" xfId="0" applyNumberFormat="1" applyFill="1" applyBorder="1"/>
    <xf numFmtId="165" fontId="0" fillId="0" borderId="1" xfId="0" applyNumberFormat="1" applyBorder="1"/>
    <xf numFmtId="166" fontId="0" fillId="0" borderId="1" xfId="0" applyNumberFormat="1" applyBorder="1"/>
    <xf numFmtId="0" fontId="0" fillId="4" borderId="1" xfId="0" applyFill="1" applyBorder="1" applyAlignment="1">
      <alignment vertical="top" wrapText="1"/>
    </xf>
    <xf numFmtId="167" fontId="2" fillId="5" borderId="1" xfId="0" applyNumberFormat="1" applyFont="1" applyFill="1" applyBorder="1" applyAlignment="1">
      <alignment horizontal="center"/>
    </xf>
    <xf numFmtId="167" fontId="0" fillId="0" borderId="0" xfId="0" applyNumberFormat="1"/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E50"/>
  <sheetViews>
    <sheetView tabSelected="1" workbookViewId="0"/>
  </sheetViews>
  <sheetFormatPr defaultRowHeight="15"/>
  <cols>
    <col min="1" max="1" width="26.7109375" customWidth="1"/>
    <col min="2" max="5" width="16.7109375" customWidth="1"/>
  </cols>
  <sheetData>
    <row r="1" spans="1:2">
      <c r="A1" s="1" t="s">
        <v>14</v>
      </c>
    </row>
    <row r="2" spans="1:2">
      <c r="A2" t="s">
        <v>15</v>
      </c>
    </row>
    <row r="4" spans="1:2">
      <c r="A4" s="2" t="s">
        <v>16</v>
      </c>
      <c r="B4" s="3">
        <v>36</v>
      </c>
    </row>
    <row r="5" spans="1:2">
      <c r="A5" s="2" t="s">
        <v>17</v>
      </c>
      <c r="B5" s="3">
        <v>128</v>
      </c>
    </row>
    <row r="6" spans="1:2">
      <c r="A6" s="2" t="s">
        <v>18</v>
      </c>
      <c r="B6" s="3">
        <v>0</v>
      </c>
    </row>
    <row r="7" spans="1:2">
      <c r="A7" s="2" t="s">
        <v>19</v>
      </c>
      <c r="B7" s="3">
        <v>2027</v>
      </c>
    </row>
    <row r="9" spans="1:2">
      <c r="A9" s="2" t="s">
        <v>20</v>
      </c>
    </row>
    <row r="10" spans="1:2">
      <c r="A10" s="2" t="s">
        <v>21</v>
      </c>
      <c r="B10" s="4">
        <f>INDEX(IGD_VAL,MATCH($B$4,IGD_LAT,1),MATCH($B$5,IGD_LON,1))*(1-(($B$5-INDEX(IGD_LON,MATCH($B$5,IGD_LON,1)))/(INDEX(IGD_LON,MATCH($B$5,IGD_LON,1)+1)-INDEX(IGD_LON,MATCH($B$5,IGD_LON,1)))))*(1-(($B$4-INDEX(IGD_LAT,MATCH($B$4,IGD_LAT,1)))/(INDEX(IGD_LAT,MATCH($B$4,IGD_LAT,1)+1)-INDEX(IGD_LAT,MATCH($B$4,IGD_LAT,1)))))+INDEX(IGD_VAL,MATCH($B$4,IGD_LAT,1),MATCH($B$5,IGD_LON,1)+1)*(($B$5-INDEX(IGD_LON,MATCH($B$5,IGD_LON,1)))/(INDEX(IGD_LON,MATCH($B$5,IGD_LON,1)+1)-INDEX(IGD_LON,MATCH($B$5,IGD_LON,1))))*(1-(($B$4-INDEX(IGD_LAT,MATCH($B$4,IGD_LAT,1)))/(INDEX(IGD_LAT,MATCH($B$4,IGD_LAT,1)+1)-INDEX(IGD_LAT,MATCH($B$4,IGD_LAT,1)))))+INDEX(IGD_VAL,MATCH($B$4,IGD_LAT,1)+1,MATCH($B$5,IGD_LON,1))*(1-(($B$5-INDEX(IGD_LON,MATCH($B$5,IGD_LON,1)))/(INDEX(IGD_LON,MATCH($B$5,IGD_LON,1)+1)-INDEX(IGD_LON,MATCH($B$5,IGD_LON,1)))))*(($B$4-INDEX(IGD_LAT,MATCH($B$4,IGD_LAT,1)))/(INDEX(IGD_LAT,MATCH($B$4,IGD_LAT,1)+1)-INDEX(IGD_LAT,MATCH($B$4,IGD_LAT,1))))+INDEX(IGD_VAL,MATCH($B$4,IGD_LAT,1)+1,MATCH($B$5,IGD_LON,1)+1)*(($B$5-INDEX(IGD_LON,MATCH($B$5,IGD_LON,1)))/(INDEX(IGD_LON,MATCH($B$5,IGD_LON,1)+1)-INDEX(IGD_LON,MATCH($B$5,IGD_LON,1))))*(($B$4-INDEX(IGD_LAT,MATCH($B$4,IGD_LAT,1)))/(INDEX(IGD_LAT,MATCH($B$4,IGD_LAT,1)+1)-INDEX(IGD_LAT,MATCH($B$4,IGD_LAT,1))))</f>
        <v>-8.569459490164009</v>
      </c>
    </row>
    <row r="11" spans="1:2">
      <c r="A11" s="2" t="s">
        <v>22</v>
      </c>
      <c r="B11" s="4">
        <f>INDEX(IGD_VALSV,MATCH($B$4,IGD_LATSV,1),MATCH($B$5,IGD_LONSV,1))*(1-(($B$5-INDEX(IGD_LONSV,MATCH($B$5,IGD_LONSV,1)))/(INDEX(IGD_LONSV,MATCH($B$5,IGD_LONSV,1)+1)-INDEX(IGD_LONSV,MATCH($B$5,IGD_LONSV,1)))))*(1-(($B$4-INDEX(IGD_LATSV,MATCH($B$4,IGD_LATSV,1)))/(INDEX(IGD_LATSV,MATCH($B$4,IGD_LATSV,1)+1)-INDEX(IGD_LATSV,MATCH($B$4,IGD_LATSV,1)))))+INDEX(IGD_VALSV,MATCH($B$4,IGD_LATSV,1),MATCH($B$5,IGD_LONSV,1)+1)*(($B$5-INDEX(IGD_LONSV,MATCH($B$5,IGD_LONSV,1)))/(INDEX(IGD_LONSV,MATCH($B$5,IGD_LONSV,1)+1)-INDEX(IGD_LONSV,MATCH($B$5,IGD_LONSV,1))))*(1-(($B$4-INDEX(IGD_LATSV,MATCH($B$4,IGD_LATSV,1)))/(INDEX(IGD_LATSV,MATCH($B$4,IGD_LATSV,1)+1)-INDEX(IGD_LATSV,MATCH($B$4,IGD_LATSV,1)))))+INDEX(IGD_VALSV,MATCH($B$4,IGD_LATSV,1)+1,MATCH($B$5,IGD_LONSV,1))*(1-(($B$5-INDEX(IGD_LONSV,MATCH($B$5,IGD_LONSV,1)))/(INDEX(IGD_LONSV,MATCH($B$5,IGD_LONSV,1)+1)-INDEX(IGD_LONSV,MATCH($B$5,IGD_LONSV,1)))))*(($B$4-INDEX(IGD_LATSV,MATCH($B$4,IGD_LATSV,1)))/(INDEX(IGD_LATSV,MATCH($B$4,IGD_LATSV,1)+1)-INDEX(IGD_LATSV,MATCH($B$4,IGD_LATSV,1))))+INDEX(IGD_VALSV,MATCH($B$4,IGD_LATSV,1)+1,MATCH($B$5,IGD_LONSV,1)+1)*(($B$5-INDEX(IGD_LONSV,MATCH($B$5,IGD_LONSV,1)))/(INDEX(IGD_LONSV,MATCH($B$5,IGD_LONSV,1)+1)-INDEX(IGD_LONSV,MATCH($B$5,IGD_LONSV,1))))*(($B$4-INDEX(IGD_LATSV,MATCH($B$4,IGD_LATSV,1)))/(INDEX(IGD_LATSV,MATCH($B$4,IGD_LATSV,1)+1)-INDEX(IGD_LATSV,MATCH($B$4,IGD_LATSV,1))))</f>
        <v>-0.03680216066661011</v>
      </c>
    </row>
    <row r="12" spans="1:2">
      <c r="A12" s="2" t="s">
        <v>23</v>
      </c>
      <c r="B12" s="4">
        <f>$B$6*3.860805583663307e-06</f>
        <v>0.0</v>
      </c>
    </row>
    <row r="13" spans="1:2">
      <c r="A13" s="2" t="s">
        <v>24</v>
      </c>
      <c r="B13" s="4">
        <f>B10+B11*($B$7-2025.0)+B12</f>
        <v>-8.64306381149723</v>
      </c>
    </row>
    <row r="15" spans="1:2">
      <c r="A15" s="2" t="s">
        <v>25</v>
      </c>
      <c r="B15" s="4">
        <f>INDEX(IGI_VAL,MATCH($B$4,IGI_LAT,1),MATCH($B$5,IGI_LON,1))*(1-(($B$5-INDEX(IGI_LON,MATCH($B$5,IGI_LON,1)))/(INDEX(IGI_LON,MATCH($B$5,IGI_LON,1)+1)-INDEX(IGI_LON,MATCH($B$5,IGI_LON,1)))))*(1-(($B$4-INDEX(IGI_LAT,MATCH($B$4,IGI_LAT,1)))/(INDEX(IGI_LAT,MATCH($B$4,IGI_LAT,1)+1)-INDEX(IGI_LAT,MATCH($B$4,IGI_LAT,1)))))+INDEX(IGI_VAL,MATCH($B$4,IGI_LAT,1),MATCH($B$5,IGI_LON,1)+1)*(($B$5-INDEX(IGI_LON,MATCH($B$5,IGI_LON,1)))/(INDEX(IGI_LON,MATCH($B$5,IGI_LON,1)+1)-INDEX(IGI_LON,MATCH($B$5,IGI_LON,1))))*(1-(($B$4-INDEX(IGI_LAT,MATCH($B$4,IGI_LAT,1)))/(INDEX(IGI_LAT,MATCH($B$4,IGI_LAT,1)+1)-INDEX(IGI_LAT,MATCH($B$4,IGI_LAT,1)))))+INDEX(IGI_VAL,MATCH($B$4,IGI_LAT,1)+1,MATCH($B$5,IGI_LON,1))*(1-(($B$5-INDEX(IGI_LON,MATCH($B$5,IGI_LON,1)))/(INDEX(IGI_LON,MATCH($B$5,IGI_LON,1)+1)-INDEX(IGI_LON,MATCH($B$5,IGI_LON,1)))))*(($B$4-INDEX(IGI_LAT,MATCH($B$4,IGI_LAT,1)))/(INDEX(IGI_LAT,MATCH($B$4,IGI_LAT,1)+1)-INDEX(IGI_LAT,MATCH($B$4,IGI_LAT,1))))+INDEX(IGI_VAL,MATCH($B$4,IGI_LAT,1)+1,MATCH($B$5,IGI_LON,1)+1)*(($B$5-INDEX(IGI_LON,MATCH($B$5,IGI_LON,1)))/(INDEX(IGI_LON,MATCH($B$5,IGI_LON,1)+1)-INDEX(IGI_LON,MATCH($B$5,IGI_LON,1))))*(($B$4-INDEX(IGI_LAT,MATCH($B$4,IGI_LAT,1)))/(INDEX(IGI_LAT,MATCH($B$4,IGI_LAT,1)+1)-INDEX(IGI_LAT,MATCH($B$4,IGI_LAT,1))))</f>
        <v>52.43073801154233</v>
      </c>
    </row>
    <row r="16" spans="1:2">
      <c r="A16" s="2" t="s">
        <v>26</v>
      </c>
      <c r="B16" s="4">
        <f>INDEX(IGI_VALSV,MATCH($B$4,IGI_LATSV,1),MATCH($B$5,IGI_LONSV,1))*(1-(($B$5-INDEX(IGI_LONSV,MATCH($B$5,IGI_LONSV,1)))/(INDEX(IGI_LONSV,MATCH($B$5,IGI_LONSV,1)+1)-INDEX(IGI_LONSV,MATCH($B$5,IGI_LONSV,1)))))*(1-(($B$4-INDEX(IGI_LATSV,MATCH($B$4,IGI_LATSV,1)))/(INDEX(IGI_LATSV,MATCH($B$4,IGI_LATSV,1)+1)-INDEX(IGI_LATSV,MATCH($B$4,IGI_LATSV,1)))))+INDEX(IGI_VALSV,MATCH($B$4,IGI_LATSV,1),MATCH($B$5,IGI_LONSV,1)+1)*(($B$5-INDEX(IGI_LONSV,MATCH($B$5,IGI_LONSV,1)))/(INDEX(IGI_LONSV,MATCH($B$5,IGI_LONSV,1)+1)-INDEX(IGI_LONSV,MATCH($B$5,IGI_LONSV,1))))*(1-(($B$4-INDEX(IGI_LATSV,MATCH($B$4,IGI_LATSV,1)))/(INDEX(IGI_LATSV,MATCH($B$4,IGI_LATSV,1)+1)-INDEX(IGI_LATSV,MATCH($B$4,IGI_LATSV,1)))))+INDEX(IGI_VALSV,MATCH($B$4,IGI_LATSV,1)+1,MATCH($B$5,IGI_LONSV,1))*(1-(($B$5-INDEX(IGI_LONSV,MATCH($B$5,IGI_LONSV,1)))/(INDEX(IGI_LONSV,MATCH($B$5,IGI_LONSV,1)+1)-INDEX(IGI_LONSV,MATCH($B$5,IGI_LONSV,1)))))*(($B$4-INDEX(IGI_LATSV,MATCH($B$4,IGI_LATSV,1)))/(INDEX(IGI_LATSV,MATCH($B$4,IGI_LATSV,1)+1)-INDEX(IGI_LATSV,MATCH($B$4,IGI_LATSV,1))))+INDEX(IGI_VALSV,MATCH($B$4,IGI_LATSV,1)+1,MATCH($B$5,IGI_LONSV,1)+1)*(($B$5-INDEX(IGI_LONSV,MATCH($B$5,IGI_LONSV,1)))/(INDEX(IGI_LONSV,MATCH($B$5,IGI_LONSV,1)+1)-INDEX(IGI_LONSV,MATCH($B$5,IGI_LONSV,1))))*(($B$4-INDEX(IGI_LATSV,MATCH($B$4,IGI_LATSV,1)))/(INDEX(IGI_LATSV,MATCH($B$4,IGI_LATSV,1)+1)-INDEX(IGI_LATSV,MATCH($B$4,IGI_LATSV,1))))</f>
        <v>0.032405971253189135</v>
      </c>
    </row>
    <row r="17" spans="1:2">
      <c r="A17" s="2" t="s">
        <v>27</v>
      </c>
      <c r="B17" s="4">
        <f>$B$6*-1.0158341658481619e-06</f>
        <v>-0.0</v>
      </c>
    </row>
    <row r="18" spans="1:2">
      <c r="A18" s="2" t="s">
        <v>28</v>
      </c>
      <c r="B18" s="4">
        <f>B15+B16*($B$7-2025.0)+B17</f>
        <v>52.49554995404871</v>
      </c>
    </row>
    <row r="20" spans="1:2">
      <c r="A20" s="2" t="s">
        <v>29</v>
      </c>
      <c r="B20" s="4">
        <f>INDEX(IGF_VAL,MATCH($B$4,IGF_LAT,1),MATCH($B$5,IGF_LON,1))*(1-(($B$5-INDEX(IGF_LON,MATCH($B$5,IGF_LON,1)))/(INDEX(IGF_LON,MATCH($B$5,IGF_LON,1)+1)-INDEX(IGF_LON,MATCH($B$5,IGF_LON,1)))))*(1-(($B$4-INDEX(IGF_LAT,MATCH($B$4,IGF_LAT,1)))/(INDEX(IGF_LAT,MATCH($B$4,IGF_LAT,1)+1)-INDEX(IGF_LAT,MATCH($B$4,IGF_LAT,1)))))+INDEX(IGF_VAL,MATCH($B$4,IGF_LAT,1),MATCH($B$5,IGF_LON,1)+1)*(($B$5-INDEX(IGF_LON,MATCH($B$5,IGF_LON,1)))/(INDEX(IGF_LON,MATCH($B$5,IGF_LON,1)+1)-INDEX(IGF_LON,MATCH($B$5,IGF_LON,1))))*(1-(($B$4-INDEX(IGF_LAT,MATCH($B$4,IGF_LAT,1)))/(INDEX(IGF_LAT,MATCH($B$4,IGF_LAT,1)+1)-INDEX(IGF_LAT,MATCH($B$4,IGF_LAT,1)))))+INDEX(IGF_VAL,MATCH($B$4,IGF_LAT,1)+1,MATCH($B$5,IGF_LON,1))*(1-(($B$5-INDEX(IGF_LON,MATCH($B$5,IGF_LON,1)))/(INDEX(IGF_LON,MATCH($B$5,IGF_LON,1)+1)-INDEX(IGF_LON,MATCH($B$5,IGF_LON,1)))))*(($B$4-INDEX(IGF_LAT,MATCH($B$4,IGF_LAT,1)))/(INDEX(IGF_LAT,MATCH($B$4,IGF_LAT,1)+1)-INDEX(IGF_LAT,MATCH($B$4,IGF_LAT,1))))+INDEX(IGF_VAL,MATCH($B$4,IGF_LAT,1)+1,MATCH($B$5,IGF_LON,1)+1)*(($B$5-INDEX(IGF_LON,MATCH($B$5,IGF_LON,1)))/(INDEX(IGF_LON,MATCH($B$5,IGF_LON,1)+1)-INDEX(IGF_LON,MATCH($B$5,IGF_LON,1))))*(($B$4-INDEX(IGF_LAT,MATCH($B$4,IGF_LAT,1)))/(INDEX(IGF_LAT,MATCH($B$4,IGF_LAT,1)+1)-INDEX(IGF_LAT,MATCH($B$4,IGF_LAT,1))))</f>
        <v>50243.55790520917</v>
      </c>
    </row>
    <row r="21" spans="1:2">
      <c r="A21" s="2" t="s">
        <v>30</v>
      </c>
      <c r="B21" s="4">
        <f>INDEX(IGF_VALSV,MATCH($B$4,IGF_LATSV,1),MATCH($B$5,IGF_LONSV,1))*(1-(($B$5-INDEX(IGF_LONSV,MATCH($B$5,IGF_LONSV,1)))/(INDEX(IGF_LONSV,MATCH($B$5,IGF_LONSV,1)+1)-INDEX(IGF_LONSV,MATCH($B$5,IGF_LONSV,1)))))*(1-(($B$4-INDEX(IGF_LATSV,MATCH($B$4,IGF_LATSV,1)))/(INDEX(IGF_LATSV,MATCH($B$4,IGF_LATSV,1)+1)-INDEX(IGF_LATSV,MATCH($B$4,IGF_LATSV,1)))))+INDEX(IGF_VALSV,MATCH($B$4,IGF_LATSV,1),MATCH($B$5,IGF_LONSV,1)+1)*(($B$5-INDEX(IGF_LONSV,MATCH($B$5,IGF_LONSV,1)))/(INDEX(IGF_LONSV,MATCH($B$5,IGF_LONSV,1)+1)-INDEX(IGF_LONSV,MATCH($B$5,IGF_LONSV,1))))*(1-(($B$4-INDEX(IGF_LATSV,MATCH($B$4,IGF_LATSV,1)))/(INDEX(IGF_LATSV,MATCH($B$4,IGF_LATSV,1)+1)-INDEX(IGF_LATSV,MATCH($B$4,IGF_LATSV,1)))))+INDEX(IGF_VALSV,MATCH($B$4,IGF_LATSV,1)+1,MATCH($B$5,IGF_LONSV,1))*(1-(($B$5-INDEX(IGF_LONSV,MATCH($B$5,IGF_LONSV,1)))/(INDEX(IGF_LONSV,MATCH($B$5,IGF_LONSV,1)+1)-INDEX(IGF_LONSV,MATCH($B$5,IGF_LONSV,1)))))*(($B$4-INDEX(IGF_LATSV,MATCH($B$4,IGF_LATSV,1)))/(INDEX(IGF_LATSV,MATCH($B$4,IGF_LATSV,1)+1)-INDEX(IGF_LATSV,MATCH($B$4,IGF_LATSV,1))))+INDEX(IGF_VALSV,MATCH($B$4,IGF_LATSV,1)+1,MATCH($B$5,IGF_LONSV,1)+1)*(($B$5-INDEX(IGF_LONSV,MATCH($B$5,IGF_LONSV,1)))/(INDEX(IGF_LONSV,MATCH($B$5,IGF_LONSV,1)+1)-INDEX(IGF_LONSV,MATCH($B$5,IGF_LONSV,1))))*(($B$4-INDEX(IGF_LATSV,MATCH($B$4,IGF_LATSV,1)))/(INDEX(IGF_LATSV,MATCH($B$4,IGF_LATSV,1)+1)-INDEX(IGF_LATSV,MATCH($B$4,IGF_LATSV,1))))</f>
        <v>28.28869898957055</v>
      </c>
    </row>
    <row r="22" spans="1:2">
      <c r="A22" s="2" t="s">
        <v>31</v>
      </c>
      <c r="B22" s="4">
        <f>$B$6*-0.026249379502944065</f>
        <v>-0.0</v>
      </c>
    </row>
    <row r="23" spans="1:2">
      <c r="A23" s="2" t="s">
        <v>32</v>
      </c>
      <c r="B23" s="4">
        <f>B20+B21*($B$7-2025.0)+B22</f>
        <v>50300.13530318831</v>
      </c>
    </row>
    <row r="25" spans="1:2">
      <c r="A25" s="2" t="s">
        <v>33</v>
      </c>
    </row>
    <row r="26" spans="1:2">
      <c r="A26" s="2" t="s">
        <v>34</v>
      </c>
      <c r="B26" s="4">
        <f>INDEX(REG_D,1)*(($B$4-36.0)^0)*(($B$5-127.5)^0)</f>
        <v>-0.21083522666009108</v>
      </c>
    </row>
    <row r="27" spans="1:2">
      <c r="A27" s="2" t="s">
        <v>35</v>
      </c>
      <c r="B27" s="4">
        <f>INDEX(REG_I,1)*(($B$4-36.0)^0)*(($B$5-127.5)^0)</f>
        <v>0.17162372636441872</v>
      </c>
    </row>
    <row r="28" spans="1:2">
      <c r="A28" s="2" t="s">
        <v>36</v>
      </c>
      <c r="B28" s="4">
        <f>INDEX(REG_F,1)*(($B$4-36.0)^0)*(($B$5-127.5)^0)</f>
        <v>8.313629090927206</v>
      </c>
    </row>
    <row r="30" spans="1:2">
      <c r="A30" s="2" t="s">
        <v>37</v>
      </c>
      <c r="B30" s="5">
        <f>IF((IF(ISNUMBER(INDEX(CR_VAL,MATCH($B$4,CR_LAT,1),MATCH($B$5,CR_LON,1))),((1-(($B$5-INDEX(CR_LON,MATCH($B$5,CR_LON,1)))/(INDEX(CR_LON,MATCH($B$5,CR_LON,1)+1)-INDEX(CR_LON,MATCH($B$5,CR_LON,1)))))*(1-(($B$4-INDEX(CR_LAT,MATCH($B$4,CR_LAT,1)))/(INDEX(CR_LAT,MATCH($B$4,CR_LAT,1)+1)-INDEX(CR_LAT,MATCH($B$4,CR_LAT,1)))))),0)+IF(ISNUMBER(INDEX(CR_VAL,MATCH($B$4,CR_LAT,1),MATCH($B$5,CR_LON,1)+1)),((($B$5-INDEX(CR_LON,MATCH($B$5,CR_LON,1)))/(INDEX(CR_LON,MATCH($B$5,CR_LON,1)+1)-INDEX(CR_LON,MATCH($B$5,CR_LON,1))))*(1-(($B$4-INDEX(CR_LAT,MATCH($B$4,CR_LAT,1)))/(INDEX(CR_LAT,MATCH($B$4,CR_LAT,1)+1)-INDEX(CR_LAT,MATCH($B$4,CR_LAT,1)))))),0)+IF(ISNUMBER(INDEX(CR_VAL,MATCH($B$4,CR_LAT,1)+1,MATCH($B$5,CR_LON,1))),((1-(($B$5-INDEX(CR_LON,MATCH($B$5,CR_LON,1)))/(INDEX(CR_LON,MATCH($B$5,CR_LON,1)+1)-INDEX(CR_LON,MATCH($B$5,CR_LON,1)))))*(($B$4-INDEX(CR_LAT,MATCH($B$4,CR_LAT,1)))/(INDEX(CR_LAT,MATCH($B$4,CR_LAT,1)+1)-INDEX(CR_LAT,MATCH($B$4,CR_LAT,1))))),0)+IF(ISNUMBER(INDEX(CR_VAL,MATCH($B$4,CR_LAT,1)+1,MATCH($B$5,CR_LON,1)+1)),((($B$5-INDEX(CR_LON,MATCH($B$5,CR_LON,1)))/(INDEX(CR_LON,MATCH($B$5,CR_LON,1)+1)-INDEX(CR_LON,MATCH($B$5,CR_LON,1))))*(($B$4-INDEX(CR_LAT,MATCH($B$4,CR_LAT,1)))/(INDEX(CR_LAT,MATCH($B$4,CR_LAT,1)+1)-INDEX(CR_LAT,MATCH($B$4,CR_LAT,1))))),0))=0,0,(IF(ISNUMBER(INDEX(CR_VAL,MATCH($B$4,CR_LAT,1),MATCH($B$5,CR_LON,1))),INDEX(CR_VAL,MATCH($B$4,CR_LAT,1),MATCH($B$5,CR_LON,1))*((1-(($B$5-INDEX(CR_LON,MATCH($B$5,CR_LON,1)))/(INDEX(CR_LON,MATCH($B$5,CR_LON,1)+1)-INDEX(CR_LON,MATCH($B$5,CR_LON,1)))))*(1-(($B$4-INDEX(CR_LAT,MATCH($B$4,CR_LAT,1)))/(INDEX(CR_LAT,MATCH($B$4,CR_LAT,1)+1)-INDEX(CR_LAT,MATCH($B$4,CR_LAT,1)))))),0)+IF(ISNUMBER(INDEX(CR_VAL,MATCH($B$4,CR_LAT,1),MATCH($B$5,CR_LON,1)+1)),INDEX(CR_VAL,MATCH($B$4,CR_LAT,1),MATCH($B$5,CR_LON,1)+1)*((($B$5-INDEX(CR_LON,MATCH($B$5,CR_LON,1)))/(INDEX(CR_LON,MATCH($B$5,CR_LON,1)+1)-INDEX(CR_LON,MATCH($B$5,CR_LON,1))))*(1-(($B$4-INDEX(CR_LAT,MATCH($B$4,CR_LAT,1)))/(INDEX(CR_LAT,MATCH($B$4,CR_LAT,1)+1)-INDEX(CR_LAT,MATCH($B$4,CR_LAT,1)))))),0)+IF(ISNUMBER(INDEX(CR_VAL,MATCH($B$4,CR_LAT,1)+1,MATCH($B$5,CR_LON,1))),INDEX(CR_VAL,MATCH($B$4,CR_LAT,1)+1,MATCH($B$5,CR_LON,1))*((1-(($B$5-INDEX(CR_LON,MATCH($B$5,CR_LON,1)))/(INDEX(CR_LON,MATCH($B$5,CR_LON,1)+1)-INDEX(CR_LON,MATCH($B$5,CR_LON,1)))))*(($B$4-INDEX(CR_LAT,MATCH($B$4,CR_LAT,1)))/(INDEX(CR_LAT,MATCH($B$4,CR_LAT,1)+1)-INDEX(CR_LAT,MATCH($B$4,CR_LAT,1))))),0)+IF(ISNUMBER(INDEX(CR_VAL,MATCH($B$4,CR_LAT,1)+1,MATCH($B$5,CR_LON,1)+1)),INDEX(CR_VAL,MATCH($B$4,CR_LAT,1)+1,MATCH($B$5,CR_LON,1)+1)*((($B$5-INDEX(CR_LON,MATCH($B$5,CR_LON,1)))/(INDEX(CR_LON,MATCH($B$5,CR_LON,1)+1)-INDEX(CR_LON,MATCH($B$5,CR_LON,1))))*(($B$4-INDEX(CR_LAT,MATCH($B$4,CR_LAT,1)))/(INDEX(CR_LAT,MATCH($B$4,CR_LAT,1)+1)-INDEX(CR_LAT,MATCH($B$4,CR_LAT,1))))),0))/(IF(ISNUMBER(INDEX(CR_VAL,MATCH($B$4,CR_LAT,1),MATCH($B$5,CR_LON,1))),((1-(($B$5-INDEX(CR_LON,MATCH($B$5,CR_LON,1)))/(INDEX(CR_LON,MATCH($B$5,CR_LON,1)+1)-INDEX(CR_LON,MATCH($B$5,CR_LON,1)))))*(1-(($B$4-INDEX(CR_LAT,MATCH($B$4,CR_LAT,1)))/(INDEX(CR_LAT,MATCH($B$4,CR_LAT,1)+1)-INDEX(CR_LAT,MATCH($B$4,CR_LAT,1)))))),0)+IF(ISNUMBER(INDEX(CR_VAL,MATCH($B$4,CR_LAT,1),MATCH($B$5,CR_LON,1)+1)),((($B$5-INDEX(CR_LON,MATCH($B$5,CR_LON,1)))/(INDEX(CR_LON,MATCH($B$5,CR_LON,1)+1)-INDEX(CR_LON,MATCH($B$5,CR_LON,1))))*(1-(($B$4-INDEX(CR_LAT,MATCH($B$4,CR_LAT,1)))/(INDEX(CR_LAT,MATCH($B$4,CR_LAT,1)+1)-INDEX(CR_LAT,MATCH($B$4,CR_LAT,1)))))),0)+IF(ISNUMBER(INDEX(CR_VAL,MATCH($B$4,CR_LAT,1)+1,MATCH($B$5,CR_LON,1))),((1-(($B$5-INDEX(CR_LON,MATCH($B$5,CR_LON,1)))/(INDEX(CR_LON,MATCH($B$5,CR_LON,1)+1)-INDEX(CR_LON,MATCH($B$5,CR_LON,1)))))*(($B$4-INDEX(CR_LAT,MATCH($B$4,CR_LAT,1)))/(INDEX(CR_LAT,MATCH($B$4,CR_LAT,1)+1)-INDEX(CR_LAT,MATCH($B$4,CR_LAT,1))))),0)+IF(ISNUMBER(INDEX(CR_VAL,MATCH($B$4,CR_LAT,1)+1,MATCH($B$5,CR_LON,1)+1)),((($B$5-INDEX(CR_LON,MATCH($B$5,CR_LON,1)))/(INDEX(CR_LON,MATCH($B$5,CR_LON,1)+1)-INDEX(CR_LON,MATCH($B$5,CR_LON,1))))*(($B$4-INDEX(CR_LAT,MATCH($B$4,CR_LAT,1)))/(INDEX(CR_LAT,MATCH($B$4,CR_LAT,1)+1)-INDEX(CR_LAT,MATCH($B$4,CR_LAT,1))))),0)))</f>
        <v>-18.7</v>
      </c>
    </row>
    <row r="31" spans="1:2">
      <c r="A31" s="2" t="s">
        <v>38</v>
      </c>
      <c r="B31" t="str">
        <f>IF(OR($B$4&lt;MIN(CR_LAT),$B$4&gt;MAX(CR_LAT),$B$5&lt;MIN(CR_LON),$B$5&gt;MAX(CR_LON)),"격자 범위 밖",IF(B30=0,"자료 공백(0 적용)","정상"))</f>
        <v>정상</v>
      </c>
    </row>
    <row r="33" spans="1:5">
      <c r="A33" s="2" t="s">
        <v>39</v>
      </c>
      <c r="B33" t="s">
        <v>40</v>
      </c>
    </row>
    <row r="35" spans="1:5">
      <c r="A35" s="2" t="s">
        <v>41</v>
      </c>
    </row>
    <row r="36" spans="1:5">
      <c r="A36" s="2" t="s">
        <v>42</v>
      </c>
      <c r="B36" s="4">
        <f>B13+B26</f>
        <v>-8.853899038157321</v>
      </c>
    </row>
    <row r="37" spans="1:5">
      <c r="A37" s="2" t="s">
        <v>43</v>
      </c>
      <c r="B37" s="4">
        <f>B18+B27</f>
        <v>52.66717368041313</v>
      </c>
    </row>
    <row r="38" spans="1:5">
      <c r="A38" s="2" t="s">
        <v>44</v>
      </c>
      <c r="B38" s="5">
        <f>B23+B30+B28</f>
        <v>50289.74893227924</v>
      </c>
    </row>
    <row r="39" spans="1:5">
      <c r="A39" s="2" t="s">
        <v>45</v>
      </c>
      <c r="B39" s="5">
        <f>B38*COS(RADIANS(B37))</f>
        <v>30497.918980975297</v>
      </c>
    </row>
    <row r="40" spans="1:5">
      <c r="A40" s="2" t="s">
        <v>46</v>
      </c>
      <c r="B40" s="5">
        <f>B39*COS(RADIANS(B36))</f>
        <v>30134.506633209086</v>
      </c>
    </row>
    <row r="41" spans="1:5">
      <c r="A41" s="2" t="s">
        <v>47</v>
      </c>
      <c r="B41" s="5">
        <f>B39*SIN(RADIANS(B36))</f>
        <v>-4694.099715942431</v>
      </c>
    </row>
    <row r="42" spans="1:5">
      <c r="A42" s="2" t="s">
        <v>48</v>
      </c>
      <c r="B42" s="5">
        <f>B38*SIN(RADIANS(B37))</f>
        <v>39986.69510601679</v>
      </c>
    </row>
    <row r="44" spans="1:5">
      <c r="A44" s="2" t="s">
        <v>49</v>
      </c>
      <c r="B44" t="str">
        <f>TEXT(TRUNC(B36),"0")&amp;"° "&amp;TEXT(TRUNC(ABS(B36-TRUNC(B36))*60),"00")&amp;"' "&amp;TEXT(ROUND((ABS(B36-TRUNC(B36))*60-TRUNC(ABS(B36-TRUNC(B36))*60))*60,1),"00.0")&amp;""""</f>
        <v>-8° 51' 14.0"</v>
      </c>
    </row>
    <row r="46" spans="1:5" ht="22" customHeight="1">
      <c r="A46" s="2" t="s">
        <v>50</v>
      </c>
      <c r="B46" s="6" t="s">
        <v>51</v>
      </c>
      <c r="C46" s="6"/>
      <c r="D46" s="6"/>
      <c r="E46" s="6"/>
    </row>
    <row r="47" spans="1:5" ht="22" customHeight="1">
      <c r="B47" s="6"/>
      <c r="C47" s="6"/>
      <c r="D47" s="6"/>
      <c r="E47" s="6"/>
    </row>
    <row r="48" spans="1:5" ht="22" customHeight="1">
      <c r="B48" s="6"/>
      <c r="C48" s="6"/>
      <c r="D48" s="6"/>
      <c r="E48" s="6"/>
    </row>
    <row r="49" spans="2:5" ht="22" customHeight="1">
      <c r="B49" s="6"/>
      <c r="C49" s="6"/>
      <c r="D49" s="6"/>
      <c r="E49" s="6"/>
    </row>
    <row r="50" spans="2:5" ht="22" customHeight="1">
      <c r="B50" s="6"/>
      <c r="C50" s="6"/>
      <c r="D50" s="6"/>
      <c r="E50" s="6"/>
    </row>
  </sheetData>
  <mergeCells count="2">
    <mergeCell ref="B33:E33"/>
    <mergeCell ref="B46:E50"/>
  </mergeCells>
  <pageMargins left="0.4" right="0.4" top="0.4" bottom="0.4" header="0.3" footer="0.3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dimension ref="A1:AT120"/>
  <sheetViews>
    <sheetView workbookViewId="0">
      <pane xSplit="1" topLeftCell="B1" activePane="topRight" state="frozen"/>
      <selection pane="topRight"/>
    </sheetView>
  </sheetViews>
  <sheetFormatPr defaultRowHeight="15"/>
  <cols>
    <col min="1" max="46" width="9.7109375" customWidth="1"/>
  </cols>
  <sheetData>
    <row r="1" spans="1:46">
      <c r="A1" s="7" t="s">
        <v>0</v>
      </c>
    </row>
    <row r="2" spans="1:46">
      <c r="B2" s="7">
        <v>125.5</v>
      </c>
      <c r="C2" s="7">
        <v>125.6</v>
      </c>
      <c r="D2" s="7">
        <v>125.7</v>
      </c>
      <c r="E2" s="7">
        <v>125.8</v>
      </c>
      <c r="F2" s="7">
        <v>125.9</v>
      </c>
      <c r="G2" s="7">
        <v>126</v>
      </c>
      <c r="H2" s="7">
        <v>126.1</v>
      </c>
      <c r="I2" s="7">
        <v>126.2</v>
      </c>
      <c r="J2" s="7">
        <v>126.3</v>
      </c>
      <c r="K2" s="7">
        <v>126.4</v>
      </c>
      <c r="L2" s="7">
        <v>126.5</v>
      </c>
      <c r="M2" s="7">
        <v>126.6</v>
      </c>
      <c r="N2" s="7">
        <v>126.7</v>
      </c>
      <c r="O2" s="7">
        <v>126.8</v>
      </c>
      <c r="P2" s="7">
        <v>126.9</v>
      </c>
      <c r="Q2" s="7">
        <v>127</v>
      </c>
      <c r="R2" s="7">
        <v>127.1</v>
      </c>
      <c r="S2" s="7">
        <v>127.2</v>
      </c>
      <c r="T2" s="7">
        <v>127.3</v>
      </c>
      <c r="U2" s="7">
        <v>127.4</v>
      </c>
      <c r="V2" s="7">
        <v>127.5</v>
      </c>
      <c r="W2" s="7">
        <v>127.6</v>
      </c>
      <c r="X2" s="7">
        <v>127.7</v>
      </c>
      <c r="Y2" s="7">
        <v>127.8</v>
      </c>
      <c r="Z2" s="7">
        <v>127.9</v>
      </c>
      <c r="AA2" s="7">
        <v>128</v>
      </c>
      <c r="AB2" s="7">
        <v>128.1</v>
      </c>
      <c r="AC2" s="7">
        <v>128.2</v>
      </c>
      <c r="AD2" s="7">
        <v>128.3</v>
      </c>
      <c r="AE2" s="7">
        <v>128.4</v>
      </c>
      <c r="AF2" s="7">
        <v>128.5</v>
      </c>
      <c r="AG2" s="7">
        <v>128.6</v>
      </c>
      <c r="AH2" s="7">
        <v>128.7</v>
      </c>
      <c r="AI2" s="7">
        <v>128.8</v>
      </c>
      <c r="AJ2" s="7">
        <v>128.9</v>
      </c>
      <c r="AK2" s="7">
        <v>129</v>
      </c>
      <c r="AL2" s="7">
        <v>129.1</v>
      </c>
      <c r="AM2" s="7">
        <v>129.2</v>
      </c>
      <c r="AN2" s="7">
        <v>129.3</v>
      </c>
      <c r="AO2" s="7">
        <v>129.4</v>
      </c>
      <c r="AP2" s="7">
        <v>129.5</v>
      </c>
      <c r="AQ2" s="7">
        <v>129.6</v>
      </c>
      <c r="AR2" s="7">
        <v>129.7</v>
      </c>
      <c r="AS2" s="7">
        <v>129.8</v>
      </c>
      <c r="AT2" s="7">
        <v>129.9</v>
      </c>
    </row>
    <row r="3" spans="1:46">
      <c r="A3" s="7">
        <v>33</v>
      </c>
      <c r="B3" s="8">
        <v>-7.50290078054984</v>
      </c>
      <c r="C3" s="8">
        <v>-7.513070232717784</v>
      </c>
      <c r="D3" s="8">
        <v>-7.523050437078367</v>
      </c>
      <c r="E3" s="8">
        <v>-7.532840862076442</v>
      </c>
      <c r="F3" s="8">
        <v>-7.542440988670898</v>
      </c>
      <c r="G3" s="8">
        <v>-7.551850310339314</v>
      </c>
      <c r="H3" s="8">
        <v>-7.561068333080491</v>
      </c>
      <c r="I3" s="8">
        <v>-7.57009457541486</v>
      </c>
      <c r="J3" s="8">
        <v>-7.578928568382785</v>
      </c>
      <c r="K3" s="8">
        <v>-7.587569855540766</v>
      </c>
      <c r="L3" s="8">
        <v>-7.596017992955599</v>
      </c>
      <c r="M3" s="8">
        <v>-7.604272549196466</v>
      </c>
      <c r="N3" s="8">
        <v>-7.612333105324961</v>
      </c>
      <c r="O3" s="8">
        <v>-7.620199254883066</v>
      </c>
      <c r="P3" s="8">
        <v>-7.627870603879281</v>
      </c>
      <c r="Q3" s="8">
        <v>-7.635346770772531</v>
      </c>
      <c r="R3" s="8">
        <v>-7.642627386454274</v>
      </c>
      <c r="S3" s="8">
        <v>-7.649712094228593</v>
      </c>
      <c r="T3" s="8">
        <v>-7.65660054979037</v>
      </c>
      <c r="U3" s="8">
        <v>-7.663292421201549</v>
      </c>
      <c r="V3" s="8">
        <v>-7.669787388865481</v>
      </c>
      <c r="W3" s="8">
        <v>-7.676085145499422</v>
      </c>
      <c r="X3" s="8">
        <v>-7.682185396105177</v>
      </c>
      <c r="Y3" s="8">
        <v>-7.688087857937907</v>
      </c>
      <c r="Z3" s="8">
        <v>-7.693792260473128</v>
      </c>
      <c r="AA3" s="8">
        <v>-7.699298345371901</v>
      </c>
      <c r="AB3" s="8">
        <v>-7.704605866444317</v>
      </c>
      <c r="AC3" s="8">
        <v>-7.709714589611137</v>
      </c>
      <c r="AD3" s="8">
        <v>-7.714624292863814</v>
      </c>
      <c r="AE3" s="8">
        <v>-7.719334766222753</v>
      </c>
      <c r="AF3" s="8">
        <v>-7.723845811693922</v>
      </c>
      <c r="AG3" s="8">
        <v>-7.72815724322379</v>
      </c>
      <c r="AH3" s="8">
        <v>-7.732268886652626</v>
      </c>
      <c r="AI3" s="8">
        <v>-7.73618057966629</v>
      </c>
      <c r="AJ3" s="8">
        <v>-7.739892171746258</v>
      </c>
      <c r="AK3" s="8">
        <v>-7.743403524118312</v>
      </c>
      <c r="AL3" s="8">
        <v>-7.746714509699484</v>
      </c>
      <c r="AM3" s="8">
        <v>-7.749825013043666</v>
      </c>
      <c r="AN3" s="8">
        <v>-7.752734930285643</v>
      </c>
      <c r="AO3" s="8">
        <v>-7.755444169083658</v>
      </c>
      <c r="AP3" s="8">
        <v>-7.757952648560646</v>
      </c>
      <c r="AQ3" s="8">
        <v>-7.760260299243926</v>
      </c>
      <c r="AR3" s="8">
        <v>-7.76236706300362</v>
      </c>
      <c r="AS3" s="8">
        <v>-7.764272892989679</v>
      </c>
      <c r="AT3" s="8">
        <v>-7.765977753567546</v>
      </c>
    </row>
    <row r="4" spans="1:46">
      <c r="A4" s="7">
        <v>33.1</v>
      </c>
      <c r="B4" s="8">
        <v>-7.530619717664321</v>
      </c>
      <c r="C4" s="8">
        <v>-7.540835234915379</v>
      </c>
      <c r="D4" s="8">
        <v>-7.550861308093846</v>
      </c>
      <c r="E4" s="8">
        <v>-7.560697407495584</v>
      </c>
      <c r="F4" s="8">
        <v>-7.570343015899516</v>
      </c>
      <c r="G4" s="8">
        <v>-7.579797628572069</v>
      </c>
      <c r="H4" s="8">
        <v>-7.58906075326952</v>
      </c>
      <c r="I4" s="8">
        <v>-7.59813191023817</v>
      </c>
      <c r="J4" s="8">
        <v>-7.607010632212494</v>
      </c>
      <c r="K4" s="8">
        <v>-7.615696464411177</v>
      </c>
      <c r="L4" s="8">
        <v>-7.624188964531081</v>
      </c>
      <c r="M4" s="8">
        <v>-7.632487702739205</v>
      </c>
      <c r="N4" s="8">
        <v>-7.64059226166258</v>
      </c>
      <c r="O4" s="8">
        <v>-7.648502236376148</v>
      </c>
      <c r="P4" s="8">
        <v>-7.656217234388693</v>
      </c>
      <c r="Q4" s="8">
        <v>-7.663736875626728</v>
      </c>
      <c r="R4" s="8">
        <v>-7.671060792416501</v>
      </c>
      <c r="S4" s="8">
        <v>-7.678188629463996</v>
      </c>
      <c r="T4" s="8">
        <v>-7.68512004383303</v>
      </c>
      <c r="U4" s="8">
        <v>-7.691854704921475</v>
      </c>
      <c r="V4" s="8">
        <v>-7.698392294435555</v>
      </c>
      <c r="W4" s="8">
        <v>-7.704732506362336</v>
      </c>
      <c r="X4" s="8">
        <v>-7.71087504694033</v>
      </c>
      <c r="Y4" s="8">
        <v>-7.716819634628287</v>
      </c>
      <c r="Z4" s="8">
        <v>-7.722566000072203</v>
      </c>
      <c r="AA4" s="8">
        <v>-7.728113886070535</v>
      </c>
      <c r="AB4" s="8">
        <v>-7.733463047537674</v>
      </c>
      <c r="AC4" s="8">
        <v>-7.738613251465697</v>
      </c>
      <c r="AD4" s="8">
        <v>-7.743564276884345</v>
      </c>
      <c r="AE4" s="8">
        <v>-7.748315914819402</v>
      </c>
      <c r="AF4" s="8">
        <v>-7.752867968249337</v>
      </c>
      <c r="AG4" s="8">
        <v>-7.757220252060333</v>
      </c>
      <c r="AH4" s="8">
        <v>-7.761372592999725</v>
      </c>
      <c r="AI4" s="8">
        <v>-7.765324829627775</v>
      </c>
      <c r="AJ4" s="8">
        <v>-7.769076812267934</v>
      </c>
      <c r="AK4" s="8">
        <v>-7.772628402955537</v>
      </c>
      <c r="AL4" s="8">
        <v>-7.77597947538499</v>
      </c>
      <c r="AM4" s="8">
        <v>-7.779129914855404</v>
      </c>
      <c r="AN4" s="8">
        <v>-7.782079618214877</v>
      </c>
      <c r="AO4" s="8">
        <v>-7.784828493803162</v>
      </c>
      <c r="AP4" s="8">
        <v>-7.78737646139306</v>
      </c>
      <c r="AQ4" s="8">
        <v>-7.789723452130341</v>
      </c>
      <c r="AR4" s="8">
        <v>-7.791869408472312</v>
      </c>
      <c r="AS4" s="8">
        <v>-7.793814284125041</v>
      </c>
      <c r="AT4" s="8">
        <v>-7.795558043979227</v>
      </c>
    </row>
    <row r="5" spans="1:46">
      <c r="A5" s="7">
        <v>33.2</v>
      </c>
      <c r="B5" s="8">
        <v>-7.558357883582893</v>
      </c>
      <c r="C5" s="8">
        <v>-7.568619308162213</v>
      </c>
      <c r="D5" s="8">
        <v>-7.578691090736651</v>
      </c>
      <c r="E5" s="8">
        <v>-7.58857270346794</v>
      </c>
      <c r="F5" s="8">
        <v>-7.598263630970147</v>
      </c>
      <c r="G5" s="8">
        <v>-7.607763370313819</v>
      </c>
      <c r="H5" s="8">
        <v>-7.617071431028156</v>
      </c>
      <c r="I5" s="8">
        <v>-7.626187335100988</v>
      </c>
      <c r="J5" s="8">
        <v>-7.635110616976726</v>
      </c>
      <c r="K5" s="8">
        <v>-7.64384082355222</v>
      </c>
      <c r="L5" s="8">
        <v>-7.652377514170603</v>
      </c>
      <c r="M5" s="8">
        <v>-7.660720260613037</v>
      </c>
      <c r="N5" s="8">
        <v>-7.668868647088537</v>
      </c>
      <c r="O5" s="8">
        <v>-7.676822270221677</v>
      </c>
      <c r="P5" s="8">
        <v>-7.684580739038433</v>
      </c>
      <c r="Q5" s="8">
        <v>-7.692143674949968</v>
      </c>
      <c r="R5" s="8">
        <v>-7.699510711734501</v>
      </c>
      <c r="S5" s="8">
        <v>-7.706681495517305</v>
      </c>
      <c r="T5" s="8">
        <v>-7.713655684748685</v>
      </c>
      <c r="U5" s="8">
        <v>-7.720432950180139</v>
      </c>
      <c r="V5" s="8">
        <v>-7.727012974838663</v>
      </c>
      <c r="W5" s="8">
        <v>-7.733395453999137</v>
      </c>
      <c r="X5" s="8">
        <v>-7.739580095154962</v>
      </c>
      <c r="Y5" s="8">
        <v>-7.745566617986809</v>
      </c>
      <c r="Z5" s="8">
        <v>-7.751354754329661</v>
      </c>
      <c r="AA5" s="8">
        <v>-7.756944248137994</v>
      </c>
      <c r="AB5" s="8">
        <v>-7.762334855449313</v>
      </c>
      <c r="AC5" s="8">
        <v>-7.767526344345907</v>
      </c>
      <c r="AD5" s="8">
        <v>-7.772518494914902</v>
      </c>
      <c r="AE5" s="8">
        <v>-7.777311099206657</v>
      </c>
      <c r="AF5" s="8">
        <v>-7.781903961191518</v>
      </c>
      <c r="AG5" s="8">
        <v>-7.786296896714878</v>
      </c>
      <c r="AH5" s="8">
        <v>-7.790489733450734</v>
      </c>
      <c r="AI5" s="8">
        <v>-7.794482310853527</v>
      </c>
      <c r="AJ5" s="8">
        <v>-7.798274480108545</v>
      </c>
      <c r="AK5" s="8">
        <v>-7.801866104080714</v>
      </c>
      <c r="AL5" s="8">
        <v>-7.805257057261914</v>
      </c>
      <c r="AM5" s="8">
        <v>-7.80844722571676</v>
      </c>
      <c r="AN5" s="8">
        <v>-7.811436507027008</v>
      </c>
      <c r="AO5" s="8">
        <v>-7.814224810234422</v>
      </c>
      <c r="AP5" s="8">
        <v>-7.816812055782272</v>
      </c>
      <c r="AQ5" s="8">
        <v>-7.819198175455485</v>
      </c>
      <c r="AR5" s="8">
        <v>-7.821383112319369</v>
      </c>
      <c r="AS5" s="8">
        <v>-7.823366820657006</v>
      </c>
      <c r="AT5" s="8">
        <v>-7.825149265905421</v>
      </c>
    </row>
    <row r="6" spans="1:46">
      <c r="A6" s="7">
        <v>33.3</v>
      </c>
      <c r="B6" s="8">
        <v>-7.586115129783906</v>
      </c>
      <c r="C6" s="8">
        <v>-7.596422302283318</v>
      </c>
      <c r="D6" s="8">
        <v>-7.606539633180139</v>
      </c>
      <c r="E6" s="8">
        <v>-7.616466596516956</v>
      </c>
      <c r="F6" s="8">
        <v>-7.626202678758046</v>
      </c>
      <c r="G6" s="8">
        <v>-7.635747378793426</v>
      </c>
      <c r="H6" s="8">
        <v>-7.6451002079407</v>
      </c>
      <c r="I6" s="8">
        <v>-7.654260689944887</v>
      </c>
      <c r="J6" s="8">
        <v>-7.663228360976188</v>
      </c>
      <c r="K6" s="8">
        <v>-7.672002769625663</v>
      </c>
      <c r="L6" s="8">
        <v>-7.680583476898906</v>
      </c>
      <c r="M6" s="8">
        <v>-7.688970056207657</v>
      </c>
      <c r="N6" s="8">
        <v>-7.697162093359432</v>
      </c>
      <c r="O6" s="8">
        <v>-7.705159186545203</v>
      </c>
      <c r="P6" s="8">
        <v>-7.712960946325022</v>
      </c>
      <c r="Q6" s="8">
        <v>-7.720566995611758</v>
      </c>
      <c r="R6" s="8">
        <v>-7.727976969652871</v>
      </c>
      <c r="S6" s="8">
        <v>-7.735190516010308</v>
      </c>
      <c r="T6" s="8">
        <v>-7.742207294538425</v>
      </c>
      <c r="U6" s="8">
        <v>-7.749026977360086</v>
      </c>
      <c r="V6" s="8">
        <v>-7.755649248840915</v>
      </c>
      <c r="W6" s="8">
        <v>-7.762073805561679</v>
      </c>
      <c r="X6" s="8">
        <v>-7.768300356288853</v>
      </c>
      <c r="Y6" s="8">
        <v>-7.774328621943389</v>
      </c>
      <c r="Z6" s="8">
        <v>-7.78015833556773</v>
      </c>
      <c r="AA6" s="8">
        <v>-7.785789242291048</v>
      </c>
      <c r="AB6" s="8">
        <v>-7.791221099292759</v>
      </c>
      <c r="AC6" s="8">
        <v>-7.796453675764299</v>
      </c>
      <c r="AD6" s="8">
        <v>-7.801486752869264</v>
      </c>
      <c r="AE6" s="8">
        <v>-7.80632012370183</v>
      </c>
      <c r="AF6" s="8">
        <v>-7.810953593243549</v>
      </c>
      <c r="AG6" s="8">
        <v>-7.815386978318545</v>
      </c>
      <c r="AH6" s="8">
        <v>-7.819620107547077</v>
      </c>
      <c r="AI6" s="8">
        <v>-7.823652821297558</v>
      </c>
      <c r="AJ6" s="8">
        <v>-7.827484971636988</v>
      </c>
      <c r="AK6" s="8">
        <v>-7.831116422279885</v>
      </c>
      <c r="AL6" s="8">
        <v>-7.83454704853575</v>
      </c>
      <c r="AM6" s="8">
        <v>-7.837776737254948</v>
      </c>
      <c r="AN6" s="8">
        <v>-7.840805386773276</v>
      </c>
      <c r="AO6" s="8">
        <v>-7.843632906854965</v>
      </c>
      <c r="AP6" s="8">
        <v>-7.846259218634382</v>
      </c>
      <c r="AQ6" s="8">
        <v>-7.848684254556293</v>
      </c>
      <c r="AR6" s="8">
        <v>-7.850907958314838</v>
      </c>
      <c r="AS6" s="8">
        <v>-7.852930284791047</v>
      </c>
      <c r="AT6" s="8">
        <v>-7.854751199989233</v>
      </c>
    </row>
    <row r="7" spans="1:46">
      <c r="A7" s="7">
        <v>33.4</v>
      </c>
      <c r="B7" s="8">
        <v>-7.613891308100889</v>
      </c>
      <c r="C7" s="8">
        <v>-7.624244067465108</v>
      </c>
      <c r="D7" s="8">
        <v>-7.634406783965352</v>
      </c>
      <c r="E7" s="8">
        <v>-7.644378933540006</v>
      </c>
      <c r="F7" s="8">
        <v>-7.654160004518777</v>
      </c>
      <c r="G7" s="8">
        <v>-7.663749497626424</v>
      </c>
      <c r="H7" s="8">
        <v>-7.67314692598451</v>
      </c>
      <c r="I7" s="8">
        <v>-7.682351815110963</v>
      </c>
      <c r="J7" s="8">
        <v>-7.691363702917639</v>
      </c>
      <c r="K7" s="8">
        <v>-7.700182139705876</v>
      </c>
      <c r="L7" s="8">
        <v>-7.708806688159949</v>
      </c>
      <c r="M7" s="8">
        <v>-7.717236923338577</v>
      </c>
      <c r="N7" s="8">
        <v>-7.725472432664417</v>
      </c>
      <c r="O7" s="8">
        <v>-7.733512815911544</v>
      </c>
      <c r="P7" s="8">
        <v>-7.741357685191027</v>
      </c>
      <c r="Q7" s="8">
        <v>-7.749006664934527</v>
      </c>
      <c r="R7" s="8">
        <v>-7.756459391876017</v>
      </c>
      <c r="S7" s="8">
        <v>-7.76371551503152</v>
      </c>
      <c r="T7" s="8">
        <v>-7.770774695677022</v>
      </c>
      <c r="U7" s="8">
        <v>-7.777636607324515</v>
      </c>
      <c r="V7" s="8">
        <v>-7.784300935696168</v>
      </c>
      <c r="W7" s="8">
        <v>-7.790767378696658</v>
      </c>
      <c r="X7" s="8">
        <v>-7.797035646383756</v>
      </c>
      <c r="Y7" s="8">
        <v>-7.803105460937074</v>
      </c>
      <c r="Z7" s="8">
        <v>-7.808976556625027</v>
      </c>
      <c r="AA7" s="8">
        <v>-7.814648679770159</v>
      </c>
      <c r="AB7" s="8">
        <v>-7.820121588712569</v>
      </c>
      <c r="AC7" s="8">
        <v>-7.825395053771818</v>
      </c>
      <c r="AD7" s="8">
        <v>-7.830468857207053</v>
      </c>
      <c r="AE7" s="8">
        <v>-7.8353427931755</v>
      </c>
      <c r="AF7" s="8">
        <v>-7.840016667689292</v>
      </c>
      <c r="AG7" s="8">
        <v>-7.844490298570781</v>
      </c>
      <c r="AH7" s="8">
        <v>-7.848763515406137</v>
      </c>
      <c r="AI7" s="8">
        <v>-7.852836159497478</v>
      </c>
      <c r="AJ7" s="8">
        <v>-7.856708083813418</v>
      </c>
      <c r="AK7" s="8">
        <v>-7.860379152938094</v>
      </c>
      <c r="AL7" s="8">
        <v>-7.863849243018743</v>
      </c>
      <c r="AM7" s="8">
        <v>-7.867118241711748</v>
      </c>
      <c r="AN7" s="8">
        <v>-7.87018604812731</v>
      </c>
      <c r="AO7" s="8">
        <v>-7.873052572772629</v>
      </c>
      <c r="AP7" s="8">
        <v>-7.875717737493733</v>
      </c>
      <c r="AQ7" s="8">
        <v>-7.878181475415975</v>
      </c>
      <c r="AR7" s="8">
        <v>-7.880443730883079</v>
      </c>
      <c r="AS7" s="8">
        <v>-7.882504459394972</v>
      </c>
      <c r="AT7" s="8">
        <v>-7.884363627544274</v>
      </c>
    </row>
    <row r="8" spans="1:46">
      <c r="A8" s="7">
        <v>33.5</v>
      </c>
      <c r="B8" s="8">
        <v>-7.641686270732275</v>
      </c>
      <c r="C8" s="8">
        <v>-7.652084454265245</v>
      </c>
      <c r="D8" s="8">
        <v>-7.662292392010941</v>
      </c>
      <c r="E8" s="8">
        <v>-7.672309561818562</v>
      </c>
      <c r="F8" s="8">
        <v>-7.682135453898409</v>
      </c>
      <c r="G8" s="8">
        <v>-7.691769570825421</v>
      </c>
      <c r="H8" s="8">
        <v>-7.701211427540628</v>
      </c>
      <c r="I8" s="8">
        <v>-7.71046055135059</v>
      </c>
      <c r="J8" s="8">
        <v>-7.719516481924763</v>
      </c>
      <c r="K8" s="8">
        <v>-7.728378771290823</v>
      </c>
      <c r="L8" s="8">
        <v>-7.737046983828026</v>
      </c>
      <c r="M8" s="8">
        <v>-7.745520696258495</v>
      </c>
      <c r="N8" s="8">
        <v>-7.753799497636617</v>
      </c>
      <c r="O8" s="8">
        <v>-7.76188298933636</v>
      </c>
      <c r="P8" s="8">
        <v>-7.769770785036767</v>
      </c>
      <c r="Q8" s="8">
        <v>-7.777462510705409</v>
      </c>
      <c r="R8" s="8">
        <v>-7.784957804580023</v>
      </c>
      <c r="S8" s="8">
        <v>-7.792256317148168</v>
      </c>
      <c r="T8" s="8">
        <v>-7.799357711125092</v>
      </c>
      <c r="U8" s="8">
        <v>-7.80626166142963</v>
      </c>
      <c r="V8" s="8">
        <v>-7.812967855158419</v>
      </c>
      <c r="W8" s="8">
        <v>-7.81947599155815</v>
      </c>
      <c r="X8" s="8">
        <v>-7.825785781996112</v>
      </c>
      <c r="Y8" s="8">
        <v>-7.831896949928929</v>
      </c>
      <c r="Z8" s="8">
        <v>-7.837809230869554</v>
      </c>
      <c r="AA8" s="8">
        <v>-7.843522372352522</v>
      </c>
      <c r="AB8" s="8">
        <v>-7.849036133897483</v>
      </c>
      <c r="AC8" s="8">
        <v>-7.854350286971075</v>
      </c>
      <c r="AD8" s="8">
        <v>-7.859464614947091</v>
      </c>
      <c r="AE8" s="8">
        <v>-7.864378913065047</v>
      </c>
      <c r="AF8" s="8">
        <v>-7.86909298838703</v>
      </c>
      <c r="AG8" s="8">
        <v>-7.873606659753126</v>
      </c>
      <c r="AH8" s="8">
        <v>-7.877919757735057</v>
      </c>
      <c r="AI8" s="8">
        <v>-7.882032124588424</v>
      </c>
      <c r="AJ8" s="8">
        <v>-7.885943614203327</v>
      </c>
      <c r="AK8" s="8">
        <v>-7.889654092053551</v>
      </c>
      <c r="AL8" s="8">
        <v>-7.893163435144203</v>
      </c>
      <c r="AM8" s="8">
        <v>-7.896471531957934</v>
      </c>
      <c r="AN8" s="8">
        <v>-7.89957828239972</v>
      </c>
      <c r="AO8" s="8">
        <v>-7.902483597740206</v>
      </c>
      <c r="AP8" s="8">
        <v>-7.905187400557692</v>
      </c>
      <c r="AQ8" s="8">
        <v>-7.907689624678791</v>
      </c>
      <c r="AR8" s="8">
        <v>-7.909990215117647</v>
      </c>
      <c r="AS8" s="8">
        <v>-7.912089128013968</v>
      </c>
      <c r="AT8" s="8">
        <v>-7.91398633056969</v>
      </c>
    </row>
    <row r="9" spans="1:46">
      <c r="A9" s="7">
        <v>33.6</v>
      </c>
      <c r="B9" s="8">
        <v>-7.669499870250863</v>
      </c>
      <c r="C9" s="8">
        <v>-7.679943313622263</v>
      </c>
      <c r="D9" s="8">
        <v>-7.69019630662298</v>
      </c>
      <c r="E9" s="8">
        <v>-7.700258329028085</v>
      </c>
      <c r="F9" s="8">
        <v>-7.710128872943701</v>
      </c>
      <c r="G9" s="8">
        <v>-7.719807442810319</v>
      </c>
      <c r="H9" s="8">
        <v>-7.729293555404059</v>
      </c>
      <c r="I9" s="8">
        <v>-7.738586739835881</v>
      </c>
      <c r="J9" s="8">
        <v>-7.747686537548768</v>
      </c>
      <c r="K9" s="8">
        <v>-7.756592502312868</v>
      </c>
      <c r="L9" s="8">
        <v>-7.765304200218694</v>
      </c>
      <c r="M9" s="8">
        <v>-7.773821209668264</v>
      </c>
      <c r="N9" s="8">
        <v>-7.782143121364289</v>
      </c>
      <c r="O9" s="8">
        <v>-7.790269538297468</v>
      </c>
      <c r="P9" s="8">
        <v>-7.798200075731768</v>
      </c>
      <c r="Q9" s="8">
        <v>-7.805934361187819</v>
      </c>
      <c r="R9" s="8">
        <v>-7.813472034424422</v>
      </c>
      <c r="S9" s="8">
        <v>-7.820812747418137</v>
      </c>
      <c r="T9" s="8">
        <v>-7.82795616434106</v>
      </c>
      <c r="U9" s="8">
        <v>-7.834901961536717</v>
      </c>
      <c r="V9" s="8">
        <v>-7.841649827494101</v>
      </c>
      <c r="W9" s="8">
        <v>-7.848199462820008</v>
      </c>
      <c r="X9" s="8">
        <v>-7.854550580209494</v>
      </c>
      <c r="Y9" s="8">
        <v>-7.860702904414597</v>
      </c>
      <c r="Z9" s="8">
        <v>-7.866656172211339</v>
      </c>
      <c r="AA9" s="8">
        <v>-7.872410132364946</v>
      </c>
      <c r="AB9" s="8">
        <v>-7.877964545593424</v>
      </c>
      <c r="AC9" s="8">
        <v>-7.883319184529481</v>
      </c>
      <c r="AD9" s="8">
        <v>-7.888473833680652</v>
      </c>
      <c r="AE9" s="8">
        <v>-7.893428289387977</v>
      </c>
      <c r="AF9" s="8">
        <v>-7.898182359782928</v>
      </c>
      <c r="AG9" s="8">
        <v>-7.902735864742779</v>
      </c>
      <c r="AH9" s="8">
        <v>-7.907088635844493</v>
      </c>
      <c r="AI9" s="8">
        <v>-7.911240516316882</v>
      </c>
      <c r="AJ9" s="8">
        <v>-7.915191360991462</v>
      </c>
      <c r="AK9" s="8">
        <v>-7.91894103625167</v>
      </c>
      <c r="AL9" s="8">
        <v>-7.922489419980619</v>
      </c>
      <c r="AM9" s="8">
        <v>-7.925836401507484</v>
      </c>
      <c r="AN9" s="8">
        <v>-7.928981881552387</v>
      </c>
      <c r="AO9" s="8">
        <v>-7.931925772169889</v>
      </c>
      <c r="AP9" s="8">
        <v>-7.934667996691164</v>
      </c>
      <c r="AQ9" s="8">
        <v>-7.937208489664767</v>
      </c>
      <c r="AR9" s="8">
        <v>-7.939547196796074</v>
      </c>
      <c r="AS9" s="8">
        <v>-7.941684074885456</v>
      </c>
      <c r="AT9" s="8">
        <v>-7.943619091765182</v>
      </c>
    </row>
    <row r="10" spans="1:46">
      <c r="A10" s="7">
        <v>33.7</v>
      </c>
      <c r="B10" s="8">
        <v>-7.697331959613176</v>
      </c>
      <c r="C10" s="8">
        <v>-7.707820496865076</v>
      </c>
      <c r="D10" s="8">
        <v>-7.718118377504637</v>
      </c>
      <c r="E10" s="8">
        <v>-7.728225083247851</v>
      </c>
      <c r="F10" s="8">
        <v>-7.738140108111953</v>
      </c>
      <c r="G10" s="8">
        <v>-7.747862958418428</v>
      </c>
      <c r="H10" s="8">
        <v>-7.757393152794091</v>
      </c>
      <c r="I10" s="8">
        <v>-7.766730222170115</v>
      </c>
      <c r="J10" s="8">
        <v>-7.775873709778973</v>
      </c>
      <c r="K10" s="8">
        <v>-7.784823171149447</v>
      </c>
      <c r="L10" s="8">
        <v>-7.793578174099608</v>
      </c>
      <c r="M10" s="8">
        <v>-7.802138298727854</v>
      </c>
      <c r="N10" s="8">
        <v>-7.810503137401931</v>
      </c>
      <c r="O10" s="8">
        <v>-7.818672294746052</v>
      </c>
      <c r="P10" s="8">
        <v>-7.826645387626118</v>
      </c>
      <c r="Q10" s="8">
        <v>-7.834422045132967</v>
      </c>
      <c r="R10" s="8">
        <v>-7.842001908563788</v>
      </c>
      <c r="S10" s="8">
        <v>-7.849384631401642</v>
      </c>
      <c r="T10" s="8">
        <v>-7.856569879293114</v>
      </c>
      <c r="U10" s="8">
        <v>-7.863557330024168</v>
      </c>
      <c r="V10" s="8">
        <v>-7.870346673494164</v>
      </c>
      <c r="W10" s="8">
        <v>-7.876937611688099</v>
      </c>
      <c r="X10" s="8">
        <v>-7.883329858647037</v>
      </c>
      <c r="Y10" s="8">
        <v>-7.889523140436852</v>
      </c>
      <c r="Z10" s="8">
        <v>-7.895517195115158</v>
      </c>
      <c r="AA10" s="8">
        <v>-7.901311772696588</v>
      </c>
      <c r="AB10" s="8">
        <v>-7.906906635116372</v>
      </c>
      <c r="AC10" s="8">
        <v>-7.912301556192208</v>
      </c>
      <c r="AD10" s="8">
        <v>-7.91749632158455</v>
      </c>
      <c r="AE10" s="8">
        <v>-7.922490728755186</v>
      </c>
      <c r="AF10" s="8">
        <v>-7.927284586924351</v>
      </c>
      <c r="AG10" s="8">
        <v>-7.931877717026072</v>
      </c>
      <c r="AH10" s="8">
        <v>-7.936269951662128</v>
      </c>
      <c r="AI10" s="8">
        <v>-7.940461135054395</v>
      </c>
      <c r="AJ10" s="8">
        <v>-7.944451122995644</v>
      </c>
      <c r="AK10" s="8">
        <v>-7.94823978279899</v>
      </c>
      <c r="AL10" s="8">
        <v>-7.951826993245718</v>
      </c>
      <c r="AM10" s="8">
        <v>-7.955212644531744</v>
      </c>
      <c r="AN10" s="8">
        <v>-7.958396638212736</v>
      </c>
      <c r="AO10" s="8">
        <v>-7.961378887147628</v>
      </c>
      <c r="AP10" s="8">
        <v>-7.964159315441074</v>
      </c>
      <c r="AQ10" s="8">
        <v>-7.966737858384233</v>
      </c>
      <c r="AR10" s="8">
        <v>-7.96911446239452</v>
      </c>
      <c r="AS10" s="8">
        <v>-7.971289084953884</v>
      </c>
      <c r="AT10" s="8">
        <v>-7.973261694545893</v>
      </c>
    </row>
    <row r="11" spans="1:46">
      <c r="A11" s="7">
        <v>33.8</v>
      </c>
      <c r="B11" s="8">
        <v>-7.725182392168571</v>
      </c>
      <c r="C11" s="8">
        <v>-7.735715855722253</v>
      </c>
      <c r="D11" s="8">
        <v>-7.746058454765542</v>
      </c>
      <c r="E11" s="8">
        <v>-7.756209672970518</v>
      </c>
      <c r="F11" s="8">
        <v>-7.766169006280775</v>
      </c>
      <c r="G11" s="8">
        <v>-7.77593596291429</v>
      </c>
      <c r="H11" s="8">
        <v>-7.785510063364258</v>
      </c>
      <c r="I11" s="8">
        <v>-7.794890840397849</v>
      </c>
      <c r="J11" s="8">
        <v>-7.804077839053054</v>
      </c>
      <c r="K11" s="8">
        <v>-7.813070616633458</v>
      </c>
      <c r="L11" s="8">
        <v>-7.821868742701046</v>
      </c>
      <c r="M11" s="8">
        <v>-7.830471799067127</v>
      </c>
      <c r="N11" s="8">
        <v>-7.838879379781122</v>
      </c>
      <c r="O11" s="8">
        <v>-7.847091091117658</v>
      </c>
      <c r="P11" s="8">
        <v>-7.855106551561577</v>
      </c>
      <c r="Q11" s="8">
        <v>-7.862925391791102</v>
      </c>
      <c r="R11" s="8">
        <v>-7.870547254659174</v>
      </c>
      <c r="S11" s="8">
        <v>-7.877971795172805</v>
      </c>
      <c r="T11" s="8">
        <v>-7.885198680470778</v>
      </c>
      <c r="U11" s="8">
        <v>-7.892227589799304</v>
      </c>
      <c r="V11" s="8">
        <v>-7.899058214486062</v>
      </c>
      <c r="W11" s="8">
        <v>-7.905690257912384</v>
      </c>
      <c r="X11" s="8">
        <v>-7.912123435483609</v>
      </c>
      <c r="Y11" s="8">
        <v>-7.918357474597863</v>
      </c>
      <c r="Z11" s="8">
        <v>-7.924392114612933</v>
      </c>
      <c r="AA11" s="8">
        <v>-7.930227106811572</v>
      </c>
      <c r="AB11" s="8">
        <v>-7.935862214365031</v>
      </c>
      <c r="AC11" s="8">
        <v>-7.941297212295057</v>
      </c>
      <c r="AD11" s="8">
        <v>-7.946531887434097</v>
      </c>
      <c r="AE11" s="8">
        <v>-7.951566038384002</v>
      </c>
      <c r="AF11" s="8">
        <v>-7.956399475473107</v>
      </c>
      <c r="AG11" s="8">
        <v>-7.961032020711743</v>
      </c>
      <c r="AH11" s="8">
        <v>-7.965463507746163</v>
      </c>
      <c r="AI11" s="8">
        <v>-7.96969378181105</v>
      </c>
      <c r="AJ11" s="8">
        <v>-7.973722699680382</v>
      </c>
      <c r="AK11" s="8">
        <v>-7.977550129616945</v>
      </c>
      <c r="AL11" s="8">
        <v>-7.981175951320316</v>
      </c>
      <c r="AM11" s="8">
        <v>-7.984600055873445</v>
      </c>
      <c r="AN11" s="8">
        <v>-7.987822345687849</v>
      </c>
      <c r="AO11" s="8">
        <v>-7.990842734447388</v>
      </c>
      <c r="AP11" s="8">
        <v>-7.993661147050686</v>
      </c>
      <c r="AQ11" s="8">
        <v>-7.99627751955228</v>
      </c>
      <c r="AR11" s="8">
        <v>-7.998691799102369</v>
      </c>
      <c r="AS11" s="8">
        <v>-8.000903943885374</v>
      </c>
      <c r="AT11" s="8">
        <v>-8.002913923057148</v>
      </c>
    </row>
    <row r="12" spans="1:46">
      <c r="A12" s="7">
        <v>33.9</v>
      </c>
      <c r="B12" s="8">
        <v>-7.753051021668281</v>
      </c>
      <c r="C12" s="8">
        <v>-7.763629242331165</v>
      </c>
      <c r="D12" s="8">
        <v>-7.774016388931154</v>
      </c>
      <c r="E12" s="8">
        <v>-7.784211947111547</v>
      </c>
      <c r="F12" s="8">
        <v>-7.794215414757677</v>
      </c>
      <c r="G12" s="8">
        <v>-7.804026301999497</v>
      </c>
      <c r="H12" s="8">
        <v>-7.81364413121224</v>
      </c>
      <c r="I12" s="8">
        <v>-7.823068437014982</v>
      </c>
      <c r="J12" s="8">
        <v>-7.832298766267241</v>
      </c>
      <c r="K12" s="8">
        <v>-7.841334678063628</v>
      </c>
      <c r="L12" s="8">
        <v>-7.850175743726429</v>
      </c>
      <c r="M12" s="8">
        <v>-7.858821546796364</v>
      </c>
      <c r="N12" s="8">
        <v>-7.867271683021295</v>
      </c>
      <c r="O12" s="8">
        <v>-7.87552576034311</v>
      </c>
      <c r="P12" s="8">
        <v>-7.883583398882654</v>
      </c>
      <c r="Q12" s="8">
        <v>-7.891444230922724</v>
      </c>
      <c r="R12" s="8">
        <v>-7.899107900889362</v>
      </c>
      <c r="S12" s="8">
        <v>-7.906574065331114</v>
      </c>
      <c r="T12" s="8">
        <v>-7.913842392896569</v>
      </c>
      <c r="U12" s="8">
        <v>-7.92091256431006</v>
      </c>
      <c r="V12" s="8">
        <v>-7.927784272345572</v>
      </c>
      <c r="W12" s="8">
        <v>-7.934457221798879</v>
      </c>
      <c r="X12" s="8">
        <v>-7.940931129457919</v>
      </c>
      <c r="Y12" s="8">
        <v>-7.947205724071483</v>
      </c>
      <c r="Z12" s="8">
        <v>-7.95328074631611</v>
      </c>
      <c r="AA12" s="8">
        <v>-7.959155948761382</v>
      </c>
      <c r="AB12" s="8">
        <v>-7.964831095833484</v>
      </c>
      <c r="AC12" s="8">
        <v>-7.970305963777149</v>
      </c>
      <c r="AD12" s="8">
        <v>-7.975580340615981</v>
      </c>
      <c r="AE12" s="8">
        <v>-7.98065402611114</v>
      </c>
      <c r="AF12" s="8">
        <v>-7.985526831718496</v>
      </c>
      <c r="AG12" s="8">
        <v>-7.990198580544176</v>
      </c>
      <c r="AH12" s="8">
        <v>-7.994669107298597</v>
      </c>
      <c r="AI12" s="8">
        <v>-7.998938258249011</v>
      </c>
      <c r="AJ12" s="8">
        <v>-8.003005891170487</v>
      </c>
      <c r="AK12" s="8">
        <v>-8.006871875295531</v>
      </c>
      <c r="AL12" s="8">
        <v>-8.010536091262127</v>
      </c>
      <c r="AM12" s="8">
        <v>-8.013998431060532</v>
      </c>
      <c r="AN12" s="8">
        <v>-8.017258797978478</v>
      </c>
      <c r="AO12" s="8">
        <v>-8.020317106545171</v>
      </c>
      <c r="AP12" s="8">
        <v>-8.023173282473865</v>
      </c>
      <c r="AQ12" s="8">
        <v>-8.025827262603086</v>
      </c>
      <c r="AR12" s="8">
        <v>-8.028278994836654</v>
      </c>
      <c r="AS12" s="8">
        <v>-8.030528438082294</v>
      </c>
      <c r="AT12" s="8">
        <v>-8.032575562189145</v>
      </c>
    </row>
    <row r="13" spans="1:46">
      <c r="A13" s="7">
        <v>34</v>
      </c>
      <c r="B13" s="8">
        <v>-7.780937702274018</v>
      </c>
      <c r="C13" s="8">
        <v>-7.791560509246803</v>
      </c>
      <c r="D13" s="8">
        <v>-7.801992030951693</v>
      </c>
      <c r="E13" s="8">
        <v>-7.812231755018402</v>
      </c>
      <c r="F13" s="8">
        <v>-7.822279181289353</v>
      </c>
      <c r="G13" s="8">
        <v>-7.83213382182204</v>
      </c>
      <c r="H13" s="8">
        <v>-7.841795200889455</v>
      </c>
      <c r="I13" s="8">
        <v>-7.851262854978483</v>
      </c>
      <c r="J13" s="8">
        <v>-7.860536332786231</v>
      </c>
      <c r="K13" s="8">
        <v>-7.869615195214553</v>
      </c>
      <c r="L13" s="8">
        <v>-7.878499015362454</v>
      </c>
      <c r="M13" s="8">
        <v>-7.887187378516655</v>
      </c>
      <c r="N13" s="8">
        <v>-7.895679882140189</v>
      </c>
      <c r="O13" s="8">
        <v>-7.903976135859117</v>
      </c>
      <c r="P13" s="8">
        <v>-7.912075761447304</v>
      </c>
      <c r="Q13" s="8">
        <v>-7.919978392809418</v>
      </c>
      <c r="R13" s="8">
        <v>-7.927683675961952</v>
      </c>
      <c r="S13" s="8">
        <v>-7.935191269012518</v>
      </c>
      <c r="T13" s="8">
        <v>-7.942500842137245</v>
      </c>
      <c r="U13" s="8">
        <v>-7.949612077556413</v>
      </c>
      <c r="V13" s="8">
        <v>-7.956524669508319</v>
      </c>
      <c r="W13" s="8">
        <v>-7.96323832422135</v>
      </c>
      <c r="X13" s="8">
        <v>-7.96975275988433</v>
      </c>
      <c r="Y13" s="8">
        <v>-7.976067706615161</v>
      </c>
      <c r="Z13" s="8">
        <v>-7.982182906427731</v>
      </c>
      <c r="AA13" s="8">
        <v>-7.988098113197182</v>
      </c>
      <c r="AB13" s="8">
        <v>-7.993813092623475</v>
      </c>
      <c r="AC13" s="8">
        <v>-7.999327622193384</v>
      </c>
      <c r="AD13" s="8">
        <v>-8.004641491140786</v>
      </c>
      <c r="AE13" s="8">
        <v>-8.009754500405432</v>
      </c>
      <c r="AF13" s="8">
        <v>-8.014666462590132</v>
      </c>
      <c r="AG13" s="8">
        <v>-8.019377201916345</v>
      </c>
      <c r="AH13" s="8">
        <v>-8.02388655417831</v>
      </c>
      <c r="AI13" s="8">
        <v>-8.028194366695612</v>
      </c>
      <c r="AJ13" s="8">
        <v>-8.03230049826435</v>
      </c>
      <c r="AK13" s="8">
        <v>-8.036204819106732</v>
      </c>
      <c r="AL13" s="8">
        <v>-8.039907210819338</v>
      </c>
      <c r="AM13" s="8">
        <v>-8.0434075663199</v>
      </c>
      <c r="AN13" s="8">
        <v>-8.046705789792803</v>
      </c>
      <c r="AO13" s="8">
        <v>-8.049801796633046</v>
      </c>
      <c r="AP13" s="8">
        <v>-8.052695513389063</v>
      </c>
      <c r="AQ13" s="8">
        <v>-8.055386877704086</v>
      </c>
      <c r="AR13" s="8">
        <v>-8.057875838256274</v>
      </c>
      <c r="AS13" s="8">
        <v>-8.060162354697585</v>
      </c>
      <c r="AT13" s="8">
        <v>-8.06224639759141</v>
      </c>
    </row>
    <row r="14" spans="1:46">
      <c r="A14" s="7">
        <v>34.1</v>
      </c>
      <c r="B14" s="8">
        <v>-7.808842288566681</v>
      </c>
      <c r="C14" s="8">
        <v>-7.819509509450588</v>
      </c>
      <c r="D14" s="8">
        <v>-7.829985232211097</v>
      </c>
      <c r="E14" s="8">
        <v>-7.840268946479584</v>
      </c>
      <c r="F14" s="8">
        <v>-7.85036015407093</v>
      </c>
      <c r="G14" s="8">
        <v>-7.860258368985772</v>
      </c>
      <c r="H14" s="8">
        <v>-7.869963117410633</v>
      </c>
      <c r="I14" s="8">
        <v>-7.879473937716095</v>
      </c>
      <c r="J14" s="8">
        <v>-7.888790380452986</v>
      </c>
      <c r="K14" s="8">
        <v>-7.897912008346665</v>
      </c>
      <c r="L14" s="8">
        <v>-7.906838396289275</v>
      </c>
      <c r="M14" s="8">
        <v>-7.915569131330161</v>
      </c>
      <c r="N14" s="8">
        <v>-7.924103812664267</v>
      </c>
      <c r="O14" s="8">
        <v>-7.932442051618763</v>
      </c>
      <c r="P14" s="8">
        <v>-7.940583471637674</v>
      </c>
      <c r="Q14" s="8">
        <v>-7.948527708264721</v>
      </c>
      <c r="R14" s="8">
        <v>-7.956274409124286</v>
      </c>
      <c r="S14" s="8">
        <v>-7.963823233900604</v>
      </c>
      <c r="T14" s="8">
        <v>-7.971173854315067</v>
      </c>
      <c r="U14" s="8">
        <v>-7.978325954101776</v>
      </c>
      <c r="V14" s="8">
        <v>-7.985279228981355</v>
      </c>
      <c r="W14" s="8">
        <v>-7.992033386632973</v>
      </c>
      <c r="X14" s="8">
        <v>-7.998588146664646</v>
      </c>
      <c r="Y14" s="8">
        <v>-8.004943240581863</v>
      </c>
      <c r="Z14" s="8">
        <v>-8.011098411754473</v>
      </c>
      <c r="AA14" s="8">
        <v>-8.017053415381893</v>
      </c>
      <c r="AB14" s="8">
        <v>-8.022808018456777</v>
      </c>
      <c r="AC14" s="8">
        <v>-8.02836199972691</v>
      </c>
      <c r="AD14" s="8">
        <v>-8.033715149655627</v>
      </c>
      <c r="AE14" s="8">
        <v>-8.038867270380544</v>
      </c>
      <c r="AF14" s="8">
        <v>-8.043818175670808</v>
      </c>
      <c r="AG14" s="8">
        <v>-8.048567690882768</v>
      </c>
      <c r="AH14" s="8">
        <v>-8.053115652914125</v>
      </c>
      <c r="AI14" s="8">
        <v>-8.057461910156634</v>
      </c>
      <c r="AJ14" s="8">
        <v>-8.061606322447272</v>
      </c>
      <c r="AK14" s="8">
        <v>-8.065548761017983</v>
      </c>
      <c r="AL14" s="8">
        <v>-8.069289108444071</v>
      </c>
      <c r="AM14" s="8">
        <v>-8.072827258591051</v>
      </c>
      <c r="AN14" s="8">
        <v>-8.076163116560238</v>
      </c>
      <c r="AO14" s="8">
        <v>-8.079296598632943</v>
      </c>
      <c r="AP14" s="8">
        <v>-8.082227632213334</v>
      </c>
      <c r="AQ14" s="8">
        <v>-8.084956155770003</v>
      </c>
      <c r="AR14" s="8">
        <v>-8.087482118776258</v>
      </c>
      <c r="AS14" s="8">
        <v>-8.089805481649124</v>
      </c>
      <c r="AT14" s="8">
        <v>-8.091926215687185</v>
      </c>
    </row>
    <row r="15" spans="1:46">
      <c r="A15" s="7">
        <v>34.2</v>
      </c>
      <c r="B15" s="8">
        <v>-7.83676463555461</v>
      </c>
      <c r="C15" s="8">
        <v>-7.847476096358854</v>
      </c>
      <c r="D15" s="8">
        <v>-7.857995844535707</v>
      </c>
      <c r="E15" s="8">
        <v>-7.868323371733453</v>
      </c>
      <c r="F15" s="8">
        <v>-7.878458181754925</v>
      </c>
      <c r="G15" s="8">
        <v>-7.888399790559519</v>
      </c>
      <c r="H15" s="8">
        <v>-7.898147726263042</v>
      </c>
      <c r="I15" s="8">
        <v>-7.907701529135757</v>
      </c>
      <c r="J15" s="8">
        <v>-7.91706075159833</v>
      </c>
      <c r="K15" s="8">
        <v>-7.926224958215935</v>
      </c>
      <c r="L15" s="8">
        <v>-7.935193725690335</v>
      </c>
      <c r="M15" s="8">
        <v>-7.94396664285008</v>
      </c>
      <c r="N15" s="8">
        <v>-7.952543310638882</v>
      </c>
      <c r="O15" s="8">
        <v>-7.960923342101918</v>
      </c>
      <c r="P15" s="8">
        <v>-7.969106362370498</v>
      </c>
      <c r="Q15" s="8">
        <v>-7.977092008644688</v>
      </c>
      <c r="R15" s="8">
        <v>-7.984879930174184</v>
      </c>
      <c r="S15" s="8">
        <v>-7.99246978823744</v>
      </c>
      <c r="T15" s="8">
        <v>-7.999861256118815</v>
      </c>
      <c r="U15" s="8">
        <v>-8.007054019084142</v>
      </c>
      <c r="V15" s="8">
        <v>-8.014047774354408</v>
      </c>
      <c r="W15" s="8">
        <v>-8.020842231077733</v>
      </c>
      <c r="X15" s="8">
        <v>-8.027437110299697</v>
      </c>
      <c r="Y15" s="8">
        <v>-8.033832144931811</v>
      </c>
      <c r="Z15" s="8">
        <v>-8.040027079718483</v>
      </c>
      <c r="AA15" s="8">
        <v>-8.046021671202217</v>
      </c>
      <c r="AB15" s="8">
        <v>-8.051815687687197</v>
      </c>
      <c r="AC15" s="8">
        <v>-8.057408909201296</v>
      </c>
      <c r="AD15" s="8">
        <v>-8.062801127456419</v>
      </c>
      <c r="AE15" s="8">
        <v>-8.067992145807358</v>
      </c>
      <c r="AF15" s="8">
        <v>-8.072981779209028</v>
      </c>
      <c r="AG15" s="8">
        <v>-8.077769854172182</v>
      </c>
      <c r="AH15" s="8">
        <v>-8.082356208717675</v>
      </c>
      <c r="AI15" s="8">
        <v>-8.086740692329172</v>
      </c>
      <c r="AJ15" s="8">
        <v>-8.090923165904472</v>
      </c>
      <c r="AK15" s="8">
        <v>-8.094903501705312</v>
      </c>
      <c r="AL15" s="8">
        <v>-8.098681583305797</v>
      </c>
      <c r="AM15" s="8">
        <v>-8.102257305539469</v>
      </c>
      <c r="AN15" s="8">
        <v>-8.105630574444984</v>
      </c>
      <c r="AO15" s="8">
        <v>-8.108801307210365</v>
      </c>
      <c r="AP15" s="8">
        <v>-8.111769432116102</v>
      </c>
      <c r="AQ15" s="8">
        <v>-8.114534888476827</v>
      </c>
      <c r="AR15" s="8">
        <v>-8.117097626581739</v>
      </c>
      <c r="AS15" s="8">
        <v>-8.119457607633816</v>
      </c>
      <c r="AT15" s="8">
        <v>-8.121614803687763</v>
      </c>
    </row>
    <row r="16" spans="1:46">
      <c r="A16" s="7">
        <v>34.3</v>
      </c>
      <c r="B16" s="8">
        <v>-7.864704598681841</v>
      </c>
      <c r="C16" s="8">
        <v>-7.875460123831161</v>
      </c>
      <c r="D16" s="8">
        <v>-7.886023720202674</v>
      </c>
      <c r="E16" s="8">
        <v>-7.896394881476883</v>
      </c>
      <c r="F16" s="8">
        <v>-7.906573113460061</v>
      </c>
      <c r="G16" s="8">
        <v>-7.916557934085975</v>
      </c>
      <c r="H16" s="8">
        <v>-7.926348873415592</v>
      </c>
      <c r="I16" s="8">
        <v>-7.935945473634826</v>
      </c>
      <c r="J16" s="8">
        <v>-7.945347289050347</v>
      </c>
      <c r="K16" s="8">
        <v>-7.954553886083476</v>
      </c>
      <c r="L16" s="8">
        <v>-7.963564843262061</v>
      </c>
      <c r="M16" s="8">
        <v>-7.972379751210577</v>
      </c>
      <c r="N16" s="8">
        <v>-7.980998212638242</v>
      </c>
      <c r="O16" s="8">
        <v>-7.989419842325288</v>
      </c>
      <c r="P16" s="8">
        <v>-7.997644267107426</v>
      </c>
      <c r="Q16" s="8">
        <v>-8.005671125858351</v>
      </c>
      <c r="R16" s="8">
        <v>-8.01350006947056</v>
      </c>
      <c r="S16" s="8">
        <v>-8.021130760834266</v>
      </c>
      <c r="T16" s="8">
        <v>-8.028562874814622</v>
      </c>
      <c r="U16" s="8">
        <v>-8.035796098227058</v>
      </c>
      <c r="V16" s="8">
        <v>-8.042830129810989</v>
      </c>
      <c r="W16" s="8">
        <v>-8.049664680201715</v>
      </c>
      <c r="X16" s="8">
        <v>-8.056299471900671</v>
      </c>
      <c r="Y16" s="8">
        <v>-8.062734239243914</v>
      </c>
      <c r="Z16" s="8">
        <v>-8.068968728369043</v>
      </c>
      <c r="AA16" s="8">
        <v>-8.075002697180384</v>
      </c>
      <c r="AB16" s="8">
        <v>-8.080835915312576</v>
      </c>
      <c r="AC16" s="8">
        <v>-8.086468164092599</v>
      </c>
      <c r="AD16" s="8">
        <v>-8.091899236500126</v>
      </c>
      <c r="AE16" s="8">
        <v>-8.097128937126383</v>
      </c>
      <c r="AF16" s="8">
        <v>-8.102157082131482</v>
      </c>
      <c r="AG16" s="8">
        <v>-8.10698349920014</v>
      </c>
      <c r="AH16" s="8">
        <v>-8.111608027496025</v>
      </c>
      <c r="AI16" s="8">
        <v>-8.116030517614538</v>
      </c>
      <c r="AJ16" s="8">
        <v>-8.120250831534159</v>
      </c>
      <c r="AK16" s="8">
        <v>-8.124268842566433</v>
      </c>
      <c r="AL16" s="8">
        <v>-8.128084435304451</v>
      </c>
      <c r="AM16" s="8">
        <v>-8.131697505569999</v>
      </c>
      <c r="AN16" s="8">
        <v>-8.135107960359408</v>
      </c>
      <c r="AO16" s="8">
        <v>-8.138315717787904</v>
      </c>
      <c r="AP16" s="8">
        <v>-8.141320707032856</v>
      </c>
      <c r="AQ16" s="8">
        <v>-8.144122868275579</v>
      </c>
      <c r="AR16" s="8">
        <v>-8.146722152641917</v>
      </c>
      <c r="AS16" s="8">
        <v>-8.149118522141643</v>
      </c>
      <c r="AT16" s="8">
        <v>-8.151311949606569</v>
      </c>
    </row>
    <row r="17" spans="1:46">
      <c r="A17" s="7">
        <v>34.4</v>
      </c>
      <c r="B17" s="8">
        <v>-7.89266203383602</v>
      </c>
      <c r="C17" s="8">
        <v>-7.90346144617845</v>
      </c>
      <c r="D17" s="8">
        <v>-7.914068711948323</v>
      </c>
      <c r="E17" s="8">
        <v>-7.924483326873708</v>
      </c>
      <c r="F17" s="8">
        <v>-7.934704798779831</v>
      </c>
      <c r="G17" s="8">
        <v>-7.944732647590532</v>
      </c>
      <c r="H17" s="8">
        <v>-7.954566405327775</v>
      </c>
      <c r="I17" s="8">
        <v>-7.964205616109173</v>
      </c>
      <c r="J17" s="8">
        <v>-7.973649836143606</v>
      </c>
      <c r="K17" s="8">
        <v>-7.982898633724854</v>
      </c>
      <c r="L17" s="8">
        <v>-7.991951589223414</v>
      </c>
      <c r="M17" s="8">
        <v>-8.000808295076352</v>
      </c>
      <c r="N17" s="8">
        <v>-8.009468355775264</v>
      </c>
      <c r="O17" s="8">
        <v>-8.017931387852432</v>
      </c>
      <c r="P17" s="8">
        <v>-8.026197019865107</v>
      </c>
      <c r="Q17" s="8">
        <v>-8.034264892377962</v>
      </c>
      <c r="R17" s="8">
        <v>-8.042134657943738</v>
      </c>
      <c r="S17" s="8">
        <v>-8.049805981082082</v>
      </c>
      <c r="T17" s="8">
        <v>-8.057278538256666</v>
      </c>
      <c r="U17" s="8">
        <v>-8.064552017850483</v>
      </c>
      <c r="V17" s="8">
        <v>-8.071626120139422</v>
      </c>
      <c r="W17" s="8">
        <v>-8.078500557264185</v>
      </c>
      <c r="X17" s="8">
        <v>-8.085175053200414</v>
      </c>
      <c r="Y17" s="8">
        <v>-8.091649343727244</v>
      </c>
      <c r="Z17" s="8">
        <v>-8.097923176394071</v>
      </c>
      <c r="AA17" s="8">
        <v>-8.103996310485838</v>
      </c>
      <c r="AB17" s="8">
        <v>-8.109868516986547</v>
      </c>
      <c r="AC17" s="8">
        <v>-8.115539578541316</v>
      </c>
      <c r="AD17" s="8">
        <v>-8.12100928941677</v>
      </c>
      <c r="AE17" s="8">
        <v>-8.126277455459874</v>
      </c>
      <c r="AF17" s="8">
        <v>-8.131343894055361</v>
      </c>
      <c r="AG17" s="8">
        <v>-8.136208434081471</v>
      </c>
      <c r="AH17" s="8">
        <v>-8.140870915864348</v>
      </c>
      <c r="AI17" s="8">
        <v>-8.145331191130905</v>
      </c>
      <c r="AJ17" s="8">
        <v>-8.149589122960247</v>
      </c>
      <c r="AK17" s="8">
        <v>-8.153644585733732</v>
      </c>
      <c r="AL17" s="8">
        <v>-8.157497465083551</v>
      </c>
      <c r="AM17" s="8">
        <v>-8.161147657840015</v>
      </c>
      <c r="AN17" s="8">
        <v>-8.164595071977448</v>
      </c>
      <c r="AO17" s="8">
        <v>-8.167839626558749</v>
      </c>
      <c r="AP17" s="8">
        <v>-8.170881251678708</v>
      </c>
      <c r="AQ17" s="8">
        <v>-8.173719888405975</v>
      </c>
      <c r="AR17" s="8">
        <v>-8.176355488723797</v>
      </c>
      <c r="AS17" s="8">
        <v>-8.178788015469594</v>
      </c>
      <c r="AT17" s="8">
        <v>-8.181017442273188</v>
      </c>
    </row>
    <row r="18" spans="1:46">
      <c r="A18" s="7">
        <v>34.5</v>
      </c>
      <c r="B18" s="8">
        <v>-7.920636797356154</v>
      </c>
      <c r="C18" s="8">
        <v>-7.931479918170921</v>
      </c>
      <c r="D18" s="8">
        <v>-7.942130672976178</v>
      </c>
      <c r="E18" s="8">
        <v>-7.952588559562926</v>
      </c>
      <c r="F18" s="8">
        <v>-7.962853087790911</v>
      </c>
      <c r="G18" s="8">
        <v>-7.97292377958977</v>
      </c>
      <c r="H18" s="8">
        <v>-7.982800168958359</v>
      </c>
      <c r="I18" s="8">
        <v>-7.992481801962041</v>
      </c>
      <c r="J18" s="8">
        <v>-8.001968236728116</v>
      </c>
      <c r="K18" s="8">
        <v>-8.011259043439274</v>
      </c>
      <c r="L18" s="8">
        <v>-8.02035380432519</v>
      </c>
      <c r="M18" s="8">
        <v>-8.029252113652204</v>
      </c>
      <c r="N18" s="8">
        <v>-8.037953577711178</v>
      </c>
      <c r="O18" s="8">
        <v>-8.046457814803478</v>
      </c>
      <c r="P18" s="8">
        <v>-8.054764455225106</v>
      </c>
      <c r="Q18" s="8">
        <v>-8.06287314124903</v>
      </c>
      <c r="R18" s="8">
        <v>-8.070783527105736</v>
      </c>
      <c r="S18" s="8">
        <v>-8.078495278961958</v>
      </c>
      <c r="T18" s="8">
        <v>-8.086008074897682</v>
      </c>
      <c r="U18" s="8">
        <v>-8.093321604881398</v>
      </c>
      <c r="V18" s="8">
        <v>-8.100435570743558</v>
      </c>
      <c r="W18" s="8">
        <v>-8.107349686148506</v>
      </c>
      <c r="X18" s="8">
        <v>-8.114063676564482</v>
      </c>
      <c r="Y18" s="8">
        <v>-8.120577279232176</v>
      </c>
      <c r="Z18" s="8">
        <v>-8.126890243131466</v>
      </c>
      <c r="AA18" s="8">
        <v>-8.133002328946679</v>
      </c>
      <c r="AB18" s="8">
        <v>-8.138913309030116</v>
      </c>
      <c r="AC18" s="8">
        <v>-8.144622967364075</v>
      </c>
      <c r="AD18" s="8">
        <v>-8.150131099521303</v>
      </c>
      <c r="AE18" s="8">
        <v>-8.155437512623859</v>
      </c>
      <c r="AF18" s="8">
        <v>-8.160542025300472</v>
      </c>
      <c r="AG18" s="8">
        <v>-8.165444467642494</v>
      </c>
      <c r="AH18" s="8">
        <v>-8.170144681158215</v>
      </c>
      <c r="AI18" s="8">
        <v>-8.174642518725847</v>
      </c>
      <c r="AJ18" s="8">
        <v>-8.178937844545036</v>
      </c>
      <c r="AK18" s="8">
        <v>-8.183030534086967</v>
      </c>
      <c r="AL18" s="8">
        <v>-8.186920474043085</v>
      </c>
      <c r="AM18" s="8">
        <v>-8.190607562272428</v>
      </c>
      <c r="AN18" s="8">
        <v>-8.194091707747692</v>
      </c>
      <c r="AO18" s="8">
        <v>-8.197372830499878</v>
      </c>
      <c r="AP18" s="8">
        <v>-8.20045086156175</v>
      </c>
      <c r="AQ18" s="8">
        <v>-8.203325742909934</v>
      </c>
      <c r="AR18" s="8">
        <v>-8.205997427405853</v>
      </c>
      <c r="AS18" s="8">
        <v>-8.208465878735366</v>
      </c>
      <c r="AT18" s="8">
        <v>-8.210731071347245</v>
      </c>
    </row>
    <row r="19" spans="1:46">
      <c r="A19" s="7">
        <v>34.6</v>
      </c>
      <c r="B19" s="8">
        <v>-7.948628746040182</v>
      </c>
      <c r="C19" s="8">
        <v>-7.9595153950458</v>
      </c>
      <c r="D19" s="8">
        <v>-7.970209456964871</v>
      </c>
      <c r="E19" s="8">
        <v>-7.980710431666789</v>
      </c>
      <c r="F19" s="8">
        <v>-7.991017831061368</v>
      </c>
      <c r="G19" s="8">
        <v>-8.001131179099845</v>
      </c>
      <c r="H19" s="8">
        <v>-8.011050011773882</v>
      </c>
      <c r="I19" s="8">
        <v>-8.020773877112708</v>
      </c>
      <c r="J19" s="8">
        <v>-8.030302335178281</v>
      </c>
      <c r="K19" s="8">
        <v>-8.039634958058622</v>
      </c>
      <c r="L19" s="8">
        <v>-8.048771329859143</v>
      </c>
      <c r="M19" s="8">
        <v>-8.057711046692255</v>
      </c>
      <c r="N19" s="8">
        <v>-8.06645371666497</v>
      </c>
      <c r="O19" s="8">
        <v>-8.074998959864791</v>
      </c>
      <c r="P19" s="8">
        <v>-8.083346408343665</v>
      </c>
      <c r="Q19" s="8">
        <v>-8.091495706100256</v>
      </c>
      <c r="R19" s="8">
        <v>-8.099446509060286</v>
      </c>
      <c r="S19" s="8">
        <v>-8.10719848505525</v>
      </c>
      <c r="T19" s="8">
        <v>-8.11475131379926</v>
      </c>
      <c r="U19" s="8">
        <v>-8.122104686864271</v>
      </c>
      <c r="V19" s="8">
        <v>-8.129258307653435</v>
      </c>
      <c r="W19" s="8">
        <v>-8.136211891372936</v>
      </c>
      <c r="X19" s="8">
        <v>-8.142965165002025</v>
      </c>
      <c r="Y19" s="8">
        <v>-8.14951786726146</v>
      </c>
      <c r="Z19" s="8">
        <v>-8.155869748580297</v>
      </c>
      <c r="AA19" s="8">
        <v>-8.16202057106101</v>
      </c>
      <c r="AB19" s="8">
        <v>-8.16797010844315</v>
      </c>
      <c r="AC19" s="8">
        <v>-8.173718146065264</v>
      </c>
      <c r="AD19" s="8">
        <v>-8.179264480825395</v>
      </c>
      <c r="AE19" s="8">
        <v>-8.184608921139981</v>
      </c>
      <c r="AF19" s="8">
        <v>-8.189751286901258</v>
      </c>
      <c r="AG19" s="8">
        <v>-8.194691409433192</v>
      </c>
      <c r="AH19" s="8">
        <v>-8.199429131445916</v>
      </c>
      <c r="AI19" s="8">
        <v>-8.203964306988734</v>
      </c>
      <c r="AJ19" s="8">
        <v>-8.208296801401753</v>
      </c>
      <c r="AK19" s="8">
        <v>-8.212426491265999</v>
      </c>
      <c r="AL19" s="8">
        <v>-8.216353264352279</v>
      </c>
      <c r="AM19" s="8">
        <v>-8.220077019568622</v>
      </c>
      <c r="AN19" s="8">
        <v>-8.223597666906434</v>
      </c>
      <c r="AO19" s="8">
        <v>-8.226915127385261</v>
      </c>
      <c r="AP19" s="8">
        <v>-8.230029332996375</v>
      </c>
      <c r="AQ19" s="8">
        <v>-8.232940226645038</v>
      </c>
      <c r="AR19" s="8">
        <v>-8.235647762091546</v>
      </c>
      <c r="AS19" s="8">
        <v>-8.238151903891044</v>
      </c>
      <c r="AT19" s="8">
        <v>-8.240452627332175</v>
      </c>
    </row>
    <row r="20" spans="1:46">
      <c r="A20" s="7">
        <v>34.7</v>
      </c>
      <c r="B20" s="8">
        <v>-7.97663773715233</v>
      </c>
      <c r="C20" s="8">
        <v>-7.987567732514798</v>
      </c>
      <c r="D20" s="8">
        <v>-7.998304918075793</v>
      </c>
      <c r="E20" s="8">
        <v>-8.008848795798565</v>
      </c>
      <c r="F20" s="8">
        <v>-8.019198879658649</v>
      </c>
      <c r="G20" s="8">
        <v>-8.029354695644656</v>
      </c>
      <c r="H20" s="8">
        <v>-8.039315781757015</v>
      </c>
      <c r="I20" s="8">
        <v>-8.049081688004952</v>
      </c>
      <c r="J20" s="8">
        <v>-8.058651976401407</v>
      </c>
      <c r="K20" s="8">
        <v>-8.06802622095614</v>
      </c>
      <c r="L20" s="8">
        <v>-8.077204007666973</v>
      </c>
      <c r="M20" s="8">
        <v>-8.086184934509097</v>
      </c>
      <c r="N20" s="8">
        <v>-8.094968611422638</v>
      </c>
      <c r="O20" s="8">
        <v>-8.103554660298306</v>
      </c>
      <c r="P20" s="8">
        <v>-8.111942714961247</v>
      </c>
      <c r="Q20" s="8">
        <v>-8.120132421153185</v>
      </c>
      <c r="R20" s="8">
        <v>-8.128123436512643</v>
      </c>
      <c r="S20" s="8">
        <v>-8.135915430553565</v>
      </c>
      <c r="T20" s="8">
        <v>-8.143508084642034</v>
      </c>
      <c r="U20" s="8">
        <v>-8.150901091971424</v>
      </c>
      <c r="V20" s="8">
        <v>-8.158094157535697</v>
      </c>
      <c r="W20" s="8">
        <v>-8.16508699810117</v>
      </c>
      <c r="X20" s="8">
        <v>-8.171879342176513</v>
      </c>
      <c r="Y20" s="8">
        <v>-8.178470929981096</v>
      </c>
      <c r="Z20" s="8">
        <v>-8.184861513411789</v>
      </c>
      <c r="AA20" s="8">
        <v>-8.191050856008085</v>
      </c>
      <c r="AB20" s="8">
        <v>-8.197038732915667</v>
      </c>
      <c r="AC20" s="8">
        <v>-8.202824930848429</v>
      </c>
      <c r="AD20" s="8">
        <v>-8.208409248048905</v>
      </c>
      <c r="AE20" s="8">
        <v>-8.213791494247253</v>
      </c>
      <c r="AF20" s="8">
        <v>-8.218971490618609</v>
      </c>
      <c r="AG20" s="8">
        <v>-8.223949069739149</v>
      </c>
      <c r="AH20" s="8">
        <v>-8.228724075540537</v>
      </c>
      <c r="AI20" s="8">
        <v>-8.233296363262962</v>
      </c>
      <c r="AJ20" s="8">
        <v>-8.23766579940688</v>
      </c>
      <c r="AK20" s="8">
        <v>-8.241832261683191</v>
      </c>
      <c r="AL20" s="8">
        <v>-8.245795638962207</v>
      </c>
      <c r="AM20" s="8">
        <v>-8.249555831221183</v>
      </c>
      <c r="AN20" s="8">
        <v>-8.253112749490542</v>
      </c>
      <c r="AO20" s="8">
        <v>-8.256466315798834</v>
      </c>
      <c r="AP20" s="8">
        <v>-8.259616463116375</v>
      </c>
      <c r="AQ20" s="8">
        <v>-8.262563135297697</v>
      </c>
      <c r="AR20" s="8">
        <v>-8.265306287022689</v>
      </c>
      <c r="AS20" s="8">
        <v>-8.2678458837366</v>
      </c>
      <c r="AT20" s="8">
        <v>-8.270181901588835</v>
      </c>
    </row>
    <row r="21" spans="1:46">
      <c r="A21" s="7">
        <v>34.8</v>
      </c>
      <c r="B21" s="8">
        <v>-8.00466362843021</v>
      </c>
      <c r="C21" s="8">
        <v>-8.015636786771434</v>
      </c>
      <c r="D21" s="8">
        <v>-8.026416910960583</v>
      </c>
      <c r="E21" s="8">
        <v>-8.03700350507024</v>
      </c>
      <c r="F21" s="8">
        <v>-8.047396085157366</v>
      </c>
      <c r="G21" s="8">
        <v>-8.057594179263749</v>
      </c>
      <c r="H21" s="8">
        <v>-8.06759732741463</v>
      </c>
      <c r="I21" s="8">
        <v>-8.077405081615359</v>
      </c>
      <c r="J21" s="8">
        <v>-8.087017005846192</v>
      </c>
      <c r="K21" s="8">
        <v>-8.096432676055128</v>
      </c>
      <c r="L21" s="8">
        <v>-8.105651680149013</v>
      </c>
      <c r="M21" s="8">
        <v>-8.11467361798266</v>
      </c>
      <c r="N21" s="8">
        <v>-8.12349810134624</v>
      </c>
      <c r="O21" s="8">
        <v>-8.13212475395077</v>
      </c>
      <c r="P21" s="8">
        <v>-8.140553211411897</v>
      </c>
      <c r="Q21" s="8">
        <v>-8.14878312123178</v>
      </c>
      <c r="R21" s="8">
        <v>-8.156814142779337</v>
      </c>
      <c r="S21" s="8">
        <v>-8.164645947268635</v>
      </c>
      <c r="T21" s="8">
        <v>-8.172278217735588</v>
      </c>
      <c r="U21" s="8">
        <v>-8.179710649013019</v>
      </c>
      <c r="V21" s="8">
        <v>-8.18694294770383</v>
      </c>
      <c r="W21" s="8">
        <v>-8.193974832152763</v>
      </c>
      <c r="X21" s="8">
        <v>-8.200806032416294</v>
      </c>
      <c r="Y21" s="8">
        <v>-8.207436290230969</v>
      </c>
      <c r="Z21" s="8">
        <v>-8.213865358980188</v>
      </c>
      <c r="AA21" s="8">
        <v>-8.220093003659239</v>
      </c>
      <c r="AB21" s="8">
        <v>-8.226119000838924</v>
      </c>
      <c r="AC21" s="8">
        <v>-8.231943138627544</v>
      </c>
      <c r="AD21" s="8">
        <v>-8.237565216631351</v>
      </c>
      <c r="AE21" s="8">
        <v>-8.242985045913501</v>
      </c>
      <c r="AF21" s="8">
        <v>-8.248202448951538</v>
      </c>
      <c r="AG21" s="8">
        <v>-8.253217259593404</v>
      </c>
      <c r="AH21" s="8">
        <v>-8.258029323011922</v>
      </c>
      <c r="AI21" s="8">
        <v>-8.262638495658013</v>
      </c>
      <c r="AJ21" s="8">
        <v>-8.267044645212398</v>
      </c>
      <c r="AK21" s="8">
        <v>-8.271247650535845</v>
      </c>
      <c r="AL21" s="8">
        <v>-8.275247401618318</v>
      </c>
      <c r="AM21" s="8">
        <v>-8.27904379952651</v>
      </c>
      <c r="AN21" s="8">
        <v>-8.282636756350206</v>
      </c>
      <c r="AO21" s="8">
        <v>-8.286026195147389</v>
      </c>
      <c r="AP21" s="8">
        <v>-8.289212049887967</v>
      </c>
      <c r="AQ21" s="8">
        <v>-8.292194265396335</v>
      </c>
      <c r="AR21" s="8">
        <v>-8.294972797292706</v>
      </c>
      <c r="AS21" s="8">
        <v>-8.297547611933235</v>
      </c>
      <c r="AT21" s="8">
        <v>-8.299918686348994</v>
      </c>
    </row>
    <row r="22" spans="1:46">
      <c r="A22" s="7">
        <v>34.9</v>
      </c>
      <c r="B22" s="8">
        <v>-8.032706278091794</v>
      </c>
      <c r="C22" s="8">
        <v>-8.043722414498145</v>
      </c>
      <c r="D22" s="8">
        <v>-8.054545290768369</v>
      </c>
      <c r="E22" s="8">
        <v>-8.065174413099927</v>
      </c>
      <c r="F22" s="8">
        <v>-8.075609299646896</v>
      </c>
      <c r="G22" s="8">
        <v>-8.085849480520146</v>
      </c>
      <c r="H22" s="8">
        <v>-8.095894497785732</v>
      </c>
      <c r="I22" s="8">
        <v>-8.10574390546139</v>
      </c>
      <c r="J22" s="8">
        <v>-8.115397269510977</v>
      </c>
      <c r="K22" s="8">
        <v>-8.124854167837288</v>
      </c>
      <c r="L22" s="8">
        <v>-8.134114190272863</v>
      </c>
      <c r="M22" s="8">
        <v>-8.143176938568963</v>
      </c>
      <c r="N22" s="8">
        <v>-8.152042026382773</v>
      </c>
      <c r="O22" s="8">
        <v>-8.1607090792628</v>
      </c>
      <c r="P22" s="8">
        <v>-8.169177734632424</v>
      </c>
      <c r="Q22" s="8">
        <v>-8.17744764177173</v>
      </c>
      <c r="R22" s="8">
        <v>-8.185518461797566</v>
      </c>
      <c r="S22" s="8">
        <v>-8.193389867641889</v>
      </c>
      <c r="T22" s="8">
        <v>-8.201061544028331</v>
      </c>
      <c r="U22" s="8">
        <v>-8.208533187447133</v>
      </c>
      <c r="V22" s="8">
        <v>-8.215804506128331</v>
      </c>
      <c r="W22" s="8">
        <v>-8.222875220013371</v>
      </c>
      <c r="X22" s="8">
        <v>-8.22974506072498</v>
      </c>
      <c r="Y22" s="8">
        <v>-8.236413771535464</v>
      </c>
      <c r="Z22" s="8">
        <v>-8.242881107333405</v>
      </c>
      <c r="AA22" s="8">
        <v>-8.249146834588764</v>
      </c>
      <c r="AB22" s="8">
        <v>-8.255210731316417</v>
      </c>
      <c r="AC22" s="8">
        <v>-8.261072587038145</v>
      </c>
      <c r="AD22" s="8">
        <v>-8.26673220274311</v>
      </c>
      <c r="AE22" s="8">
        <v>-8.272189390846853</v>
      </c>
      <c r="AF22" s="8">
        <v>-8.277443975148733</v>
      </c>
      <c r="AG22" s="8">
        <v>-8.282495790788026</v>
      </c>
      <c r="AH22" s="8">
        <v>-8.287344684198452</v>
      </c>
      <c r="AI22" s="8">
        <v>-8.29199051306143</v>
      </c>
      <c r="AJ22" s="8">
        <v>-8.296433146257819</v>
      </c>
      <c r="AK22" s="8">
        <v>-8.300672463818358</v>
      </c>
      <c r="AL22" s="8">
        <v>-8.304708356872705</v>
      </c>
      <c r="AM22" s="8">
        <v>-8.308540727597263</v>
      </c>
      <c r="AN22" s="8">
        <v>-8.312169489161514</v>
      </c>
      <c r="AO22" s="8">
        <v>-8.315594565673285</v>
      </c>
      <c r="AP22" s="8">
        <v>-8.318815892122585</v>
      </c>
      <c r="AQ22" s="8">
        <v>-8.321833414324324</v>
      </c>
      <c r="AR22" s="8">
        <v>-8.324647088859724</v>
      </c>
      <c r="AS22" s="8">
        <v>-8.327256883016659</v>
      </c>
      <c r="AT22" s="8">
        <v>-8.329662774728734</v>
      </c>
    </row>
    <row r="23" spans="1:46">
      <c r="A23" s="7">
        <v>35</v>
      </c>
      <c r="B23" s="8">
        <v>-8.060765544842042</v>
      </c>
      <c r="C23" s="8">
        <v>-8.071824472873102</v>
      </c>
      <c r="D23" s="8">
        <v>-8.082689913152775</v>
      </c>
      <c r="E23" s="8">
        <v>-8.093361374019015</v>
      </c>
      <c r="F23" s="8">
        <v>-8.103838375738732</v>
      </c>
      <c r="G23" s="8">
        <v>-8.114120450507807</v>
      </c>
      <c r="H23" s="8">
        <v>-8.124207142449199</v>
      </c>
      <c r="I23" s="8">
        <v>-8.134098007609191</v>
      </c>
      <c r="J23" s="8">
        <v>-8.143792613951732</v>
      </c>
      <c r="K23" s="8">
        <v>-8.153290541350902</v>
      </c>
      <c r="L23" s="8">
        <v>-8.162591381581656</v>
      </c>
      <c r="M23" s="8">
        <v>-8.171694738308558</v>
      </c>
      <c r="N23" s="8">
        <v>-8.180600227072846</v>
      </c>
      <c r="O23" s="8">
        <v>-8.189307475277632</v>
      </c>
      <c r="P23" s="8">
        <v>-8.197816122171384</v>
      </c>
      <c r="Q23" s="8">
        <v>-8.206125818829545</v>
      </c>
      <c r="R23" s="8">
        <v>-8.214236228134554</v>
      </c>
      <c r="S23" s="8">
        <v>-8.222147024753948</v>
      </c>
      <c r="T23" s="8">
        <v>-8.229857895116995</v>
      </c>
      <c r="U23" s="8">
        <v>-8.237368537389406</v>
      </c>
      <c r="V23" s="8">
        <v>-8.244678661446516</v>
      </c>
      <c r="W23" s="8">
        <v>-8.251787988844784</v>
      </c>
      <c r="X23" s="8">
        <v>-8.258696252791639</v>
      </c>
      <c r="Y23" s="8">
        <v>-8.265403198113711</v>
      </c>
      <c r="Z23" s="8">
        <v>-8.271908581223522</v>
      </c>
      <c r="AA23" s="8">
        <v>-8.278212170084513</v>
      </c>
      <c r="AB23" s="8">
        <v>-8.284313744174609</v>
      </c>
      <c r="AC23" s="8">
        <v>-8.290213094448168</v>
      </c>
      <c r="AD23" s="8">
        <v>-8.295910023296509</v>
      </c>
      <c r="AE23" s="8">
        <v>-8.301404344506839</v>
      </c>
      <c r="AF23" s="8">
        <v>-8.306695883219836</v>
      </c>
      <c r="AG23" s="8">
        <v>-8.311784475885673</v>
      </c>
      <c r="AH23" s="8">
        <v>-8.31666997021866</v>
      </c>
      <c r="AI23" s="8">
        <v>-8.3213522251505</v>
      </c>
      <c r="AJ23" s="8">
        <v>-8.325831110782127</v>
      </c>
      <c r="AK23" s="8">
        <v>-8.330106508334215</v>
      </c>
      <c r="AL23" s="8">
        <v>-8.334178310096311</v>
      </c>
      <c r="AM23" s="8">
        <v>-8.338046419374699</v>
      </c>
      <c r="AN23" s="8">
        <v>-8.341710750438912</v>
      </c>
      <c r="AO23" s="8">
        <v>-8.345171228467017</v>
      </c>
      <c r="AP23" s="8">
        <v>-8.348427789489671</v>
      </c>
      <c r="AQ23" s="8">
        <v>-8.351480380332854</v>
      </c>
      <c r="AR23" s="8">
        <v>-8.354328958559559</v>
      </c>
      <c r="AS23" s="8">
        <v>-8.356973492410132</v>
      </c>
      <c r="AT23" s="8">
        <v>-8.359413960741579</v>
      </c>
    </row>
    <row r="24" spans="1:46">
      <c r="A24" s="7">
        <v>35.1</v>
      </c>
      <c r="B24" s="8">
        <v>-8.0888412878795</v>
      </c>
      <c r="C24" s="8">
        <v>-8.099942819576967</v>
      </c>
      <c r="D24" s="8">
        <v>-8.110850634278874</v>
      </c>
      <c r="E24" s="8">
        <v>-8.12156424247928</v>
      </c>
      <c r="F24" s="8">
        <v>-8.132083166573725</v>
      </c>
      <c r="G24" s="8">
        <v>-8.142406940859056</v>
      </c>
      <c r="H24" s="8">
        <v>-8.152535111531236</v>
      </c>
      <c r="I24" s="8">
        <v>-8.162467236681398</v>
      </c>
      <c r="J24" s="8">
        <v>-8.17220288628994</v>
      </c>
      <c r="K24" s="8">
        <v>-8.181741642218892</v>
      </c>
      <c r="L24" s="8">
        <v>-8.191083098202306</v>
      </c>
      <c r="M24" s="8">
        <v>-8.200226859834951</v>
      </c>
      <c r="N24" s="8">
        <v>-8.209172544559154</v>
      </c>
      <c r="O24" s="8">
        <v>-8.217919781649858</v>
      </c>
      <c r="P24" s="8">
        <v>-8.22646821219791</v>
      </c>
      <c r="Q24" s="8">
        <v>-8.234817489091636</v>
      </c>
      <c r="R24" s="8">
        <v>-8.242967276996643</v>
      </c>
      <c r="S24" s="8">
        <v>-8.250917252333901</v>
      </c>
      <c r="T24" s="8">
        <v>-8.258667103256162</v>
      </c>
      <c r="U24" s="8">
        <v>-8.266216529622692</v>
      </c>
      <c r="V24" s="8">
        <v>-8.273565242972307</v>
      </c>
      <c r="W24" s="8">
        <v>-8.28071296649482</v>
      </c>
      <c r="X24" s="8">
        <v>-8.287659435000824</v>
      </c>
      <c r="Y24" s="8">
        <v>-8.294404394889876</v>
      </c>
      <c r="Z24" s="8">
        <v>-8.300947604117136</v>
      </c>
      <c r="AA24" s="8">
        <v>-8.307288832158402</v>
      </c>
      <c r="AB24" s="8">
        <v>-8.313427859973613</v>
      </c>
      <c r="AC24" s="8">
        <v>-8.319364479968829</v>
      </c>
      <c r="AD24" s="8">
        <v>-8.325098495956716</v>
      </c>
      <c r="AE24" s="8">
        <v>-8.330629723115539</v>
      </c>
      <c r="AF24" s="8">
        <v>-8.335957987946733</v>
      </c>
      <c r="AG24" s="8">
        <v>-8.341083128230942</v>
      </c>
      <c r="AH24" s="8">
        <v>-8.346004992982742</v>
      </c>
      <c r="AI24" s="8">
        <v>-8.350723442403959</v>
      </c>
      <c r="AJ24" s="8">
        <v>-8.355238347835501</v>
      </c>
      <c r="AK24" s="8">
        <v>-8.359549591707989</v>
      </c>
      <c r="AL24" s="8">
        <v>-8.363657067490974</v>
      </c>
      <c r="AM24" s="8">
        <v>-8.367560679640848</v>
      </c>
      <c r="AN24" s="8">
        <v>-8.371260343547496</v>
      </c>
      <c r="AO24" s="8">
        <v>-8.374755985479677</v>
      </c>
      <c r="AP24" s="8">
        <v>-8.378047542529165</v>
      </c>
      <c r="AQ24" s="8">
        <v>-8.381134962553661</v>
      </c>
      <c r="AR24" s="8">
        <v>-8.384018204118574</v>
      </c>
      <c r="AS24" s="8">
        <v>-8.386697236437509</v>
      </c>
      <c r="AT24" s="8">
        <v>-8.389172039311736</v>
      </c>
    </row>
    <row r="25" spans="1:46">
      <c r="A25" s="7">
        <v>35.2</v>
      </c>
      <c r="B25" s="8">
        <v>-8.116933366902471</v>
      </c>
      <c r="C25" s="8">
        <v>-8.128077312799247</v>
      </c>
      <c r="D25" s="8">
        <v>-8.139027310829661</v>
      </c>
      <c r="E25" s="8">
        <v>-8.149782873659548</v>
      </c>
      <c r="F25" s="8">
        <v>-8.160343525828946</v>
      </c>
      <c r="G25" s="8">
        <v>-8.170708803751618</v>
      </c>
      <c r="H25" s="8">
        <v>-8.180878255712692</v>
      </c>
      <c r="I25" s="8">
        <v>-8.190851441864439</v>
      </c>
      <c r="J25" s="8">
        <v>-8.200627934220208</v>
      </c>
      <c r="K25" s="8">
        <v>-8.21020731664653</v>
      </c>
      <c r="L25" s="8">
        <v>-8.219589184853378</v>
      </c>
      <c r="M25" s="8">
        <v>-8.228773146382624</v>
      </c>
      <c r="N25" s="8">
        <v>-8.237758820594767</v>
      </c>
      <c r="O25" s="8">
        <v>-8.24654583865377</v>
      </c>
      <c r="P25" s="8">
        <v>-8.255133843510253</v>
      </c>
      <c r="Q25" s="8">
        <v>-8.263522489882924</v>
      </c>
      <c r="R25" s="8">
        <v>-8.271711444238212</v>
      </c>
      <c r="S25" s="8">
        <v>-8.279700384768296</v>
      </c>
      <c r="T25" s="8">
        <v>-8.287489001367392</v>
      </c>
      <c r="U25" s="8">
        <v>-8.295076995606374</v>
      </c>
      <c r="V25" s="8">
        <v>-8.302464080705743</v>
      </c>
      <c r="W25" s="8">
        <v>-8.309649981507008</v>
      </c>
      <c r="X25" s="8">
        <v>-8.316634434442417</v>
      </c>
      <c r="Y25" s="8">
        <v>-8.323417187503045</v>
      </c>
      <c r="Z25" s="8">
        <v>-8.329998000205462</v>
      </c>
      <c r="AA25" s="8">
        <v>-8.336376643556655</v>
      </c>
      <c r="AB25" s="8">
        <v>-8.342552900017591</v>
      </c>
      <c r="AC25" s="8">
        <v>-8.348526563465107</v>
      </c>
      <c r="AD25" s="8">
        <v>-8.354297439152491</v>
      </c>
      <c r="AE25" s="8">
        <v>-8.359865343668403</v>
      </c>
      <c r="AF25" s="8">
        <v>-8.365230104894485</v>
      </c>
      <c r="AG25" s="8">
        <v>-8.370391561961448</v>
      </c>
      <c r="AH25" s="8">
        <v>-8.375349565203857</v>
      </c>
      <c r="AI25" s="8">
        <v>-8.380103976113414</v>
      </c>
      <c r="AJ25" s="8">
        <v>-8.384654667290929</v>
      </c>
      <c r="AK25" s="8">
        <v>-8.389001522396986</v>
      </c>
      <c r="AL25" s="8">
        <v>-8.393144436101261</v>
      </c>
      <c r="AM25" s="8">
        <v>-8.397083314030468</v>
      </c>
      <c r="AN25" s="8">
        <v>-8.400818072715158</v>
      </c>
      <c r="AO25" s="8">
        <v>-8.404348639535192</v>
      </c>
      <c r="AP25" s="8">
        <v>-8.407674952663976</v>
      </c>
      <c r="AQ25" s="8">
        <v>-8.410796961011522</v>
      </c>
      <c r="AR25" s="8">
        <v>-8.413714624166298</v>
      </c>
      <c r="AS25" s="8">
        <v>-8.416427912335969</v>
      </c>
      <c r="AT25" s="8">
        <v>-8.418936806286917</v>
      </c>
    </row>
    <row r="26" spans="1:46">
      <c r="A26" s="7">
        <v>35.3</v>
      </c>
      <c r="B26" s="8">
        <v>-8.145041642115155</v>
      </c>
      <c r="C26" s="8">
        <v>-8.156227811244577</v>
      </c>
      <c r="D26" s="8">
        <v>-8.16721980001255</v>
      </c>
      <c r="E26" s="8">
        <v>-8.17801712327241</v>
      </c>
      <c r="F26" s="8">
        <v>-8.188619307724517</v>
      </c>
      <c r="G26" s="8">
        <v>-8.199025891915609</v>
      </c>
      <c r="H26" s="8">
        <v>-8.209236426236147</v>
      </c>
      <c r="I26" s="8">
        <v>-8.219250472915911</v>
      </c>
      <c r="J26" s="8">
        <v>-8.229067606017667</v>
      </c>
      <c r="K26" s="8">
        <v>-8.238687411429119</v>
      </c>
      <c r="L26" s="8">
        <v>-8.248109486852924</v>
      </c>
      <c r="M26" s="8">
        <v>-8.257333441795051</v>
      </c>
      <c r="N26" s="8">
        <v>-8.266358897551221</v>
      </c>
      <c r="O26" s="8">
        <v>-8.275185487191688</v>
      </c>
      <c r="P26" s="8">
        <v>-8.283812855544255</v>
      </c>
      <c r="Q26" s="8">
        <v>-8.292240659175508</v>
      </c>
      <c r="R26" s="8">
        <v>-8.300468566370411</v>
      </c>
      <c r="S26" s="8">
        <v>-8.308496257110153</v>
      </c>
      <c r="T26" s="8">
        <v>-8.31632342304836</v>
      </c>
      <c r="U26" s="8">
        <v>-8.323949767485621</v>
      </c>
      <c r="V26" s="8">
        <v>-8.331375005342343</v>
      </c>
      <c r="W26" s="8">
        <v>-8.338598863130123</v>
      </c>
      <c r="X26" s="8">
        <v>-8.345621078921299</v>
      </c>
      <c r="Y26" s="8">
        <v>-8.352441402317147</v>
      </c>
      <c r="Z26" s="8">
        <v>-8.359059594414351</v>
      </c>
      <c r="AA26" s="8">
        <v>-8.365475427769988</v>
      </c>
      <c r="AB26" s="8">
        <v>-8.371688686365028</v>
      </c>
      <c r="AC26" s="8">
        <v>-8.377699165566256</v>
      </c>
      <c r="AD26" s="8">
        <v>-8.38350667208678</v>
      </c>
      <c r="AE26" s="8">
        <v>-8.389111023945013</v>
      </c>
      <c r="AF26" s="8">
        <v>-8.394512050422279</v>
      </c>
      <c r="AG26" s="8">
        <v>-8.399709592018967</v>
      </c>
      <c r="AH26" s="8">
        <v>-8.404703500409289</v>
      </c>
      <c r="AI26" s="8">
        <v>-8.409493638394636</v>
      </c>
      <c r="AJ26" s="8">
        <v>-8.414079879855656</v>
      </c>
      <c r="AK26" s="8">
        <v>-8.418462109702899</v>
      </c>
      <c r="AL26" s="8">
        <v>-8.422640223826249</v>
      </c>
      <c r="AM26" s="8">
        <v>-8.42661412904299</v>
      </c>
      <c r="AN26" s="8">
        <v>-8.430383743044652</v>
      </c>
      <c r="AO26" s="8">
        <v>-8.433948994342565</v>
      </c>
      <c r="AP26" s="8">
        <v>-8.437309822212285</v>
      </c>
      <c r="AQ26" s="8">
        <v>-8.440466176636706</v>
      </c>
      <c r="AR26" s="8">
        <v>-8.443418018248073</v>
      </c>
      <c r="AS26" s="8">
        <v>-8.446165318268807</v>
      </c>
      <c r="AT26" s="8">
        <v>-8.44870805845126</v>
      </c>
    </row>
    <row r="27" spans="1:46">
      <c r="A27" s="7">
        <v>35.4</v>
      </c>
      <c r="B27" s="8">
        <v>-8.173165974233463</v>
      </c>
      <c r="C27" s="8">
        <v>-8.184394174138763</v>
      </c>
      <c r="D27" s="8">
        <v>-8.195427959565585</v>
      </c>
      <c r="E27" s="8">
        <v>-8.206266847570507</v>
      </c>
      <c r="F27" s="8">
        <v>-8.216910367030142</v>
      </c>
      <c r="G27" s="8">
        <v>-8.227358058640254</v>
      </c>
      <c r="H27" s="8">
        <v>-8.237609474912869</v>
      </c>
      <c r="I27" s="8">
        <v>-8.247664180171627</v>
      </c>
      <c r="J27" s="8">
        <v>-8.257521750545273</v>
      </c>
      <c r="K27" s="8">
        <v>-8.267181773959331</v>
      </c>
      <c r="L27" s="8">
        <v>-8.27664385012603</v>
      </c>
      <c r="M27" s="8">
        <v>-8.285907590532336</v>
      </c>
      <c r="N27" s="8">
        <v>-8.294972618426399</v>
      </c>
      <c r="O27" s="8">
        <v>-8.303838568802014</v>
      </c>
      <c r="P27" s="8">
        <v>-8.312505088381545</v>
      </c>
      <c r="Q27" s="8">
        <v>-8.320971835597055</v>
      </c>
      <c r="R27" s="8">
        <v>-8.329238480569732</v>
      </c>
      <c r="S27" s="8">
        <v>-8.337304705087611</v>
      </c>
      <c r="T27" s="8">
        <v>-8.345170202581709</v>
      </c>
      <c r="U27" s="8">
        <v>-8.352834678100429</v>
      </c>
      <c r="V27" s="8">
        <v>-8.360297848282361</v>
      </c>
      <c r="W27" s="8">
        <v>-8.367559441327513</v>
      </c>
      <c r="X27" s="8">
        <v>-8.374619196966892</v>
      </c>
      <c r="Y27" s="8">
        <v>-8.381476866430553</v>
      </c>
      <c r="Z27" s="8">
        <v>-8.388132212414087</v>
      </c>
      <c r="AA27" s="8">
        <v>-8.394585009043549</v>
      </c>
      <c r="AB27" s="8">
        <v>-8.400835041838915</v>
      </c>
      <c r="AC27" s="8">
        <v>-8.40688210767604</v>
      </c>
      <c r="AD27" s="8">
        <v>-8.412726014747099</v>
      </c>
      <c r="AE27" s="8">
        <v>-8.418366582519624</v>
      </c>
      <c r="AF27" s="8">
        <v>-8.42380364169412</v>
      </c>
      <c r="AG27" s="8">
        <v>-8.429037034160212</v>
      </c>
      <c r="AH27" s="8">
        <v>-8.434066612951451</v>
      </c>
      <c r="AI27" s="8">
        <v>-8.438892242198762</v>
      </c>
      <c r="AJ27" s="8">
        <v>-8.443513797082501</v>
      </c>
      <c r="AK27" s="8">
        <v>-8.447931163783206</v>
      </c>
      <c r="AL27" s="8">
        <v>-8.452144239431099</v>
      </c>
      <c r="AM27" s="8">
        <v>-8.45615293205422</v>
      </c>
      <c r="AN27" s="8">
        <v>-8.459957160525384</v>
      </c>
      <c r="AO27" s="8">
        <v>-8.463556854507813</v>
      </c>
      <c r="AP27" s="8">
        <v>-8.466951954399683</v>
      </c>
      <c r="AQ27" s="8">
        <v>-8.470142411277324</v>
      </c>
      <c r="AR27" s="8">
        <v>-8.473128186837435</v>
      </c>
      <c r="AS27" s="8">
        <v>-8.475909253337962</v>
      </c>
      <c r="AT27" s="8">
        <v>-8.478485593538005</v>
      </c>
    </row>
    <row r="28" spans="1:46">
      <c r="A28" s="7">
        <v>35.5</v>
      </c>
      <c r="B28" s="8">
        <v>-8.201306224490613</v>
      </c>
      <c r="C28" s="8">
        <v>-8.212576261234501</v>
      </c>
      <c r="D28" s="8">
        <v>-8.223651647763335</v>
      </c>
      <c r="E28" s="8">
        <v>-8.234531903352673</v>
      </c>
      <c r="F28" s="8">
        <v>-8.245216559071357</v>
      </c>
      <c r="G28" s="8">
        <v>-8.255705157780298</v>
      </c>
      <c r="H28" s="8">
        <v>-8.265997254129324</v>
      </c>
      <c r="I28" s="8">
        <v>-8.276092414552377</v>
      </c>
      <c r="J28" s="8">
        <v>-8.285990217260704</v>
      </c>
      <c r="K28" s="8">
        <v>-8.295690252234396</v>
      </c>
      <c r="L28" s="8">
        <v>-8.305192121212093</v>
      </c>
      <c r="M28" s="8">
        <v>-8.314495437678822</v>
      </c>
      <c r="N28" s="8">
        <v>-8.32359982685224</v>
      </c>
      <c r="O28" s="8">
        <v>-8.332504925667015</v>
      </c>
      <c r="P28" s="8">
        <v>-8.341210382757534</v>
      </c>
      <c r="Q28" s="8">
        <v>-8.349715858438918</v>
      </c>
      <c r="R28" s="8">
        <v>-8.358021024686286</v>
      </c>
      <c r="S28" s="8">
        <v>-8.366125565112386</v>
      </c>
      <c r="T28" s="8">
        <v>-8.374029174943631</v>
      </c>
      <c r="U28" s="8">
        <v>-8.381731560994366</v>
      </c>
      <c r="V28" s="8">
        <v>-8.389232441639621</v>
      </c>
      <c r="W28" s="8">
        <v>-8.39653154678623</v>
      </c>
      <c r="X28" s="8">
        <v>-8.403628617842367</v>
      </c>
      <c r="Y28" s="8">
        <v>-8.410523407685529</v>
      </c>
      <c r="Z28" s="8">
        <v>-8.417215680628983</v>
      </c>
      <c r="AA28" s="8">
        <v>-8.423705212386668</v>
      </c>
      <c r="AB28" s="8">
        <v>-8.429991790036587</v>
      </c>
      <c r="AC28" s="8">
        <v>-8.436075211982773</v>
      </c>
      <c r="AD28" s="8">
        <v>-8.441955287915754</v>
      </c>
      <c r="AE28" s="8">
        <v>-8.447631838771553</v>
      </c>
      <c r="AF28" s="8">
        <v>-8.453104696689307</v>
      </c>
      <c r="AG28" s="8">
        <v>-8.458373704967499</v>
      </c>
      <c r="AH28" s="8">
        <v>-8.463438718018711</v>
      </c>
      <c r="AI28" s="8">
        <v>-8.46829960132319</v>
      </c>
      <c r="AJ28" s="8">
        <v>-8.472956231380918</v>
      </c>
      <c r="AK28" s="8">
        <v>-8.477408495662448</v>
      </c>
      <c r="AL28" s="8">
        <v>-8.481656292558426</v>
      </c>
      <c r="AM28" s="8">
        <v>-8.485699531327871</v>
      </c>
      <c r="AN28" s="8">
        <v>-8.489538132045155</v>
      </c>
      <c r="AO28" s="8">
        <v>-8.493172025545809</v>
      </c>
      <c r="AP28" s="8">
        <v>-8.496601153371085</v>
      </c>
      <c r="AQ28" s="8">
        <v>-8.499825467711362</v>
      </c>
      <c r="AR28" s="8">
        <v>-8.50284493134839</v>
      </c>
      <c r="AS28" s="8">
        <v>-8.505659517596381</v>
      </c>
      <c r="AT28" s="8">
        <v>-8.508269210242011</v>
      </c>
    </row>
    <row r="29" spans="1:46">
      <c r="A29" s="7">
        <v>35.6</v>
      </c>
      <c r="B29" s="8">
        <v>-8.229462254642591</v>
      </c>
      <c r="C29" s="8">
        <v>-8.240773932817094</v>
      </c>
      <c r="D29" s="8">
        <v>-8.251890723422722</v>
      </c>
      <c r="E29" s="8">
        <v>-8.262812147969941</v>
      </c>
      <c r="F29" s="8">
        <v>-8.273537739735792</v>
      </c>
      <c r="G29" s="8">
        <v>-8.284067043762425</v>
      </c>
      <c r="H29" s="8">
        <v>-8.294399616853831</v>
      </c>
      <c r="I29" s="8">
        <v>-8.304535027570662</v>
      </c>
      <c r="J29" s="8">
        <v>-8.314472856223301</v>
      </c>
      <c r="K29" s="8">
        <v>-8.324212694863148</v>
      </c>
      <c r="L29" s="8">
        <v>-8.333754147272115</v>
      </c>
      <c r="M29" s="8">
        <v>-8.343096828950349</v>
      </c>
      <c r="N29" s="8">
        <v>-8.352240367102231</v>
      </c>
      <c r="O29" s="8">
        <v>-8.361184400620598</v>
      </c>
      <c r="P29" s="8">
        <v>-8.36992858006934</v>
      </c>
      <c r="Q29" s="8">
        <v>-8.378472567664231</v>
      </c>
      <c r="R29" s="8">
        <v>-8.386816037252066</v>
      </c>
      <c r="S29" s="8">
        <v>-8.394958674288231</v>
      </c>
      <c r="T29" s="8">
        <v>-8.402900175812512</v>
      </c>
      <c r="U29" s="8">
        <v>-8.41064025042337</v>
      </c>
      <c r="V29" s="8">
        <v>-8.418178618250529</v>
      </c>
      <c r="W29" s="8">
        <v>-8.425515010926079</v>
      </c>
      <c r="X29" s="8">
        <v>-8.432649171553908</v>
      </c>
      <c r="Y29" s="8">
        <v>-8.43958085467761</v>
      </c>
      <c r="Z29" s="8">
        <v>-8.446309826246916</v>
      </c>
      <c r="AA29" s="8">
        <v>-8.452835863582534</v>
      </c>
      <c r="AB29" s="8">
        <v>-8.459158755339553</v>
      </c>
      <c r="AC29" s="8">
        <v>-8.465278301469343</v>
      </c>
      <c r="AD29" s="8">
        <v>-8.471194313180007</v>
      </c>
      <c r="AE29" s="8">
        <v>-8.476906612895457</v>
      </c>
      <c r="AF29" s="8">
        <v>-8.482415034212954</v>
      </c>
      <c r="AG29" s="8">
        <v>-8.487719421859385</v>
      </c>
      <c r="AH29" s="8">
        <v>-8.49281963164613</v>
      </c>
      <c r="AI29" s="8">
        <v>-8.49771553042253</v>
      </c>
      <c r="AJ29" s="8">
        <v>-8.502406996028116</v>
      </c>
      <c r="AK29" s="8">
        <v>-8.506893917243433</v>
      </c>
      <c r="AL29" s="8">
        <v>-8.511176193739693</v>
      </c>
      <c r="AM29" s="8">
        <v>-8.515253736027065</v>
      </c>
      <c r="AN29" s="8">
        <v>-8.519126465401802</v>
      </c>
      <c r="AO29" s="8">
        <v>-8.522794313892089</v>
      </c>
      <c r="AP29" s="8">
        <v>-8.526257224202764</v>
      </c>
      <c r="AQ29" s="8">
        <v>-8.529515149658778</v>
      </c>
      <c r="AR29" s="8">
        <v>-8.532568054147591</v>
      </c>
      <c r="AS29" s="8">
        <v>-8.535415912060401</v>
      </c>
      <c r="AT29" s="8">
        <v>-8.538058708232263</v>
      </c>
    </row>
    <row r="30" spans="1:46">
      <c r="A30" s="7">
        <v>35.7</v>
      </c>
      <c r="B30" s="8">
        <v>-8.257633926973275</v>
      </c>
      <c r="C30" s="8">
        <v>-8.268987049709629</v>
      </c>
      <c r="D30" s="8">
        <v>-8.28014504590854</v>
      </c>
      <c r="E30" s="8">
        <v>-8.291107439331215</v>
      </c>
      <c r="F30" s="8">
        <v>-8.301873765478904</v>
      </c>
      <c r="G30" s="8">
        <v>-8.312443571591242</v>
      </c>
      <c r="H30" s="8">
        <v>-8.322816416642679</v>
      </c>
      <c r="I30" s="8">
        <v>-8.332991871337079</v>
      </c>
      <c r="J30" s="8">
        <v>-8.34296951810059</v>
      </c>
      <c r="K30" s="8">
        <v>-8.352748951072694</v>
      </c>
      <c r="L30" s="8">
        <v>-8.362329776095535</v>
      </c>
      <c r="M30" s="8">
        <v>-8.371711610701427</v>
      </c>
      <c r="N30" s="8">
        <v>-8.380894084098665</v>
      </c>
      <c r="O30" s="8">
        <v>-8.38987683715567</v>
      </c>
      <c r="P30" s="8">
        <v>-8.398659522383287</v>
      </c>
      <c r="Q30" s="8">
        <v>-8.4072418039156</v>
      </c>
      <c r="R30" s="8">
        <v>-8.415623357488853</v>
      </c>
      <c r="S30" s="8">
        <v>-8.423803870418949</v>
      </c>
      <c r="T30" s="8">
        <v>-8.431783041577104</v>
      </c>
      <c r="U30" s="8">
        <v>-8.439560581364056</v>
      </c>
      <c r="V30" s="8">
        <v>-8.447136211682546</v>
      </c>
      <c r="W30" s="8">
        <v>-8.454509665908333</v>
      </c>
      <c r="X30" s="8">
        <v>-8.461680688859559</v>
      </c>
      <c r="Y30" s="8">
        <v>-8.468649036764608</v>
      </c>
      <c r="Z30" s="8">
        <v>-8.475414477228474</v>
      </c>
      <c r="AA30" s="8">
        <v>-8.481976789197567</v>
      </c>
      <c r="AB30" s="8">
        <v>-8.48833576292307</v>
      </c>
      <c r="AC30" s="8">
        <v>-8.494491199922845</v>
      </c>
      <c r="AD30" s="8">
        <v>-8.500442912941896</v>
      </c>
      <c r="AE30" s="8">
        <v>-8.506190725911322</v>
      </c>
      <c r="AF30" s="8">
        <v>-8.511734473906039</v>
      </c>
      <c r="AG30" s="8">
        <v>-8.517074003100966</v>
      </c>
      <c r="AH30" s="8">
        <v>-8.522209170725922</v>
      </c>
      <c r="AI30" s="8">
        <v>-8.527139845019201</v>
      </c>
      <c r="AJ30" s="8">
        <v>-8.531865905179741</v>
      </c>
      <c r="AK30" s="8">
        <v>-8.536387241318129</v>
      </c>
      <c r="AL30" s="8">
        <v>-8.540703754406215</v>
      </c>
      <c r="AM30" s="8">
        <v>-8.544815356225529</v>
      </c>
      <c r="AN30" s="8">
        <v>-8.548721969314494</v>
      </c>
      <c r="AO30" s="8">
        <v>-8.552423526914337</v>
      </c>
      <c r="AP30" s="8">
        <v>-8.555919972913903</v>
      </c>
      <c r="AQ30" s="8">
        <v>-8.559211261793301</v>
      </c>
      <c r="AR30" s="8">
        <v>-8.562297358566321</v>
      </c>
      <c r="AS30" s="8">
        <v>-8.565178238721858</v>
      </c>
      <c r="AT30" s="8">
        <v>-8.567853888164105</v>
      </c>
    </row>
    <row r="31" spans="1:46">
      <c r="A31" s="7">
        <v>35.8</v>
      </c>
      <c r="B31" s="8">
        <v>-8.285821104299419</v>
      </c>
      <c r="C31" s="8">
        <v>-8.297215473278296</v>
      </c>
      <c r="D31" s="8">
        <v>-8.308414475138788</v>
      </c>
      <c r="E31" s="8">
        <v>-8.31941763590876</v>
      </c>
      <c r="F31" s="8">
        <v>-8.330224493329785</v>
      </c>
      <c r="G31" s="8">
        <v>-8.340834596855188</v>
      </c>
      <c r="H31" s="8">
        <v>-8.351247507646244</v>
      </c>
      <c r="I31" s="8">
        <v>-8.361462798566563</v>
      </c>
      <c r="J31" s="8">
        <v>-8.371480054174716</v>
      </c>
      <c r="K31" s="8">
        <v>-8.381298870715097</v>
      </c>
      <c r="L31" s="8">
        <v>-8.39091885610703</v>
      </c>
      <c r="M31" s="8">
        <v>-8.400339629932109</v>
      </c>
      <c r="N31" s="8">
        <v>-8.40956082341982</v>
      </c>
      <c r="O31" s="8">
        <v>-8.418582079431481</v>
      </c>
      <c r="P31" s="8">
        <v>-8.427403052442472</v>
      </c>
      <c r="Q31" s="8">
        <v>-8.436023408522802</v>
      </c>
      <c r="R31" s="8">
        <v>-8.444442825316012</v>
      </c>
      <c r="S31" s="8">
        <v>-8.452660992016405</v>
      </c>
      <c r="T31" s="8">
        <v>-8.460677609344708</v>
      </c>
      <c r="U31" s="8">
        <v>-8.46849238952213</v>
      </c>
      <c r="V31" s="8">
        <v>-8.47610505624273</v>
      </c>
      <c r="W31" s="8">
        <v>-8.483515344644383</v>
      </c>
      <c r="X31" s="8">
        <v>-8.490723001278063</v>
      </c>
      <c r="Y31" s="8">
        <v>-8.497727784075643</v>
      </c>
      <c r="Z31" s="8">
        <v>-8.504529462316169</v>
      </c>
      <c r="AA31" s="8">
        <v>-8.511127816590703</v>
      </c>
      <c r="AB31" s="8">
        <v>-8.517522638765575</v>
      </c>
      <c r="AC31" s="8">
        <v>-8.523713731944291</v>
      </c>
      <c r="AD31" s="8">
        <v>-8.529700910427993</v>
      </c>
      <c r="AE31" s="8">
        <v>-8.535483999674421</v>
      </c>
      <c r="AF31" s="8">
        <v>-8.541062836255609</v>
      </c>
      <c r="AG31" s="8">
        <v>-8.546437267814099</v>
      </c>
      <c r="AH31" s="8">
        <v>-8.551607153017878</v>
      </c>
      <c r="AI31" s="8">
        <v>-8.556572361513956</v>
      </c>
      <c r="AJ31" s="8">
        <v>-8.561332773880647</v>
      </c>
      <c r="AK31" s="8">
        <v>-8.565888281578534</v>
      </c>
      <c r="AL31" s="8">
        <v>-8.570238786900223</v>
      </c>
      <c r="AM31" s="8">
        <v>-8.574384202918806</v>
      </c>
      <c r="AN31" s="8">
        <v>-8.578324453435135</v>
      </c>
      <c r="AO31" s="8">
        <v>-8.582059472923843</v>
      </c>
      <c r="AP31" s="8">
        <v>-8.585589206478277</v>
      </c>
      <c r="AQ31" s="8">
        <v>-8.588913609754206</v>
      </c>
      <c r="AR31" s="8">
        <v>-8.592032648912378</v>
      </c>
      <c r="AS31" s="8">
        <v>-8.594946300560078</v>
      </c>
      <c r="AT31" s="8">
        <v>-8.597654551691427</v>
      </c>
    </row>
    <row r="32" spans="1:46">
      <c r="A32" s="7">
        <v>35.9</v>
      </c>
      <c r="B32" s="8">
        <v>-8.31402364997539</v>
      </c>
      <c r="C32" s="8">
        <v>-8.325459065437188</v>
      </c>
      <c r="D32" s="8">
        <v>-8.336698871589736</v>
      </c>
      <c r="E32" s="8">
        <v>-8.347742596743531</v>
      </c>
      <c r="F32" s="8">
        <v>-8.358589780896581</v>
      </c>
      <c r="G32" s="8">
        <v>-8.369239975732158</v>
      </c>
      <c r="H32" s="8">
        <v>-8.379692744614774</v>
      </c>
      <c r="I32" s="8">
        <v>-8.389947662584349</v>
      </c>
      <c r="J32" s="8">
        <v>-8.400004316348596</v>
      </c>
      <c r="K32" s="8">
        <v>-8.409862304273666</v>
      </c>
      <c r="L32" s="8">
        <v>-8.419521236373063</v>
      </c>
      <c r="M32" s="8">
        <v>-8.428980734294766</v>
      </c>
      <c r="N32" s="8">
        <v>-8.43824043130674</v>
      </c>
      <c r="O32" s="8">
        <v>-8.447299972280634</v>
      </c>
      <c r="P32" s="8">
        <v>-8.456159013673894</v>
      </c>
      <c r="Q32" s="8">
        <v>-8.464817223510169</v>
      </c>
      <c r="R32" s="8">
        <v>-8.473274281358057</v>
      </c>
      <c r="S32" s="8">
        <v>-8.481529878308251</v>
      </c>
      <c r="T32" s="8">
        <v>-8.489583716949067</v>
      </c>
      <c r="U32" s="8">
        <v>-8.497435511340385</v>
      </c>
      <c r="V32" s="8">
        <v>-8.505084986985933</v>
      </c>
      <c r="W32" s="8">
        <v>-8.512531880804165</v>
      </c>
      <c r="X32" s="8">
        <v>-8.519775941097452</v>
      </c>
      <c r="Y32" s="8">
        <v>-8.526816927519848</v>
      </c>
      <c r="Z32" s="8">
        <v>-8.533654611043335</v>
      </c>
      <c r="AA32" s="8">
        <v>-8.540288773922496</v>
      </c>
      <c r="AB32" s="8">
        <v>-8.546719209657899</v>
      </c>
      <c r="AC32" s="8">
        <v>-8.552945722957881</v>
      </c>
      <c r="AD32" s="8">
        <v>-8.558968129698993</v>
      </c>
      <c r="AE32" s="8">
        <v>-8.564786256885007</v>
      </c>
      <c r="AF32" s="8">
        <v>-8.570399942604569</v>
      </c>
      <c r="AG32" s="8">
        <v>-8.57580903598744</v>
      </c>
      <c r="AH32" s="8">
        <v>-8.581013397159499</v>
      </c>
      <c r="AI32" s="8">
        <v>-8.586012897196291</v>
      </c>
      <c r="AJ32" s="8">
        <v>-8.590807418075364</v>
      </c>
      <c r="AK32" s="8">
        <v>-8.595396852627339</v>
      </c>
      <c r="AL32" s="8">
        <v>-8.599781104485659</v>
      </c>
      <c r="AM32" s="8">
        <v>-8.603960088035157</v>
      </c>
      <c r="AN32" s="8">
        <v>-8.607933728359393</v>
      </c>
      <c r="AO32" s="8">
        <v>-8.611701961186791</v>
      </c>
      <c r="AP32" s="8">
        <v>-8.615264732835637</v>
      </c>
      <c r="AQ32" s="8">
        <v>-8.618622000157862</v>
      </c>
      <c r="AR32" s="8">
        <v>-8.621773730481804</v>
      </c>
      <c r="AS32" s="8">
        <v>-8.624719901553805</v>
      </c>
      <c r="AT32" s="8">
        <v>-8.627460501478675</v>
      </c>
    </row>
    <row r="33" spans="1:46">
      <c r="A33" s="7">
        <v>36</v>
      </c>
      <c r="B33" s="8">
        <v>-8.342241427897674</v>
      </c>
      <c r="C33" s="8">
        <v>-8.353717688653072</v>
      </c>
      <c r="D33" s="8">
        <v>-8.36499809630088</v>
      </c>
      <c r="E33" s="8">
        <v>-8.376082181450252</v>
      </c>
      <c r="F33" s="8">
        <v>-8.386969486371767</v>
      </c>
      <c r="G33" s="8">
        <v>-8.39765956499496</v>
      </c>
      <c r="H33" s="8">
        <v>-8.40815198290405</v>
      </c>
      <c r="I33" s="8">
        <v>-8.418446317331858</v>
      </c>
      <c r="J33" s="8">
        <v>-8.428542157151961</v>
      </c>
      <c r="K33" s="8">
        <v>-8.438439102869179</v>
      </c>
      <c r="L33" s="8">
        <v>-8.448136766608187</v>
      </c>
      <c r="M33" s="8">
        <v>-8.45763477210058</v>
      </c>
      <c r="N33" s="8">
        <v>-8.46693275467004</v>
      </c>
      <c r="O33" s="8">
        <v>-8.476030361216027</v>
      </c>
      <c r="P33" s="8">
        <v>-8.484927250195613</v>
      </c>
      <c r="Q33" s="8">
        <v>-8.493623091603785</v>
      </c>
      <c r="R33" s="8">
        <v>-8.502117566952069</v>
      </c>
      <c r="S33" s="8">
        <v>-8.510410369245532</v>
      </c>
      <c r="T33" s="8">
        <v>-8.518501202958145</v>
      </c>
      <c r="U33" s="8">
        <v>-8.526389784006698</v>
      </c>
      <c r="V33" s="8">
        <v>-8.53407583972294</v>
      </c>
      <c r="W33" s="8">
        <v>-8.541559108824387</v>
      </c>
      <c r="X33" s="8">
        <v>-8.548839341383408</v>
      </c>
      <c r="Y33" s="8">
        <v>-8.555916298794989</v>
      </c>
      <c r="Z33" s="8">
        <v>-8.562789753742811</v>
      </c>
      <c r="AA33" s="8">
        <v>-8.569459490164009</v>
      </c>
      <c r="AB33" s="8">
        <v>-8.575925303212408</v>
      </c>
      <c r="AC33" s="8">
        <v>-8.582186999220371</v>
      </c>
      <c r="AD33" s="8">
        <v>-8.588244395659144</v>
      </c>
      <c r="AE33" s="8">
        <v>-8.594097321097927</v>
      </c>
      <c r="AF33" s="8">
        <v>-8.599745615161467</v>
      </c>
      <c r="AG33" s="8">
        <v>-8.605189128486399</v>
      </c>
      <c r="AH33" s="8">
        <v>-8.610427722676135</v>
      </c>
      <c r="AI33" s="8">
        <v>-8.615461270254599</v>
      </c>
      <c r="AJ33" s="8">
        <v>-8.620289654618487</v>
      </c>
      <c r="AK33" s="8">
        <v>-8.624912769988446</v>
      </c>
      <c r="AL33" s="8">
        <v>-8.629330521358852</v>
      </c>
      <c r="AM33" s="8">
        <v>-8.633542824446454</v>
      </c>
      <c r="AN33" s="8">
        <v>-8.637549605637799</v>
      </c>
      <c r="AO33" s="8">
        <v>-8.641350801935426</v>
      </c>
      <c r="AP33" s="8">
        <v>-8.644946360903006</v>
      </c>
      <c r="AQ33" s="8">
        <v>-8.648336240609183</v>
      </c>
      <c r="AR33" s="8">
        <v>-8.651520409570459</v>
      </c>
      <c r="AS33" s="8">
        <v>-8.654498846692913</v>
      </c>
      <c r="AT33" s="8">
        <v>-8.657271541212795</v>
      </c>
    </row>
    <row r="34" spans="1:46">
      <c r="A34" s="7">
        <v>36.1</v>
      </c>
      <c r="B34" s="8">
        <v>-8.370474302509171</v>
      </c>
      <c r="C34" s="8">
        <v>-8.381991205949825</v>
      </c>
      <c r="D34" s="8">
        <v>-8.393312010879562</v>
      </c>
      <c r="E34" s="8">
        <v>-8.404436250222222</v>
      </c>
      <c r="F34" s="8">
        <v>-8.415363468537166</v>
      </c>
      <c r="G34" s="8">
        <v>-8.426093222016544</v>
      </c>
      <c r="H34" s="8">
        <v>-8.436625078480768</v>
      </c>
      <c r="I34" s="8">
        <v>-8.446958617372202</v>
      </c>
      <c r="J34" s="8">
        <v>-8.457093429747081</v>
      </c>
      <c r="K34" s="8">
        <v>-8.467029118265783</v>
      </c>
      <c r="L34" s="8">
        <v>-8.476765297181247</v>
      </c>
      <c r="M34" s="8">
        <v>-8.486301592325832</v>
      </c>
      <c r="N34" s="8">
        <v>-8.495637641096343</v>
      </c>
      <c r="O34" s="8">
        <v>-8.504773092437452</v>
      </c>
      <c r="P34" s="8">
        <v>-8.513707606823505</v>
      </c>
      <c r="Q34" s="8">
        <v>-8.522440856238559</v>
      </c>
      <c r="R34" s="8">
        <v>-8.530972524154917</v>
      </c>
      <c r="S34" s="8">
        <v>-8.539302305510009</v>
      </c>
      <c r="T34" s="8">
        <v>-8.547429906681622</v>
      </c>
      <c r="U34" s="8">
        <v>-8.555355045461678</v>
      </c>
      <c r="V34" s="8">
        <v>-8.563077451028329</v>
      </c>
      <c r="W34" s="8">
        <v>-8.57059686391664</v>
      </c>
      <c r="X34" s="8">
        <v>-8.577913035987612</v>
      </c>
      <c r="Y34" s="8">
        <v>-8.585025730395838</v>
      </c>
      <c r="Z34" s="8">
        <v>-8.591934721555607</v>
      </c>
      <c r="AA34" s="8">
        <v>-8.598639795105564</v>
      </c>
      <c r="AB34" s="8">
        <v>-8.605140747871868</v>
      </c>
      <c r="AC34" s="8">
        <v>-8.61143738783006</v>
      </c>
      <c r="AD34" s="8">
        <v>-8.617529534065424</v>
      </c>
      <c r="AE34" s="8">
        <v>-8.623417016731947</v>
      </c>
      <c r="AF34" s="8">
        <v>-8.629099677010034</v>
      </c>
      <c r="AG34" s="8">
        <v>-8.634577367062752</v>
      </c>
      <c r="AH34" s="8">
        <v>-8.639849949990811</v>
      </c>
      <c r="AI34" s="8">
        <v>-8.644917299786279</v>
      </c>
      <c r="AJ34" s="8">
        <v>-8.649779301284912</v>
      </c>
      <c r="AK34" s="8">
        <v>-8.654435850117368</v>
      </c>
      <c r="AL34" s="8">
        <v>-8.658886852659055</v>
      </c>
      <c r="AM34" s="8">
        <v>-8.663132225978821</v>
      </c>
      <c r="AN34" s="8">
        <v>-8.667171897786455</v>
      </c>
      <c r="AO34" s="8">
        <v>-8.671005806378989</v>
      </c>
      <c r="AP34" s="8">
        <v>-8.674633900585851</v>
      </c>
      <c r="AQ34" s="8">
        <v>-8.678056139712956</v>
      </c>
      <c r="AR34" s="8">
        <v>-8.681272493485524</v>
      </c>
      <c r="AS34" s="8">
        <v>-8.684282941990039</v>
      </c>
      <c r="AT34" s="8">
        <v>-8.687087475614911</v>
      </c>
    </row>
    <row r="35" spans="1:46">
      <c r="A35" s="7">
        <v>36.2</v>
      </c>
      <c r="B35" s="8">
        <v>-8.398722138803263</v>
      </c>
      <c r="C35" s="8">
        <v>-8.410279480912726</v>
      </c>
      <c r="D35" s="8">
        <v>-8.421640477505402</v>
      </c>
      <c r="E35" s="8">
        <v>-8.432804663835952</v>
      </c>
      <c r="F35" s="8">
        <v>-8.443771586768758</v>
      </c>
      <c r="G35" s="8">
        <v>-8.454540804774973</v>
      </c>
      <c r="H35" s="8">
        <v>-8.465111887927733</v>
      </c>
      <c r="I35" s="8">
        <v>-8.475484417895618</v>
      </c>
      <c r="J35" s="8">
        <v>-8.485657987934335</v>
      </c>
      <c r="K35" s="8">
        <v>-8.495632202876768</v>
      </c>
      <c r="L35" s="8">
        <v>-8.505406679121235</v>
      </c>
      <c r="M35" s="8">
        <v>-8.514981044618068</v>
      </c>
      <c r="N35" s="8">
        <v>-8.524354938854559</v>
      </c>
      <c r="O35" s="8">
        <v>-8.533528012838127</v>
      </c>
      <c r="P35" s="8">
        <v>-8.54249992907797</v>
      </c>
      <c r="Q35" s="8">
        <v>-8.551270361565006</v>
      </c>
      <c r="R35" s="8">
        <v>-8.559838995750216</v>
      </c>
      <c r="S35" s="8">
        <v>-8.568205528521402</v>
      </c>
      <c r="T35" s="8">
        <v>-8.576369668178291</v>
      </c>
      <c r="U35" s="8">
        <v>-8.584331134406231</v>
      </c>
      <c r="V35" s="8">
        <v>-8.592089658248174</v>
      </c>
      <c r="W35" s="8">
        <v>-8.599644982075212</v>
      </c>
      <c r="X35" s="8">
        <v>-8.606996859555634</v>
      </c>
      <c r="Y35" s="8">
        <v>-8.614145055622407</v>
      </c>
      <c r="Z35" s="8">
        <v>-8.621089346439266</v>
      </c>
      <c r="AA35" s="8">
        <v>-8.62782951936531</v>
      </c>
      <c r="AB35" s="8">
        <v>-8.634365372918158</v>
      </c>
      <c r="AC35" s="8">
        <v>-8.640696716735741</v>
      </c>
      <c r="AD35" s="8">
        <v>-8.646823371536641</v>
      </c>
      <c r="AE35" s="8">
        <v>-8.652745169079086</v>
      </c>
      <c r="AF35" s="8">
        <v>-8.6584619521186</v>
      </c>
      <c r="AG35" s="8">
        <v>-8.663973574364324</v>
      </c>
      <c r="AH35" s="8">
        <v>-8.669279900433965</v>
      </c>
      <c r="AI35" s="8">
        <v>-8.674380805807537</v>
      </c>
      <c r="AJ35" s="8">
        <v>-8.679276176779799</v>
      </c>
      <c r="AK35" s="8">
        <v>-8.683965910411377</v>
      </c>
      <c r="AL35" s="8">
        <v>-8.688449914478808</v>
      </c>
      <c r="AM35" s="8">
        <v>-8.692728107423196</v>
      </c>
      <c r="AN35" s="8">
        <v>-8.69680041829784</v>
      </c>
      <c r="AO35" s="8">
        <v>-8.700666786714585</v>
      </c>
      <c r="AP35" s="8">
        <v>-8.704327162789101</v>
      </c>
      <c r="AQ35" s="8">
        <v>-8.70778150708497</v>
      </c>
      <c r="AR35" s="8">
        <v>-8.71102979055679</v>
      </c>
      <c r="AS35" s="8">
        <v>-8.714071994492043</v>
      </c>
      <c r="AT35" s="8">
        <v>-8.716908110452044</v>
      </c>
    </row>
    <row r="36" spans="1:46">
      <c r="A36" s="7">
        <v>36.3</v>
      </c>
      <c r="B36" s="8">
        <v>-8.426984802327668</v>
      </c>
      <c r="C36" s="8">
        <v>-8.438582377692454</v>
      </c>
      <c r="D36" s="8">
        <v>-8.449983358934601</v>
      </c>
      <c r="E36" s="8">
        <v>-8.461187283655669</v>
      </c>
      <c r="F36" s="8">
        <v>-8.472193701041384</v>
      </c>
      <c r="G36" s="8">
        <v>-8.483002171858322</v>
      </c>
      <c r="H36" s="8">
        <v>-8.493612268448915</v>
      </c>
      <c r="I36" s="8">
        <v>-8.504023574724663</v>
      </c>
      <c r="J36" s="8">
        <v>-8.514235686157615</v>
      </c>
      <c r="K36" s="8">
        <v>-8.524248209770159</v>
      </c>
      <c r="L36" s="8">
        <v>-8.53406076412309</v>
      </c>
      <c r="M36" s="8">
        <v>-8.543672979302009</v>
      </c>
      <c r="N36" s="8">
        <v>-8.553084496902061</v>
      </c>
      <c r="O36" s="8">
        <v>-8.562294970010939</v>
      </c>
      <c r="P36" s="8">
        <v>-8.571304063190386</v>
      </c>
      <c r="Q36" s="8">
        <v>-8.580111452455954</v>
      </c>
      <c r="R36" s="8">
        <v>-8.588716825255204</v>
      </c>
      <c r="S36" s="8">
        <v>-8.597119880444348</v>
      </c>
      <c r="T36" s="8">
        <v>-8.605320328263257</v>
      </c>
      <c r="U36" s="8">
        <v>-8.613317890308963</v>
      </c>
      <c r="V36" s="8">
        <v>-8.621112299507606</v>
      </c>
      <c r="W36" s="8">
        <v>-8.628703300084892</v>
      </c>
      <c r="X36" s="8">
        <v>-8.636090647535001</v>
      </c>
      <c r="Y36" s="8">
        <v>-8.643274108588038</v>
      </c>
      <c r="Z36" s="8">
        <v>-8.650253461176071</v>
      </c>
      <c r="AA36" s="8">
        <v>-8.657028494397654</v>
      </c>
      <c r="AB36" s="8">
        <v>-8.663599008480933</v>
      </c>
      <c r="AC36" s="8">
        <v>-8.669964814745443</v>
      </c>
      <c r="AD36" s="8">
        <v>-8.676125735562387</v>
      </c>
      <c r="AE36" s="8">
        <v>-8.682081604313609</v>
      </c>
      <c r="AF36" s="8">
        <v>-8.687832265349329</v>
      </c>
      <c r="AG36" s="8">
        <v>-8.693377573944336</v>
      </c>
      <c r="AH36" s="8">
        <v>-8.698717396253054</v>
      </c>
      <c r="AI36" s="8">
        <v>-8.703851609263277</v>
      </c>
      <c r="AJ36" s="8">
        <v>-8.708780100748591</v>
      </c>
      <c r="AK36" s="8">
        <v>-8.713502769219676</v>
      </c>
      <c r="AL36" s="8">
        <v>-8.718019523874199</v>
      </c>
      <c r="AM36" s="8">
        <v>-8.72233028454575</v>
      </c>
      <c r="AN36" s="8">
        <v>-8.726434981651353</v>
      </c>
      <c r="AO36" s="8">
        <v>-8.730333556138</v>
      </c>
      <c r="AP36" s="8">
        <v>-8.734025959427987</v>
      </c>
      <c r="AQ36" s="8">
        <v>-8.737512153363127</v>
      </c>
      <c r="AR36" s="8">
        <v>-8.740792110147863</v>
      </c>
      <c r="AS36" s="8">
        <v>-8.743865812291391</v>
      </c>
      <c r="AT36" s="8">
        <v>-8.746733252548584</v>
      </c>
    </row>
    <row r="37" spans="1:46">
      <c r="A37" s="7">
        <v>36.4</v>
      </c>
      <c r="B37" s="8">
        <v>-8.455262159188056</v>
      </c>
      <c r="C37" s="8">
        <v>-8.466899761008982</v>
      </c>
      <c r="D37" s="8">
        <v>-8.478340518503868</v>
      </c>
      <c r="E37" s="8">
        <v>-8.48958397163743</v>
      </c>
      <c r="F37" s="8">
        <v>-8.500629671933025</v>
      </c>
      <c r="G37" s="8">
        <v>-8.51147718246914</v>
      </c>
      <c r="H37" s="8">
        <v>-8.52212607787412</v>
      </c>
      <c r="I37" s="8">
        <v>-8.53257594431914</v>
      </c>
      <c r="J37" s="8">
        <v>-8.542826379509451</v>
      </c>
      <c r="K37" s="8">
        <v>-8.552876992673978</v>
      </c>
      <c r="L37" s="8">
        <v>-8.562727404553188</v>
      </c>
      <c r="M37" s="8">
        <v>-8.572377247385225</v>
      </c>
      <c r="N37" s="8">
        <v>-8.581826164890495</v>
      </c>
      <c r="O37" s="8">
        <v>-8.591073812254574</v>
      </c>
      <c r="P37" s="8">
        <v>-8.600119856109385</v>
      </c>
      <c r="Q37" s="8">
        <v>-8.608963974512941</v>
      </c>
      <c r="R37" s="8">
        <v>-8.617605856927335</v>
      </c>
      <c r="S37" s="8">
        <v>-8.62604520419525</v>
      </c>
      <c r="T37" s="8">
        <v>-8.634281728514878</v>
      </c>
      <c r="U37" s="8">
        <v>-8.642315153413254</v>
      </c>
      <c r="V37" s="8">
        <v>-8.650145213718151</v>
      </c>
      <c r="W37" s="8">
        <v>-8.657771655528407</v>
      </c>
      <c r="X37" s="8">
        <v>-8.665194236182755</v>
      </c>
      <c r="Y37" s="8">
        <v>-8.672412724227238</v>
      </c>
      <c r="Z37" s="8">
        <v>-8.679426899381127</v>
      </c>
      <c r="AA37" s="8">
        <v>-8.686236552501414</v>
      </c>
      <c r="AB37" s="8">
        <v>-8.692841485545932</v>
      </c>
      <c r="AC37" s="8">
        <v>-8.699241511534966</v>
      </c>
      <c r="AD37" s="8">
        <v>-8.705436454511693</v>
      </c>
      <c r="AE37" s="8">
        <v>-8.711426149501023</v>
      </c>
      <c r="AF37" s="8">
        <v>-8.717210442467328</v>
      </c>
      <c r="AG37" s="8">
        <v>-8.722789190270687</v>
      </c>
      <c r="AH37" s="8">
        <v>-8.728162260621964</v>
      </c>
      <c r="AI37" s="8">
        <v>-8.733329532036514</v>
      </c>
      <c r="AJ37" s="8">
        <v>-8.738290893786722</v>
      </c>
      <c r="AK37" s="8">
        <v>-8.743046245853208</v>
      </c>
      <c r="AL37" s="8">
        <v>-8.747595498874933</v>
      </c>
      <c r="AM37" s="8">
        <v>-8.75193857409807</v>
      </c>
      <c r="AN37" s="8">
        <v>-8.756075403323639</v>
      </c>
      <c r="AO37" s="8">
        <v>-8.760005928854108</v>
      </c>
      <c r="AP37" s="8">
        <v>-8.76373010343881</v>
      </c>
      <c r="AQ37" s="8">
        <v>-8.767247890218213</v>
      </c>
      <c r="AR37" s="8">
        <v>-8.77055926266724</v>
      </c>
      <c r="AS37" s="8">
        <v>-8.773664204537328</v>
      </c>
      <c r="AT37" s="8">
        <v>-8.776562709797656</v>
      </c>
    </row>
    <row r="38" spans="1:46">
      <c r="A38" s="7">
        <v>36.5</v>
      </c>
      <c r="B38" s="8">
        <v>-8.483554076051446</v>
      </c>
      <c r="C38" s="8">
        <v>-8.495231496155075</v>
      </c>
      <c r="D38" s="8">
        <v>-8.506711820134285</v>
      </c>
      <c r="E38" s="8">
        <v>-8.517994590333156</v>
      </c>
      <c r="F38" s="8">
        <v>-8.52907936062906</v>
      </c>
      <c r="G38" s="8">
        <v>-8.539965696428906</v>
      </c>
      <c r="H38" s="8">
        <v>-8.550653174663614</v>
      </c>
      <c r="I38" s="8">
        <v>-8.561141383780816</v>
      </c>
      <c r="J38" s="8">
        <v>-8.57142992373592</v>
      </c>
      <c r="K38" s="8">
        <v>-8.581518405981445</v>
      </c>
      <c r="L38" s="8">
        <v>-8.591406453454679</v>
      </c>
      <c r="M38" s="8">
        <v>-8.601093700563666</v>
      </c>
      <c r="N38" s="8">
        <v>-8.61057979317156</v>
      </c>
      <c r="O38" s="8">
        <v>-8.619864388579336</v>
      </c>
      <c r="P38" s="8">
        <v>-8.628947155506886</v>
      </c>
      <c r="Q38" s="8">
        <v>-8.637827774072472</v>
      </c>
      <c r="R38" s="8">
        <v>-8.646505935770721</v>
      </c>
      <c r="S38" s="8">
        <v>-8.654981343448862</v>
      </c>
      <c r="T38" s="8">
        <v>-8.663253711281598</v>
      </c>
      <c r="U38" s="8">
        <v>-8.671322764744328</v>
      </c>
      <c r="V38" s="8">
        <v>-8.67918824058488</v>
      </c>
      <c r="W38" s="8">
        <v>-8.686849886793787</v>
      </c>
      <c r="X38" s="8">
        <v>-8.69430746257304</v>
      </c>
      <c r="Y38" s="8">
        <v>-8.701560738303389</v>
      </c>
      <c r="Z38" s="8">
        <v>-8.708609495510213</v>
      </c>
      <c r="AA38" s="8">
        <v>-8.715453526827964</v>
      </c>
      <c r="AB38" s="8">
        <v>-8.722092635963222</v>
      </c>
      <c r="AC38" s="8">
        <v>-8.728526637656332</v>
      </c>
      <c r="AD38" s="8">
        <v>-8.734755357641687</v>
      </c>
      <c r="AE38" s="8">
        <v>-8.740778632606741</v>
      </c>
      <c r="AF38" s="8">
        <v>-8.746596310149505</v>
      </c>
      <c r="AG38" s="8">
        <v>-8.752208248735005</v>
      </c>
      <c r="AH38" s="8">
        <v>-8.757614317650249</v>
      </c>
      <c r="AI38" s="8">
        <v>-8.762814396957964</v>
      </c>
      <c r="AJ38" s="8">
        <v>-8.767808377449168</v>
      </c>
      <c r="AK38" s="8">
        <v>-8.772596160594498</v>
      </c>
      <c r="AL38" s="8">
        <v>-8.777177658494237</v>
      </c>
      <c r="AM38" s="8">
        <v>-8.7815527938273</v>
      </c>
      <c r="AN38" s="8">
        <v>-8.785721499798951</v>
      </c>
      <c r="AO38" s="8">
        <v>-8.789683720087439</v>
      </c>
      <c r="AP38" s="8">
        <v>-8.793439408789508</v>
      </c>
      <c r="AQ38" s="8">
        <v>-8.796988530364793</v>
      </c>
      <c r="AR38" s="8">
        <v>-8.800331059579166</v>
      </c>
      <c r="AS38" s="8">
        <v>-8.803466981446975</v>
      </c>
      <c r="AT38" s="8">
        <v>-8.806396291172357</v>
      </c>
    </row>
    <row r="39" spans="1:46">
      <c r="A39" s="7">
        <v>36.6</v>
      </c>
      <c r="B39" s="8">
        <v>-8.511860420149382</v>
      </c>
      <c r="C39" s="8">
        <v>-8.52357744899971</v>
      </c>
      <c r="D39" s="8">
        <v>-8.535097128334801</v>
      </c>
      <c r="E39" s="8">
        <v>-8.546419002894343</v>
      </c>
      <c r="F39" s="8">
        <v>-8.557542628926161</v>
      </c>
      <c r="G39" s="8">
        <v>-8.568467574182149</v>
      </c>
      <c r="H39" s="8">
        <v>-8.579193417912474</v>
      </c>
      <c r="I39" s="8">
        <v>-8.589719750858075</v>
      </c>
      <c r="J39" s="8">
        <v>-8.600046175241459</v>
      </c>
      <c r="K39" s="8">
        <v>-8.610172304755842</v>
      </c>
      <c r="L39" s="8">
        <v>-8.620097764552591</v>
      </c>
      <c r="M39" s="8">
        <v>-8.629822191226982</v>
      </c>
      <c r="N39" s="8">
        <v>-8.639345232802413</v>
      </c>
      <c r="O39" s="8">
        <v>-8.648666548712887</v>
      </c>
      <c r="P39" s="8">
        <v>-8.657785809783974</v>
      </c>
      <c r="Q39" s="8">
        <v>-8.666702698212108</v>
      </c>
      <c r="R39" s="8">
        <v>-8.675416907542376</v>
      </c>
      <c r="S39" s="8">
        <v>-8.683928142644707</v>
      </c>
      <c r="T39" s="8">
        <v>-8.692236119688541</v>
      </c>
      <c r="U39" s="8">
        <v>-8.700340566115981</v>
      </c>
      <c r="V39" s="8">
        <v>-8.708241220613377</v>
      </c>
      <c r="W39" s="8">
        <v>-8.715937833081552</v>
      </c>
      <c r="X39" s="8">
        <v>-8.72343016460443</v>
      </c>
      <c r="Y39" s="8">
        <v>-8.730717987416272</v>
      </c>
      <c r="Z39" s="8">
        <v>-8.737801084867472</v>
      </c>
      <c r="AA39" s="8">
        <v>-8.744679251388991</v>
      </c>
      <c r="AB39" s="8">
        <v>-8.751352292455275</v>
      </c>
      <c r="AC39" s="8">
        <v>-8.757820024545932</v>
      </c>
      <c r="AD39" s="8">
        <v>-8.764082275105952</v>
      </c>
      <c r="AE39" s="8">
        <v>-8.77013888250468</v>
      </c>
      <c r="AF39" s="8">
        <v>-8.775989695993388</v>
      </c>
      <c r="AG39" s="8">
        <v>-8.781634575661624</v>
      </c>
      <c r="AH39" s="8">
        <v>-8.787073392392228</v>
      </c>
      <c r="AI39" s="8">
        <v>-8.792306027815153</v>
      </c>
      <c r="AJ39" s="8">
        <v>-8.797332374259963</v>
      </c>
      <c r="AK39" s="8">
        <v>-8.802152334707259</v>
      </c>
      <c r="AL39" s="8">
        <v>-8.80676582273869</v>
      </c>
      <c r="AM39" s="8">
        <v>-8.811172762486102</v>
      </c>
      <c r="AN39" s="8">
        <v>-8.815373088579216</v>
      </c>
      <c r="AO39" s="8">
        <v>-8.819366746092374</v>
      </c>
      <c r="AP39" s="8">
        <v>-8.82315369049012</v>
      </c>
      <c r="AQ39" s="8">
        <v>-8.826733887571697</v>
      </c>
      <c r="AR39" s="8">
        <v>-8.830107313414469</v>
      </c>
      <c r="AS39" s="8">
        <v>-8.833273954316285</v>
      </c>
      <c r="AT39" s="8">
        <v>-8.836233806736884</v>
      </c>
    </row>
    <row r="40" spans="1:46">
      <c r="A40" s="7">
        <v>36.7</v>
      </c>
      <c r="B40" s="8">
        <v>-8.540181059280918</v>
      </c>
      <c r="C40" s="8">
        <v>-8.551937485991301</v>
      </c>
      <c r="D40" s="8">
        <v>-8.563496308205673</v>
      </c>
      <c r="E40" s="8">
        <v>-8.574857073075709</v>
      </c>
      <c r="F40" s="8">
        <v>-8.586019339236145</v>
      </c>
      <c r="G40" s="8">
        <v>-8.596982676800442</v>
      </c>
      <c r="H40" s="8">
        <v>-8.607746667354739</v>
      </c>
      <c r="I40" s="8">
        <v>-8.618310903950176</v>
      </c>
      <c r="J40" s="8">
        <v>-8.62867499109336</v>
      </c>
      <c r="K40" s="8">
        <v>-8.638838544735334</v>
      </c>
      <c r="L40" s="8">
        <v>-8.648801192258791</v>
      </c>
      <c r="M40" s="8">
        <v>-8.65856257246365</v>
      </c>
      <c r="N40" s="8">
        <v>-8.668122335551077</v>
      </c>
      <c r="O40" s="8">
        <v>-8.67748014310574</v>
      </c>
      <c r="P40" s="8">
        <v>-8.686635668076669</v>
      </c>
      <c r="Q40" s="8">
        <v>-8.69558859475633</v>
      </c>
      <c r="R40" s="8">
        <v>-8.704338618758321</v>
      </c>
      <c r="S40" s="8">
        <v>-8.712885446993404</v>
      </c>
      <c r="T40" s="8">
        <v>-8.721228797644009</v>
      </c>
      <c r="U40" s="8">
        <v>-8.729368400137279</v>
      </c>
      <c r="V40" s="8">
        <v>-8.737303995116617</v>
      </c>
      <c r="W40" s="8">
        <v>-8.745035334411707</v>
      </c>
      <c r="X40" s="8">
        <v>-8.752562181007111</v>
      </c>
      <c r="Y40" s="8">
        <v>-8.759884309009436</v>
      </c>
      <c r="Z40" s="8">
        <v>-8.767001503613031</v>
      </c>
      <c r="AA40" s="8">
        <v>-8.77391356106436</v>
      </c>
      <c r="AB40" s="8">
        <v>-8.780620288624897</v>
      </c>
      <c r="AC40" s="8">
        <v>-8.787121504532728</v>
      </c>
      <c r="AD40" s="8">
        <v>-8.793417037962797</v>
      </c>
      <c r="AE40" s="8">
        <v>-8.79950672898579</v>
      </c>
      <c r="AF40" s="8">
        <v>-8.805390428525735</v>
      </c>
      <c r="AG40" s="8">
        <v>-8.811067998316345</v>
      </c>
      <c r="AH40" s="8">
        <v>-8.816539310856031</v>
      </c>
      <c r="AI40" s="8">
        <v>-8.821804249361735</v>
      </c>
      <c r="AJ40" s="8">
        <v>-8.826862707721492</v>
      </c>
      <c r="AK40" s="8">
        <v>-8.831714590445818</v>
      </c>
      <c r="AL40" s="8">
        <v>-8.836359812617863</v>
      </c>
      <c r="AM40" s="8">
        <v>-8.840798299842472</v>
      </c>
      <c r="AN40" s="8">
        <v>-8.845029988194065</v>
      </c>
      <c r="AO40" s="8">
        <v>-8.849054824163394</v>
      </c>
      <c r="AP40" s="8">
        <v>-8.852872764603159</v>
      </c>
      <c r="AQ40" s="8">
        <v>-8.856483776672659</v>
      </c>
      <c r="AR40" s="8">
        <v>-8.859887837781255</v>
      </c>
      <c r="AS40" s="8">
        <v>-8.863084935530892</v>
      </c>
      <c r="AT40" s="8">
        <v>-8.866075067657539</v>
      </c>
    </row>
    <row r="41" spans="1:46">
      <c r="A41" s="7">
        <v>36.8</v>
      </c>
      <c r="B41" s="8">
        <v>-8.568515861815296</v>
      </c>
      <c r="C41" s="8">
        <v>-8.580311474160496</v>
      </c>
      <c r="D41" s="8">
        <v>-8.591909225441556</v>
      </c>
      <c r="E41" s="8">
        <v>-8.603308665238483</v>
      </c>
      <c r="F41" s="8">
        <v>-8.614509354589428</v>
      </c>
      <c r="G41" s="8">
        <v>-8.625510865986071</v>
      </c>
      <c r="H41" s="8">
        <v>-8.636312783367336</v>
      </c>
      <c r="I41" s="8">
        <v>-8.646914702111424</v>
      </c>
      <c r="J41" s="8">
        <v>-8.657316229026099</v>
      </c>
      <c r="K41" s="8">
        <v>-8.667516982337407</v>
      </c>
      <c r="L41" s="8">
        <v>-8.677516591676657</v>
      </c>
      <c r="M41" s="8">
        <v>-8.687314698065871</v>
      </c>
      <c r="N41" s="8">
        <v>-8.696910953901471</v>
      </c>
      <c r="O41" s="8">
        <v>-8.706305022936526</v>
      </c>
      <c r="P41" s="8">
        <v>-8.715496580261279</v>
      </c>
      <c r="Q41" s="8">
        <v>-8.724485312282207</v>
      </c>
      <c r="R41" s="8">
        <v>-8.733270916699425</v>
      </c>
      <c r="S41" s="8">
        <v>-8.741853102482658</v>
      </c>
      <c r="T41" s="8">
        <v>-8.750231589845622</v>
      </c>
      <c r="U41" s="8">
        <v>-8.758406110218935</v>
      </c>
      <c r="V41" s="8">
        <v>-8.7663764062215</v>
      </c>
      <c r="W41" s="8">
        <v>-8.774142231630504</v>
      </c>
      <c r="X41" s="8">
        <v>-8.781703351349872</v>
      </c>
      <c r="Y41" s="8">
        <v>-8.78905954137737</v>
      </c>
      <c r="Z41" s="8">
        <v>-8.796210588770258</v>
      </c>
      <c r="AA41" s="8">
        <v>-8.803156291609548</v>
      </c>
      <c r="AB41" s="8">
        <v>-8.809896458962861</v>
      </c>
      <c r="AC41" s="8">
        <v>-8.81643091084606</v>
      </c>
      <c r="AD41" s="8">
        <v>-8.822759478183341</v>
      </c>
      <c r="AE41" s="8">
        <v>-8.828882002766186</v>
      </c>
      <c r="AF41" s="8">
        <v>-8.834798337210923</v>
      </c>
      <c r="AG41" s="8">
        <v>-8.840508344915053</v>
      </c>
      <c r="AH41" s="8">
        <v>-8.846011900012266</v>
      </c>
      <c r="AI41" s="8">
        <v>-8.851308887326333</v>
      </c>
      <c r="AJ41" s="8">
        <v>-8.856399202323615</v>
      </c>
      <c r="AK41" s="8">
        <v>-8.861282751064529</v>
      </c>
      <c r="AL41" s="8">
        <v>-8.865959450153779</v>
      </c>
      <c r="AM41" s="8">
        <v>-8.870429226689385</v>
      </c>
      <c r="AN41" s="8">
        <v>-8.874692018210657</v>
      </c>
      <c r="AO41" s="8">
        <v>-8.878747772645012</v>
      </c>
      <c r="AP41" s="8">
        <v>-8.882596448253723</v>
      </c>
      <c r="AQ41" s="8">
        <v>-8.886238013576545</v>
      </c>
      <c r="AR41" s="8">
        <v>-8.889672447375366</v>
      </c>
      <c r="AS41" s="8">
        <v>-8.892899738576743</v>
      </c>
      <c r="AT41" s="8">
        <v>-8.895919886213553</v>
      </c>
    </row>
    <row r="42" spans="1:46">
      <c r="A42" s="7">
        <v>36.9</v>
      </c>
      <c r="B42" s="8">
        <v>-8.596864696694549</v>
      </c>
      <c r="C42" s="8">
        <v>-8.608699281123037</v>
      </c>
      <c r="D42" s="8">
        <v>-8.620335746334426</v>
      </c>
      <c r="E42" s="8">
        <v>-8.63177364435351</v>
      </c>
      <c r="F42" s="8">
        <v>-8.643012538638382</v>
      </c>
      <c r="G42" s="8">
        <v>-8.654052004075638</v>
      </c>
      <c r="H42" s="8">
        <v>-8.664891626973796</v>
      </c>
      <c r="I42" s="8">
        <v>-8.675531005055076</v>
      </c>
      <c r="J42" s="8">
        <v>-8.685969747445473</v>
      </c>
      <c r="K42" s="8">
        <v>-8.696207474663233</v>
      </c>
      <c r="L42" s="8">
        <v>-8.706243818605657</v>
      </c>
      <c r="M42" s="8">
        <v>-8.716078422534267</v>
      </c>
      <c r="N42" s="8">
        <v>-8.725710941058377</v>
      </c>
      <c r="O42" s="8">
        <v>-8.735141040117137</v>
      </c>
      <c r="P42" s="8">
        <v>-8.744368396959846</v>
      </c>
      <c r="Q42" s="8">
        <v>-8.753392700124907</v>
      </c>
      <c r="R42" s="8">
        <v>-8.762213649417049</v>
      </c>
      <c r="S42" s="8">
        <v>-8.770830955883154</v>
      </c>
      <c r="T42" s="8">
        <v>-8.779244341786502</v>
      </c>
      <c r="U42" s="8">
        <v>-8.787453540579589</v>
      </c>
      <c r="V42" s="8">
        <v>-8.795458296875356</v>
      </c>
      <c r="W42" s="8">
        <v>-8.803258366417106</v>
      </c>
      <c r="X42" s="8">
        <v>-8.810853516046894</v>
      </c>
      <c r="Y42" s="8">
        <v>-8.818243523672496</v>
      </c>
      <c r="Z42" s="8">
        <v>-8.825428178233002</v>
      </c>
      <c r="AA42" s="8">
        <v>-8.832407279663038</v>
      </c>
      <c r="AB42" s="8">
        <v>-8.839180638855563</v>
      </c>
      <c r="AC42" s="8">
        <v>-8.845748077623419</v>
      </c>
      <c r="AD42" s="8">
        <v>-8.852109428659439</v>
      </c>
      <c r="AE42" s="8">
        <v>-8.858264535495344</v>
      </c>
      <c r="AF42" s="8">
        <v>-8.864213252459294</v>
      </c>
      <c r="AG42" s="8">
        <v>-8.869955444632197</v>
      </c>
      <c r="AH42" s="8">
        <v>-8.875490987802788</v>
      </c>
      <c r="AI42" s="8">
        <v>-8.880819768421404</v>
      </c>
      <c r="AJ42" s="8">
        <v>-8.88594168355268</v>
      </c>
      <c r="AK42" s="8">
        <v>-8.890856640826907</v>
      </c>
      <c r="AL42" s="8">
        <v>-8.895564558390353</v>
      </c>
      <c r="AM42" s="8">
        <v>-8.900065364854365</v>
      </c>
      <c r="AN42" s="8">
        <v>-8.904358999243364</v>
      </c>
      <c r="AO42" s="8">
        <v>-8.908445410941725</v>
      </c>
      <c r="AP42" s="8">
        <v>-8.912324559639611</v>
      </c>
      <c r="AQ42" s="8">
        <v>-8.91599641527767</v>
      </c>
      <c r="AR42" s="8">
        <v>-8.919460957990797</v>
      </c>
      <c r="AS42" s="8">
        <v>-8.922718178050756</v>
      </c>
      <c r="AT42" s="8">
        <v>-8.925768075807893</v>
      </c>
    </row>
    <row r="43" spans="1:46">
      <c r="A43" s="7">
        <v>37</v>
      </c>
      <c r="B43" s="8">
        <v>-8.625227433435716</v>
      </c>
      <c r="C43" s="8">
        <v>-8.637100775082157</v>
      </c>
      <c r="D43" s="8">
        <v>-8.648775737776317</v>
      </c>
      <c r="E43" s="8">
        <v>-8.660251876004191</v>
      </c>
      <c r="F43" s="8">
        <v>-8.671528755660455</v>
      </c>
      <c r="G43" s="8">
        <v>-8.682605954043327</v>
      </c>
      <c r="H43" s="8">
        <v>-8.693483059847793</v>
      </c>
      <c r="I43" s="8">
        <v>-8.70415967315707</v>
      </c>
      <c r="J43" s="8">
        <v>-8.714635405432512</v>
      </c>
      <c r="K43" s="8">
        <v>-8.724909879501821</v>
      </c>
      <c r="L43" s="8">
        <v>-8.734982729545612</v>
      </c>
      <c r="M43" s="8">
        <v>-8.744853601082429</v>
      </c>
      <c r="N43" s="8">
        <v>-8.754522150952113</v>
      </c>
      <c r="O43" s="8">
        <v>-8.763988047297586</v>
      </c>
      <c r="P43" s="8">
        <v>-8.773250969545124</v>
      </c>
      <c r="Q43" s="8">
        <v>-8.782310608382986</v>
      </c>
      <c r="R43" s="8">
        <v>-8.791166665738613</v>
      </c>
      <c r="S43" s="8">
        <v>-8.799818854754253</v>
      </c>
      <c r="T43" s="8">
        <v>-8.808266899761094</v>
      </c>
      <c r="U43" s="8">
        <v>-8.816510536251872</v>
      </c>
      <c r="V43" s="8">
        <v>-8.824549510852183</v>
      </c>
      <c r="W43" s="8">
        <v>-8.83238358129007</v>
      </c>
      <c r="X43" s="8">
        <v>-8.840012516364455</v>
      </c>
      <c r="Y43" s="8">
        <v>-8.847436095912004</v>
      </c>
      <c r="Z43" s="8">
        <v>-8.854654110772614</v>
      </c>
      <c r="AA43" s="8">
        <v>-8.861666362753581</v>
      </c>
      <c r="AB43" s="8">
        <v>-8.868472664592364</v>
      </c>
      <c r="AC43" s="8">
        <v>-8.875072839918058</v>
      </c>
      <c r="AD43" s="8">
        <v>-8.881466723211467</v>
      </c>
      <c r="AE43" s="8">
        <v>-8.887654159764013</v>
      </c>
      <c r="AF43" s="8">
        <v>-8.89363500563524</v>
      </c>
      <c r="AG43" s="8">
        <v>-8.899409127609124</v>
      </c>
      <c r="AH43" s="8">
        <v>-8.904976403149094</v>
      </c>
      <c r="AI43" s="8">
        <v>-8.910336720351925</v>
      </c>
      <c r="AJ43" s="8">
        <v>-8.915489977900394</v>
      </c>
      <c r="AK43" s="8">
        <v>-8.920436085014622</v>
      </c>
      <c r="AL43" s="8">
        <v>-8.925174961402526</v>
      </c>
      <c r="AM43" s="8">
        <v>-8.929706537208865</v>
      </c>
      <c r="AN43" s="8">
        <v>-8.934030752963389</v>
      </c>
      <c r="AO43" s="8">
        <v>-8.938147559527705</v>
      </c>
      <c r="AP43" s="8">
        <v>-8.9420569180412</v>
      </c>
      <c r="AQ43" s="8">
        <v>-8.945758799865846</v>
      </c>
      <c r="AR43" s="8">
        <v>-8.949253186530004</v>
      </c>
      <c r="AS43" s="8">
        <v>-8.952540069671171</v>
      </c>
      <c r="AT43" s="8">
        <v>-8.955619450977787</v>
      </c>
    </row>
    <row r="44" spans="1:46">
      <c r="A44" s="7">
        <v>37.1</v>
      </c>
      <c r="B44" s="8">
        <v>-8.653603942132957</v>
      </c>
      <c r="C44" s="8">
        <v>-8.665515824830957</v>
      </c>
      <c r="D44" s="8">
        <v>-8.677229067261798</v>
      </c>
      <c r="E44" s="8">
        <v>-8.688743226389217</v>
      </c>
      <c r="F44" s="8">
        <v>-8.700057870561098</v>
      </c>
      <c r="G44" s="8">
        <v>-8.711172579504078</v>
      </c>
      <c r="H44" s="8">
        <v>-8.722086944316478</v>
      </c>
      <c r="I44" s="8">
        <v>-8.732800567459575</v>
      </c>
      <c r="J44" s="8">
        <v>-8.743313062747236</v>
      </c>
      <c r="K44" s="8">
        <v>-8.753624055333866</v>
      </c>
      <c r="L44" s="8">
        <v>-8.763733181700848</v>
      </c>
      <c r="M44" s="8">
        <v>-8.773640089641249</v>
      </c>
      <c r="N44" s="8">
        <v>-8.783344438243091</v>
      </c>
      <c r="O44" s="8">
        <v>-8.792845897870851</v>
      </c>
      <c r="P44" s="8">
        <v>-8.802144150145613</v>
      </c>
      <c r="Q44" s="8">
        <v>-8.811238887923544</v>
      </c>
      <c r="R44" s="8">
        <v>-8.820129815272898</v>
      </c>
      <c r="S44" s="8">
        <v>-8.828816647449527</v>
      </c>
      <c r="T44" s="8">
        <v>-8.837299110870827</v>
      </c>
      <c r="U44" s="8">
        <v>-8.845576943088341</v>
      </c>
      <c r="V44" s="8">
        <v>-8.853649892758753</v>
      </c>
      <c r="W44" s="8">
        <v>-8.86151771961358</v>
      </c>
      <c r="X44" s="8">
        <v>-8.869180194427388</v>
      </c>
      <c r="Y44" s="8">
        <v>-8.87663709898457</v>
      </c>
      <c r="Z44" s="8">
        <v>-8.883888226044837</v>
      </c>
      <c r="AA44" s="8">
        <v>-8.890933379307222</v>
      </c>
      <c r="AB44" s="8">
        <v>-8.897772373372858</v>
      </c>
      <c r="AC44" s="8">
        <v>-8.904405033706352</v>
      </c>
      <c r="AD44" s="8">
        <v>-8.910831196595904</v>
      </c>
      <c r="AE44" s="8">
        <v>-8.917050709112049</v>
      </c>
      <c r="AF44" s="8">
        <v>-8.923063429065268</v>
      </c>
      <c r="AG44" s="8">
        <v>-8.928869224962199</v>
      </c>
      <c r="AH44" s="8">
        <v>-8.93446797596077</v>
      </c>
      <c r="AI44" s="8">
        <v>-8.939859571823968</v>
      </c>
      <c r="AJ44" s="8">
        <v>-8.945043912872547</v>
      </c>
      <c r="AK44" s="8">
        <v>-8.950020909936489</v>
      </c>
      <c r="AL44" s="8">
        <v>-8.954790484305375</v>
      </c>
      <c r="AM44" s="8">
        <v>-8.959352567677522</v>
      </c>
      <c r="AN44" s="8">
        <v>-8.963707102108177</v>
      </c>
      <c r="AO44" s="8">
        <v>-8.967854039956444</v>
      </c>
      <c r="AP44" s="8">
        <v>-8.971793343831285</v>
      </c>
      <c r="AQ44" s="8">
        <v>-8.97552498653638</v>
      </c>
      <c r="AR44" s="8">
        <v>-8.979048951014025</v>
      </c>
      <c r="AS44" s="8">
        <v>-8.982365230287959</v>
      </c>
      <c r="AT44" s="8">
        <v>-8.985473827405308</v>
      </c>
    </row>
    <row r="45" spans="1:46">
      <c r="A45" s="7">
        <v>37.2</v>
      </c>
      <c r="B45" s="8">
        <v>-8.681994093459439</v>
      </c>
      <c r="C45" s="8">
        <v>-8.693944299754408</v>
      </c>
      <c r="D45" s="8">
        <v>-8.705695602890243</v>
      </c>
      <c r="E45" s="8">
        <v>-8.717247562324991</v>
      </c>
      <c r="F45" s="8">
        <v>-8.728599748876416</v>
      </c>
      <c r="G45" s="8">
        <v>-8.739751744716401</v>
      </c>
      <c r="H45" s="8">
        <v>-8.750703143363554</v>
      </c>
      <c r="I45" s="8">
        <v>-8.761453549674274</v>
      </c>
      <c r="J45" s="8">
        <v>-8.772002579832119</v>
      </c>
      <c r="K45" s="8">
        <v>-8.782349861335558</v>
      </c>
      <c r="L45" s="8">
        <v>-8.792495032984137</v>
      </c>
      <c r="M45" s="8">
        <v>-8.802437744863054</v>
      </c>
      <c r="N45" s="8">
        <v>-8.812177658326135</v>
      </c>
      <c r="O45" s="8">
        <v>-8.821714445977253</v>
      </c>
      <c r="P45" s="8">
        <v>-8.831047791650212</v>
      </c>
      <c r="Q45" s="8">
        <v>-8.840177390387099</v>
      </c>
      <c r="R45" s="8">
        <v>-8.849102948415156</v>
      </c>
      <c r="S45" s="8">
        <v>-8.857824183122055</v>
      </c>
      <c r="T45" s="8">
        <v>-8.866340823029798</v>
      </c>
      <c r="U45" s="8">
        <v>-8.874652607767157</v>
      </c>
      <c r="V45" s="8">
        <v>-8.882759288040546</v>
      </c>
      <c r="W45" s="8">
        <v>-8.890660625603612</v>
      </c>
      <c r="X45" s="8">
        <v>-8.898356393225342</v>
      </c>
      <c r="Y45" s="8">
        <v>-8.905846374656791</v>
      </c>
      <c r="Z45" s="8">
        <v>-8.913130364596421</v>
      </c>
      <c r="AA45" s="8">
        <v>-8.920208168654142</v>
      </c>
      <c r="AB45" s="8">
        <v>-8.92707960331391</v>
      </c>
      <c r="AC45" s="8">
        <v>-8.933744495895169</v>
      </c>
      <c r="AD45" s="8">
        <v>-8.940202684512816</v>
      </c>
      <c r="AE45" s="8">
        <v>-8.946454018036015</v>
      </c>
      <c r="AF45" s="8">
        <v>-8.952498356045712</v>
      </c>
      <c r="AG45" s="8">
        <v>-8.958335568790892</v>
      </c>
      <c r="AH45" s="8">
        <v>-8.96396553714364</v>
      </c>
      <c r="AI45" s="8">
        <v>-8.969388152552987</v>
      </c>
      <c r="AJ45" s="8">
        <v>-8.974603316997575</v>
      </c>
      <c r="AK45" s="8">
        <v>-8.97961094293718</v>
      </c>
      <c r="AL45" s="8">
        <v>-8.984410953263083</v>
      </c>
      <c r="AM45" s="8">
        <v>-8.989003281247301</v>
      </c>
      <c r="AN45" s="8">
        <v>-8.993387870490736</v>
      </c>
      <c r="AO45" s="8">
        <v>-8.997564674870265</v>
      </c>
      <c r="AP45" s="8">
        <v>-9.001533658484728</v>
      </c>
      <c r="AQ45" s="8">
        <v>-9.005294795599905</v>
      </c>
      <c r="AR45" s="8">
        <v>-9.008848070592485</v>
      </c>
      <c r="AS45" s="8">
        <v>-9.012193477892968</v>
      </c>
      <c r="AT45" s="8">
        <v>-9.015331021927699</v>
      </c>
    </row>
    <row r="46" spans="1:46">
      <c r="A46" s="7">
        <v>37.3</v>
      </c>
      <c r="B46" s="8">
        <v>-8.710397758668954</v>
      </c>
      <c r="C46" s="8">
        <v>-8.722386069831266</v>
      </c>
      <c r="D46" s="8">
        <v>-8.73417521336796</v>
      </c>
      <c r="E46" s="8">
        <v>-8.745764751247975</v>
      </c>
      <c r="F46" s="8">
        <v>-8.757154256775731</v>
      </c>
      <c r="G46" s="8">
        <v>-8.768343314585177</v>
      </c>
      <c r="H46" s="8">
        <v>-8.779331520632228</v>
      </c>
      <c r="I46" s="8">
        <v>-8.790118482185507</v>
      </c>
      <c r="J46" s="8">
        <v>-8.800703817815494</v>
      </c>
      <c r="K46" s="8">
        <v>-8.811087157382071</v>
      </c>
      <c r="L46" s="8">
        <v>-8.82126814202045</v>
      </c>
      <c r="M46" s="8">
        <v>-8.831246424125519</v>
      </c>
      <c r="N46" s="8">
        <v>-8.84102166733466</v>
      </c>
      <c r="O46" s="8">
        <v>-8.850593546508938</v>
      </c>
      <c r="P46" s="8">
        <v>-8.859961747712832</v>
      </c>
      <c r="Q46" s="8">
        <v>-8.869125968192439</v>
      </c>
      <c r="R46" s="8">
        <v>-8.878085916352084</v>
      </c>
      <c r="S46" s="8">
        <v>-8.886841311729599</v>
      </c>
      <c r="T46" s="8">
        <v>-8.895391884969984</v>
      </c>
      <c r="U46" s="8">
        <v>-8.903737377797679</v>
      </c>
      <c r="V46" s="8">
        <v>-8.911877542987481</v>
      </c>
      <c r="W46" s="8">
        <v>-8.91981214433385</v>
      </c>
      <c r="X46" s="8">
        <v>-8.927540956619019</v>
      </c>
      <c r="Y46" s="8">
        <v>-8.935063765579565</v>
      </c>
      <c r="Z46" s="8">
        <v>-8.942380367871772</v>
      </c>
      <c r="AA46" s="8">
        <v>-8.949490571035458</v>
      </c>
      <c r="AB46" s="8">
        <v>-8.95639419345666</v>
      </c>
      <c r="AC46" s="8">
        <v>-8.963091064328886</v>
      </c>
      <c r="AD46" s="8">
        <v>-8.969581023613156</v>
      </c>
      <c r="AE46" s="8">
        <v>-8.975863921996719</v>
      </c>
      <c r="AF46" s="8">
        <v>-8.981939620850548</v>
      </c>
      <c r="AG46" s="8">
        <v>-8.987807992185607</v>
      </c>
      <c r="AH46" s="8">
        <v>-8.993468918607856</v>
      </c>
      <c r="AI46" s="8">
        <v>-8.998922293272186</v>
      </c>
      <c r="AJ46" s="8">
        <v>-9.004168019835003</v>
      </c>
      <c r="AK46" s="8">
        <v>-9.009206012405841</v>
      </c>
      <c r="AL46" s="8">
        <v>-9.014036195497736</v>
      </c>
      <c r="AM46" s="8">
        <v>-9.018658503976466</v>
      </c>
      <c r="AN46" s="8">
        <v>-9.023072883008806</v>
      </c>
      <c r="AO46" s="8">
        <v>-9.027279288009641</v>
      </c>
      <c r="AP46" s="8">
        <v>-9.031277684588</v>
      </c>
      <c r="AQ46" s="8">
        <v>-9.035068048492144</v>
      </c>
      <c r="AR46" s="8">
        <v>-9.038650365553559</v>
      </c>
      <c r="AS46" s="8">
        <v>-9.042024631630031</v>
      </c>
      <c r="AT46" s="8">
        <v>-9.045190852547695</v>
      </c>
    </row>
    <row r="47" spans="1:46">
      <c r="A47" s="7">
        <v>37.4</v>
      </c>
      <c r="B47" s="8">
        <v>-8.738814809597359</v>
      </c>
      <c r="C47" s="8">
        <v>-8.750841005635673</v>
      </c>
      <c r="D47" s="8">
        <v>-8.76266776800996</v>
      </c>
      <c r="E47" s="8">
        <v>-8.774294661216715</v>
      </c>
      <c r="F47" s="8">
        <v>-8.785721261063774</v>
      </c>
      <c r="G47" s="8">
        <v>-8.796947154664087</v>
      </c>
      <c r="H47" s="8">
        <v>-8.807971940427871</v>
      </c>
      <c r="I47" s="8">
        <v>-8.818795228053149</v>
      </c>
      <c r="J47" s="8">
        <v>-8.829416638514592</v>
      </c>
      <c r="K47" s="8">
        <v>-8.839835804050896</v>
      </c>
      <c r="L47" s="8">
        <v>-8.850052368150426</v>
      </c>
      <c r="M47" s="8">
        <v>-8.860065985535428</v>
      </c>
      <c r="N47" s="8">
        <v>-8.869876322144549</v>
      </c>
      <c r="O47" s="8">
        <v>-8.879483055113941</v>
      </c>
      <c r="P47" s="8">
        <v>-8.888885872756722</v>
      </c>
      <c r="Q47" s="8">
        <v>-8.898084474541038</v>
      </c>
      <c r="R47" s="8">
        <v>-8.907078571066567</v>
      </c>
      <c r="S47" s="8">
        <v>-8.91586788403956</v>
      </c>
      <c r="T47" s="8">
        <v>-8.924452146246407</v>
      </c>
      <c r="U47" s="8">
        <v>-8.932831101525812</v>
      </c>
      <c r="V47" s="8">
        <v>-8.941004504739494</v>
      </c>
      <c r="W47" s="8">
        <v>-8.948972121741475</v>
      </c>
      <c r="X47" s="8">
        <v>-8.956733729346047</v>
      </c>
      <c r="Y47" s="8">
        <v>-8.964289115294266</v>
      </c>
      <c r="Z47" s="8">
        <v>-8.97163807821919</v>
      </c>
      <c r="AA47" s="8">
        <v>-8.978780427609726</v>
      </c>
      <c r="AB47" s="8">
        <v>-8.985715983773147</v>
      </c>
      <c r="AC47" s="8">
        <v>-8.992444577796359</v>
      </c>
      <c r="AD47" s="8">
        <v>-8.998966051505889</v>
      </c>
      <c r="AE47" s="8">
        <v>-9.005280257426518</v>
      </c>
      <c r="AF47" s="8">
        <v>-9.011387058738823</v>
      </c>
      <c r="AG47" s="8">
        <v>-9.017286329235365</v>
      </c>
      <c r="AH47" s="8">
        <v>-9.022977953275772</v>
      </c>
      <c r="AI47" s="8">
        <v>-9.028461825740523</v>
      </c>
      <c r="AJ47" s="8">
        <v>-9.033737851983711</v>
      </c>
      <c r="AK47" s="8">
        <v>-9.03880594778458</v>
      </c>
      <c r="AL47" s="8">
        <v>-9.043666039297925</v>
      </c>
      <c r="AM47" s="8">
        <v>-9.048318063003418</v>
      </c>
      <c r="AN47" s="8">
        <v>-9.052761965653886</v>
      </c>
      <c r="AO47" s="8">
        <v>-9.056997704222418</v>
      </c>
      <c r="AP47" s="8">
        <v>-9.061025245848562</v>
      </c>
      <c r="AQ47" s="8">
        <v>-9.064844567783402</v>
      </c>
      <c r="AR47" s="8">
        <v>-9.068455657333681</v>
      </c>
      <c r="AS47" s="8">
        <v>-9.071858511804919</v>
      </c>
      <c r="AT47" s="8">
        <v>-9.075053138443581</v>
      </c>
    </row>
    <row r="48" spans="1:46">
      <c r="A48" s="7">
        <v>37.5</v>
      </c>
      <c r="B48" s="8">
        <v>-8.767245118663805</v>
      </c>
      <c r="C48" s="8">
        <v>-8.779308978338644</v>
      </c>
      <c r="D48" s="8">
        <v>-8.79117313674171</v>
      </c>
      <c r="E48" s="8">
        <v>-8.802837160913755</v>
      </c>
      <c r="F48" s="8">
        <v>-8.814300629182865</v>
      </c>
      <c r="G48" s="8">
        <v>-8.82556313115794</v>
      </c>
      <c r="H48" s="8">
        <v>-8.836624267720573</v>
      </c>
      <c r="I48" s="8">
        <v>-8.847483651015379</v>
      </c>
      <c r="J48" s="8">
        <v>-8.858140904438548</v>
      </c>
      <c r="K48" s="8">
        <v>-8.868595662624989</v>
      </c>
      <c r="L48" s="8">
        <v>-8.878847571433822</v>
      </c>
      <c r="M48" s="8">
        <v>-8.888896287932258</v>
      </c>
      <c r="N48" s="8">
        <v>-8.898741480378035</v>
      </c>
      <c r="O48" s="8">
        <v>-8.908382828200237</v>
      </c>
      <c r="P48" s="8">
        <v>-8.917820021978669</v>
      </c>
      <c r="Q48" s="8">
        <v>-8.927052763421612</v>
      </c>
      <c r="R48" s="8">
        <v>-8.936080765342325</v>
      </c>
      <c r="S48" s="8">
        <v>-8.944903751633795</v>
      </c>
      <c r="T48" s="8">
        <v>-8.953521457242287</v>
      </c>
      <c r="U48" s="8">
        <v>-8.961933628139223</v>
      </c>
      <c r="V48" s="8">
        <v>-8.97014002129194</v>
      </c>
      <c r="W48" s="8">
        <v>-8.97814040463275</v>
      </c>
      <c r="X48" s="8">
        <v>-8.985934557026848</v>
      </c>
      <c r="Y48" s="8">
        <v>-8.99352226823869</v>
      </c>
      <c r="Z48" s="8">
        <v>-9.000903338897169</v>
      </c>
      <c r="AA48" s="8">
        <v>-9.008077580459373</v>
      </c>
      <c r="AB48" s="8">
        <v>-9.015044815173033</v>
      </c>
      <c r="AC48" s="8">
        <v>-9.02180487603778</v>
      </c>
      <c r="AD48" s="8">
        <v>-9.028357606764997</v>
      </c>
      <c r="AE48" s="8">
        <v>-9.034702861736529</v>
      </c>
      <c r="AF48" s="8">
        <v>-9.040840505962086</v>
      </c>
      <c r="AG48" s="8">
        <v>-9.046770415035509</v>
      </c>
      <c r="AH48" s="8">
        <v>-9.052492475089737</v>
      </c>
      <c r="AI48" s="8">
        <v>-9.05800658275073</v>
      </c>
      <c r="AJ48" s="8">
        <v>-9.063312645090129</v>
      </c>
      <c r="AK48" s="8">
        <v>-9.068410579576806</v>
      </c>
      <c r="AL48" s="8">
        <v>-9.073300314027376</v>
      </c>
      <c r="AM48" s="8">
        <v>-9.077981786555501</v>
      </c>
      <c r="AN48" s="8">
        <v>-9.082454945520164</v>
      </c>
      <c r="AO48" s="8">
        <v>-9.08671974947295</v>
      </c>
      <c r="AP48" s="8">
        <v>-9.090776167104195</v>
      </c>
      <c r="AQ48" s="8">
        <v>-9.094624177188171</v>
      </c>
      <c r="AR48" s="8">
        <v>-9.098263768527262</v>
      </c>
      <c r="AS48" s="8">
        <v>-9.101694939895202</v>
      </c>
      <c r="AT48" s="8">
        <v>-9.104917699979291</v>
      </c>
    </row>
    <row r="49" spans="1:46">
      <c r="A49" s="7">
        <v>37.6</v>
      </c>
      <c r="B49" s="8">
        <v>-8.795688558871738</v>
      </c>
      <c r="C49" s="8">
        <v>-8.807789859709281</v>
      </c>
      <c r="D49" s="8">
        <v>-8.819691190100528</v>
      </c>
      <c r="E49" s="8">
        <v>-8.831392119647296</v>
      </c>
      <c r="F49" s="8">
        <v>-8.842892229214755</v>
      </c>
      <c r="G49" s="8">
        <v>-8.854191110924772</v>
      </c>
      <c r="H49" s="8">
        <v>-8.865288368147452</v>
      </c>
      <c r="I49" s="8">
        <v>-8.876183615491207</v>
      </c>
      <c r="J49" s="8">
        <v>-8.886876478791107</v>
      </c>
      <c r="K49" s="8">
        <v>-8.897366595095768</v>
      </c>
      <c r="L49" s="8">
        <v>-8.907653612652609</v>
      </c>
      <c r="M49" s="8">
        <v>-8.917737190891545</v>
      </c>
      <c r="N49" s="8">
        <v>-8.927617000407183</v>
      </c>
      <c r="O49" s="8">
        <v>-8.93729272293951</v>
      </c>
      <c r="P49" s="8">
        <v>-8.946764051352977</v>
      </c>
      <c r="Q49" s="8">
        <v>-8.956030689614231</v>
      </c>
      <c r="R49" s="8">
        <v>-8.965092352768288</v>
      </c>
      <c r="S49" s="8">
        <v>-8.973948766913269</v>
      </c>
      <c r="T49" s="8">
        <v>-8.982599669173711</v>
      </c>
      <c r="U49" s="8">
        <v>-8.991044807672393</v>
      </c>
      <c r="V49" s="8">
        <v>-8.99928394150087</v>
      </c>
      <c r="W49" s="8">
        <v>-9.007316840688535</v>
      </c>
      <c r="X49" s="8">
        <v>-9.015143286170307</v>
      </c>
      <c r="Y49" s="8">
        <v>-9.022763069753021</v>
      </c>
      <c r="Z49" s="8">
        <v>-9.030175994080436</v>
      </c>
      <c r="AA49" s="8">
        <v>-9.037381872596958</v>
      </c>
      <c r="AB49" s="8">
        <v>-9.044380529510029</v>
      </c>
      <c r="AC49" s="8">
        <v>-9.051171799751264</v>
      </c>
      <c r="AD49" s="8">
        <v>-9.057755528936369</v>
      </c>
      <c r="AE49" s="8">
        <v>-9.064131573323678</v>
      </c>
      <c r="AF49" s="8">
        <v>-9.070299799771654</v>
      </c>
      <c r="AG49" s="8">
        <v>-9.076260085695006</v>
      </c>
      <c r="AH49" s="8">
        <v>-9.082012319019785</v>
      </c>
      <c r="AI49" s="8">
        <v>-9.087556398137185</v>
      </c>
      <c r="AJ49" s="8">
        <v>-9.092892231856259</v>
      </c>
      <c r="AK49" s="8">
        <v>-9.098019739355495</v>
      </c>
      <c r="AL49" s="8">
        <v>-9.102938850133345</v>
      </c>
      <c r="AM49" s="8">
        <v>-9.107649503957502</v>
      </c>
      <c r="AN49" s="8">
        <v>-9.112151650813349</v>
      </c>
      <c r="AO49" s="8">
        <v>-9.116445250851108</v>
      </c>
      <c r="AP49" s="8">
        <v>-9.120530274332193</v>
      </c>
      <c r="AQ49" s="8">
        <v>-9.124406701574422</v>
      </c>
      <c r="AR49" s="8">
        <v>-9.128074522896217</v>
      </c>
      <c r="AS49" s="8">
        <v>-9.13153373855997</v>
      </c>
      <c r="AT49" s="8">
        <v>-9.134784358714331</v>
      </c>
    </row>
    <row r="50" spans="1:46">
      <c r="A50" s="7">
        <v>37.7</v>
      </c>
      <c r="B50" s="8">
        <v>-8.824145003809734</v>
      </c>
      <c r="C50" s="8">
        <v>-8.836283522115737</v>
      </c>
      <c r="D50" s="8">
        <v>-8.84822179923682</v>
      </c>
      <c r="E50" s="8">
        <v>-8.859959407352578</v>
      </c>
      <c r="F50" s="8">
        <v>-8.871495929882263</v>
      </c>
      <c r="G50" s="8">
        <v>-8.882830961477714</v>
      </c>
      <c r="H50" s="8">
        <v>-8.893964108014712</v>
      </c>
      <c r="I50" s="8">
        <v>-8.90489498658274</v>
      </c>
      <c r="J50" s="8">
        <v>-8.915623225473155</v>
      </c>
      <c r="K50" s="8">
        <v>-8.926148464165779</v>
      </c>
      <c r="L50" s="8">
        <v>-8.936470353313963</v>
      </c>
      <c r="M50" s="8">
        <v>-8.946588554728043</v>
      </c>
      <c r="N50" s="8">
        <v>-8.956502741357363</v>
      </c>
      <c r="O50" s="8">
        <v>-8.966212597270719</v>
      </c>
      <c r="P50" s="8">
        <v>-8.975717817635344</v>
      </c>
      <c r="Q50" s="8">
        <v>-8.985018108694355</v>
      </c>
      <c r="R50" s="8">
        <v>-8.994113187742842</v>
      </c>
      <c r="S50" s="8">
        <v>-9.003002783102424</v>
      </c>
      <c r="T50" s="8">
        <v>-9.011686634094374</v>
      </c>
      <c r="U50" s="8">
        <v>-9.020164491011421</v>
      </c>
      <c r="V50" s="8">
        <v>-9.028436115088038</v>
      </c>
      <c r="W50" s="8">
        <v>-9.036501278469441</v>
      </c>
      <c r="X50" s="8">
        <v>-9.044359764179175</v>
      </c>
      <c r="Y50" s="8">
        <v>-9.052011366085395</v>
      </c>
      <c r="Z50" s="8">
        <v>-9.059455888865802</v>
      </c>
      <c r="AA50" s="8">
        <v>-9.06669314797125</v>
      </c>
      <c r="AB50" s="8">
        <v>-9.073722969588122</v>
      </c>
      <c r="AC50" s="8">
        <v>-9.080545190599391</v>
      </c>
      <c r="AD50" s="8">
        <v>-9.087159658544424</v>
      </c>
      <c r="AE50" s="8">
        <v>-9.093566231577588</v>
      </c>
      <c r="AF50" s="8">
        <v>-9.099764778425619</v>
      </c>
      <c r="AG50" s="8">
        <v>-9.105755178343827</v>
      </c>
      <c r="AH50" s="8">
        <v>-9.111537321071026</v>
      </c>
      <c r="AI50" s="8">
        <v>-9.117111106783472</v>
      </c>
      <c r="AJ50" s="8">
        <v>-9.122476446047507</v>
      </c>
      <c r="AK50" s="8">
        <v>-9.127633259771205</v>
      </c>
      <c r="AL50" s="8">
        <v>-9.132581479154814</v>
      </c>
      <c r="AM50" s="8">
        <v>-9.137321045640194</v>
      </c>
      <c r="AN50" s="8">
        <v>-9.141851910859224</v>
      </c>
      <c r="AO50" s="8">
        <v>-9.146174036581026</v>
      </c>
      <c r="AP50" s="8">
        <v>-9.150287394658347</v>
      </c>
      <c r="AQ50" s="8">
        <v>-9.154191966972851</v>
      </c>
      <c r="AR50" s="8">
        <v>-9.157887745379382</v>
      </c>
      <c r="AS50" s="8">
        <v>-9.161374731649449</v>
      </c>
      <c r="AT50" s="8">
        <v>-9.164652937413519</v>
      </c>
    </row>
    <row r="51" spans="1:46">
      <c r="A51" s="7">
        <v>37.8</v>
      </c>
      <c r="B51" s="8">
        <v>-8.852614327652065</v>
      </c>
      <c r="C51" s="8">
        <v>-8.864789838526173</v>
      </c>
      <c r="D51" s="8">
        <v>-8.876764835915154</v>
      </c>
      <c r="E51" s="8">
        <v>-8.888538894593305</v>
      </c>
      <c r="F51" s="8">
        <v>-8.900111600550874</v>
      </c>
      <c r="G51" s="8">
        <v>-8.911482550986776</v>
      </c>
      <c r="H51" s="8">
        <v>-8.922651354299658</v>
      </c>
      <c r="I51" s="8">
        <v>-8.933617630077439</v>
      </c>
      <c r="J51" s="8">
        <v>-8.94438100908515</v>
      </c>
      <c r="K51" s="8">
        <v>-8.954941133251396</v>
      </c>
      <c r="L51" s="8">
        <v>-8.965297655653082</v>
      </c>
      <c r="M51" s="8">
        <v>-8.975450240498784</v>
      </c>
      <c r="N51" s="8">
        <v>-8.985398563110433</v>
      </c>
      <c r="O51" s="8">
        <v>-8.995142309903638</v>
      </c>
      <c r="P51" s="8">
        <v>-9.004681178366491</v>
      </c>
      <c r="Q51" s="8">
        <v>-9.014014877036775</v>
      </c>
      <c r="R51" s="8">
        <v>-9.023143125477958</v>
      </c>
      <c r="S51" s="8">
        <v>-9.032065654253545</v>
      </c>
      <c r="T51" s="8">
        <v>-9.040782204900106</v>
      </c>
      <c r="U51" s="8">
        <v>-9.049292529898869</v>
      </c>
      <c r="V51" s="8">
        <v>-9.057596392645923</v>
      </c>
      <c r="W51" s="8">
        <v>-9.065693567421114</v>
      </c>
      <c r="X51" s="8">
        <v>-9.073583839355496</v>
      </c>
      <c r="Y51" s="8">
        <v>-9.081267004397546</v>
      </c>
      <c r="Z51" s="8">
        <v>-9.088742869277954</v>
      </c>
      <c r="AA51" s="8">
        <v>-9.0960112514732</v>
      </c>
      <c r="AB51" s="8">
        <v>-9.103071979167849</v>
      </c>
      <c r="AC51" s="8">
        <v>-9.109924891215549</v>
      </c>
      <c r="AD51" s="8">
        <v>-9.11656983709876</v>
      </c>
      <c r="AE51" s="8">
        <v>-9.123006676887375</v>
      </c>
      <c r="AF51" s="8">
        <v>-9.129235281195994</v>
      </c>
      <c r="AG51" s="8">
        <v>-9.135255531140116</v>
      </c>
      <c r="AH51" s="8">
        <v>-9.141067318291118</v>
      </c>
      <c r="AI51" s="8">
        <v>-9.146670544630087</v>
      </c>
      <c r="AJ51" s="8">
        <v>-9.152065122500559</v>
      </c>
      <c r="AK51" s="8">
        <v>-9.157250974560075</v>
      </c>
      <c r="AL51" s="8">
        <v>-9.16222803373075</v>
      </c>
      <c r="AM51" s="8">
        <v>-9.166996243148683</v>
      </c>
      <c r="AN51" s="8">
        <v>-9.171555556112358</v>
      </c>
      <c r="AO51" s="8">
        <v>-9.17590593602999</v>
      </c>
      <c r="AP51" s="8">
        <v>-9.180047356365931</v>
      </c>
      <c r="AQ51" s="8">
        <v>-9.183979800586009</v>
      </c>
      <c r="AR51" s="8">
        <v>-9.187703262101884</v>
      </c>
      <c r="AS51" s="8">
        <v>-9.191217744214551</v>
      </c>
      <c r="AT51" s="8">
        <v>-9.194523260056812</v>
      </c>
    </row>
    <row r="52" spans="1:46">
      <c r="A52" s="7">
        <v>37.9</v>
      </c>
      <c r="B52" s="8">
        <v>-8.881096405159113</v>
      </c>
      <c r="C52" s="8">
        <v>-8.893308682509224</v>
      </c>
      <c r="D52" s="8">
        <v>-8.905320172515086</v>
      </c>
      <c r="E52" s="8">
        <v>-8.917130452562549</v>
      </c>
      <c r="F52" s="8">
        <v>-8.928739111229886</v>
      </c>
      <c r="G52" s="8">
        <v>-8.94014574828023</v>
      </c>
      <c r="H52" s="8">
        <v>-8.951349974652347</v>
      </c>
      <c r="I52" s="8">
        <v>-8.962351412449928</v>
      </c>
      <c r="J52" s="8">
        <v>-8.973149694929191</v>
      </c>
      <c r="K52" s="8">
        <v>-8.983744466485074</v>
      </c>
      <c r="L52" s="8">
        <v>-8.994135382635777</v>
      </c>
      <c r="M52" s="8">
        <v>-9.004322110005861</v>
      </c>
      <c r="N52" s="8">
        <v>-9.0143043263078</v>
      </c>
      <c r="O52" s="8">
        <v>-9.02408172032203</v>
      </c>
      <c r="P52" s="8">
        <v>-9.033653991875587</v>
      </c>
      <c r="Q52" s="8">
        <v>-9.043020851819206</v>
      </c>
      <c r="R52" s="8">
        <v>-9.052182022003022</v>
      </c>
      <c r="S52" s="8">
        <v>-9.061137235250868</v>
      </c>
      <c r="T52" s="8">
        <v>-9.069886235333115</v>
      </c>
      <c r="U52" s="8">
        <v>-9.078428776938127</v>
      </c>
      <c r="V52" s="8">
        <v>-9.086764625642347</v>
      </c>
      <c r="W52" s="8">
        <v>-9.09489355787905</v>
      </c>
      <c r="X52" s="8">
        <v>-9.102815360905723</v>
      </c>
      <c r="Y52" s="8">
        <v>-9.11052983277011</v>
      </c>
      <c r="Z52" s="8">
        <v>-9.118036782275016</v>
      </c>
      <c r="AA52" s="8">
        <v>-9.125336028941712</v>
      </c>
      <c r="AB52" s="8">
        <v>-9.132427402972199</v>
      </c>
      <c r="AC52" s="8">
        <v>-9.139310745210119</v>
      </c>
      <c r="AD52" s="8">
        <v>-9.145985907100505</v>
      </c>
      <c r="AE52" s="8">
        <v>-9.152452750648209</v>
      </c>
      <c r="AF52" s="8">
        <v>-9.158711148375309</v>
      </c>
      <c r="AG52" s="8">
        <v>-9.16476098327716</v>
      </c>
      <c r="AH52" s="8">
        <v>-9.170602148777405</v>
      </c>
      <c r="AI52" s="8">
        <v>-9.176234548681792</v>
      </c>
      <c r="AJ52" s="8">
        <v>-9.181658097130885</v>
      </c>
      <c r="AK52" s="8">
        <v>-9.186872718551667</v>
      </c>
      <c r="AL52" s="8">
        <v>-9.191878347608105</v>
      </c>
      <c r="AM52" s="8">
        <v>-9.196674929150591</v>
      </c>
      <c r="AN52" s="8">
        <v>-9.201262418164363</v>
      </c>
      <c r="AO52" s="8">
        <v>-9.205640779716937</v>
      </c>
      <c r="AP52" s="8">
        <v>-9.209809988904507</v>
      </c>
      <c r="AQ52" s="8">
        <v>-9.213770030797347</v>
      </c>
      <c r="AR52" s="8">
        <v>-9.217520900384288</v>
      </c>
      <c r="AS52" s="8">
        <v>-9.221062602516243</v>
      </c>
      <c r="AT52" s="8">
        <v>-9.224395151848761</v>
      </c>
    </row>
    <row r="53" spans="1:46">
      <c r="A53" s="7">
        <v>38</v>
      </c>
      <c r="B53" s="8">
        <v>-8.909591111677557</v>
      </c>
      <c r="C53" s="8">
        <v>-8.921839928234581</v>
      </c>
      <c r="D53" s="8">
        <v>-8.93388768203185</v>
      </c>
      <c r="E53" s="8">
        <v>-8.945733953083746</v>
      </c>
      <c r="F53" s="8">
        <v>-8.957378332573645</v>
      </c>
      <c r="G53" s="8">
        <v>-8.968820422846076</v>
      </c>
      <c r="H53" s="8">
        <v>-8.98005983739721</v>
      </c>
      <c r="I53" s="8">
        <v>-8.991096200863922</v>
      </c>
      <c r="J53" s="8">
        <v>-9.001929149011119</v>
      </c>
      <c r="K53" s="8">
        <v>-9.012558328717708</v>
      </c>
      <c r="L53" s="8">
        <v>-9.022983397960912</v>
      </c>
      <c r="M53" s="8">
        <v>-9.033204025799135</v>
      </c>
      <c r="N53" s="8">
        <v>-9.043219892353312</v>
      </c>
      <c r="O53" s="8">
        <v>-9.053030688786777</v>
      </c>
      <c r="P53" s="8">
        <v>-9.062636117283663</v>
      </c>
      <c r="Q53" s="8">
        <v>-9.072035891025878</v>
      </c>
      <c r="R53" s="8">
        <v>-9.081229734168629</v>
      </c>
      <c r="S53" s="8">
        <v>-9.090217381814517</v>
      </c>
      <c r="T53" s="8">
        <v>-9.098998579986247</v>
      </c>
      <c r="U53" s="8">
        <v>-9.10757308559797</v>
      </c>
      <c r="V53" s="8">
        <v>-9.115940666425223</v>
      </c>
      <c r="W53" s="8">
        <v>-9.124101101073553</v>
      </c>
      <c r="X53" s="8">
        <v>-9.13205417894577</v>
      </c>
      <c r="Y53" s="8">
        <v>-9.139799700207929</v>
      </c>
      <c r="Z53" s="8">
        <v>-9.147337475754046</v>
      </c>
      <c r="AA53" s="8">
        <v>-9.154667327169346</v>
      </c>
      <c r="AB53" s="8">
        <v>-9.161789086692547</v>
      </c>
      <c r="AC53" s="8">
        <v>-9.168702597176651</v>
      </c>
      <c r="AD53" s="8">
        <v>-9.175407712048631</v>
      </c>
      <c r="AE53" s="8">
        <v>-9.181904295267881</v>
      </c>
      <c r="AF53" s="8">
        <v>-9.188192221283499</v>
      </c>
      <c r="AG53" s="8">
        <v>-9.194271374990366</v>
      </c>
      <c r="AH53" s="8">
        <v>-9.200141651684133</v>
      </c>
      <c r="AI53" s="8">
        <v>-9.205802957014967</v>
      </c>
      <c r="AJ53" s="8">
        <v>-9.211255206940368</v>
      </c>
      <c r="AK53" s="8">
        <v>-9.216498327676684</v>
      </c>
      <c r="AL53" s="8">
        <v>-9.221532255649725</v>
      </c>
      <c r="AM53" s="8">
        <v>-9.226356937444255</v>
      </c>
      <c r="AN53" s="8">
        <v>-9.230972329752383</v>
      </c>
      <c r="AO53" s="8">
        <v>-9.235378399321094</v>
      </c>
      <c r="AP53" s="8">
        <v>-9.239575122898662</v>
      </c>
      <c r="AQ53" s="8">
        <v>-9.243562487180121</v>
      </c>
      <c r="AR53" s="8">
        <v>-9.247340488751792</v>
      </c>
      <c r="AS53" s="8">
        <v>-9.250909134034883</v>
      </c>
      <c r="AT53" s="8">
        <v>-9.254268439228161</v>
      </c>
    </row>
    <row r="54" spans="1:46">
      <c r="A54" s="7">
        <v>38.1</v>
      </c>
      <c r="B54" s="8">
        <v>-8.938098323140338</v>
      </c>
      <c r="C54" s="8">
        <v>-8.950383450473002</v>
      </c>
      <c r="D54" s="8">
        <v>-8.962467238076673</v>
      </c>
      <c r="E54" s="8">
        <v>-8.974349268611252</v>
      </c>
      <c r="F54" s="8">
        <v>-8.986029135882321</v>
      </c>
      <c r="G54" s="8">
        <v>-8.997506444833034</v>
      </c>
      <c r="H54" s="8">
        <v>-9.00878081153431</v>
      </c>
      <c r="I54" s="8">
        <v>-9.019851863173644</v>
      </c>
      <c r="J54" s="8">
        <v>-9.030719238042199</v>
      </c>
      <c r="K54" s="8">
        <v>-9.041382585520516</v>
      </c>
      <c r="L54" s="8">
        <v>-9.051841566062622</v>
      </c>
      <c r="M54" s="8">
        <v>-9.062095851178611</v>
      </c>
      <c r="N54" s="8">
        <v>-9.072145123415879</v>
      </c>
      <c r="O54" s="8">
        <v>-9.081989076338738</v>
      </c>
      <c r="P54" s="8">
        <v>-9.091627414506606</v>
      </c>
      <c r="Q54" s="8">
        <v>-9.101059853450867</v>
      </c>
      <c r="R54" s="8">
        <v>-9.110286119650125</v>
      </c>
      <c r="S54" s="8">
        <v>-9.11930595050425</v>
      </c>
      <c r="T54" s="8">
        <v>-9.128119094306895</v>
      </c>
      <c r="U54" s="8">
        <v>-9.136725310216631</v>
      </c>
      <c r="V54" s="8">
        <v>-9.145124368226856</v>
      </c>
      <c r="W54" s="8">
        <v>-9.153316049134204</v>
      </c>
      <c r="X54" s="8">
        <v>-9.161300144505812</v>
      </c>
      <c r="Y54" s="8">
        <v>-9.169076456645049</v>
      </c>
      <c r="Z54" s="8">
        <v>-9.176644798556218</v>
      </c>
      <c r="AA54" s="8">
        <v>-9.184004993907733</v>
      </c>
      <c r="AB54" s="8">
        <v>-9.19115687699429</v>
      </c>
      <c r="AC54" s="8">
        <v>-9.198100292697609</v>
      </c>
      <c r="AD54" s="8">
        <v>-9.204835096446054</v>
      </c>
      <c r="AE54" s="8">
        <v>-9.211361154173051</v>
      </c>
      <c r="AF54" s="8">
        <v>-9.217678342274322</v>
      </c>
      <c r="AG54" s="8">
        <v>-9.223786547563941</v>
      </c>
      <c r="AH54" s="8">
        <v>-9.229685667229246</v>
      </c>
      <c r="AI54" s="8">
        <v>-9.235375608784699</v>
      </c>
      <c r="AJ54" s="8">
        <v>-9.240856290024544</v>
      </c>
      <c r="AK54" s="8">
        <v>-9.246127638974462</v>
      </c>
      <c r="AL54" s="8">
        <v>-9.251189593842088</v>
      </c>
      <c r="AM54" s="8">
        <v>-9.256042102966598</v>
      </c>
      <c r="AN54" s="8">
        <v>-9.260685124767116</v>
      </c>
      <c r="AO54" s="8">
        <v>-9.265118627690244</v>
      </c>
      <c r="AP54" s="8">
        <v>-9.269342590156558</v>
      </c>
      <c r="AQ54" s="8">
        <v>-9.273357000506122</v>
      </c>
      <c r="AR54" s="8">
        <v>-9.277161856943097</v>
      </c>
      <c r="AS54" s="8">
        <v>-9.280757167479365</v>
      </c>
      <c r="AT54" s="8">
        <v>-9.284142949877312</v>
      </c>
    </row>
    <row r="55" spans="1:46">
      <c r="A55" s="7">
        <v>38.2</v>
      </c>
      <c r="B55" s="8">
        <v>-8.966617916066518</v>
      </c>
      <c r="C55" s="8">
        <v>-8.978939124596575</v>
      </c>
      <c r="D55" s="8">
        <v>-8.991058714877221</v>
      </c>
      <c r="E55" s="8">
        <v>-9.002976272230962</v>
      </c>
      <c r="F55" s="8">
        <v>-9.014691393102749</v>
      </c>
      <c r="G55" s="8">
        <v>-9.026203685051613</v>
      </c>
      <c r="H55" s="8">
        <v>-9.037512766740615</v>
      </c>
      <c r="I55" s="8">
        <v>-9.048618267925363</v>
      </c>
      <c r="J55" s="8">
        <v>-9.059519829440875</v>
      </c>
      <c r="K55" s="8">
        <v>-9.070217103187037</v>
      </c>
      <c r="L55" s="8">
        <v>-9.080709752112437</v>
      </c>
      <c r="M55" s="8">
        <v>-9.09099745019685</v>
      </c>
      <c r="N55" s="8">
        <v>-9.101079882432112</v>
      </c>
      <c r="O55" s="8">
        <v>-9.110956744801607</v>
      </c>
      <c r="P55" s="8">
        <v>-9.120627744258293</v>
      </c>
      <c r="Q55" s="8">
        <v>-9.130092598701268</v>
      </c>
      <c r="R55" s="8">
        <v>-9.139351036951057</v>
      </c>
      <c r="S55" s="8">
        <v>-9.148402798723238</v>
      </c>
      <c r="T55" s="8">
        <v>-9.157247634600976</v>
      </c>
      <c r="U55" s="8">
        <v>-9.165885306005993</v>
      </c>
      <c r="V55" s="8">
        <v>-9.174315585168321</v>
      </c>
      <c r="W55" s="8">
        <v>-9.182538255094594</v>
      </c>
      <c r="X55" s="8">
        <v>-9.190553109535152</v>
      </c>
      <c r="Y55" s="8">
        <v>-9.198359952949749</v>
      </c>
      <c r="Z55" s="8">
        <v>-9.205958600472105</v>
      </c>
      <c r="AA55" s="8">
        <v>-9.213348877873058</v>
      </c>
      <c r="AB55" s="8">
        <v>-9.22053062152253</v>
      </c>
      <c r="AC55" s="8">
        <v>-9.227503678350352</v>
      </c>
      <c r="AD55" s="8">
        <v>-9.234267905805712</v>
      </c>
      <c r="AE55" s="8">
        <v>-9.24082317181559</v>
      </c>
      <c r="AF55" s="8">
        <v>-9.247169354741905</v>
      </c>
      <c r="AG55" s="8">
        <v>-9.253306343337586</v>
      </c>
      <c r="AH55" s="8">
        <v>-9.259234036701434</v>
      </c>
      <c r="AI55" s="8">
        <v>-9.264952344231956</v>
      </c>
      <c r="AJ55" s="8">
        <v>-9.270461185580043</v>
      </c>
      <c r="AK55" s="8">
        <v>-9.275760490600589</v>
      </c>
      <c r="AL55" s="8">
        <v>-9.280850199303085</v>
      </c>
      <c r="AM55" s="8">
        <v>-9.285730261801158</v>
      </c>
      <c r="AN55" s="8">
        <v>-9.290400638261033</v>
      </c>
      <c r="AO55" s="8">
        <v>-9.294861298849108</v>
      </c>
      <c r="AP55" s="8">
        <v>-9.299112223678478</v>
      </c>
      <c r="AQ55" s="8">
        <v>-9.303153402754498</v>
      </c>
      <c r="AR55" s="8">
        <v>-9.30698483591946</v>
      </c>
      <c r="AS55" s="8">
        <v>-9.31060653279631</v>
      </c>
      <c r="AT55" s="8">
        <v>-9.314018512731424</v>
      </c>
    </row>
    <row r="56" spans="1:46">
      <c r="A56" s="7">
        <v>38.3</v>
      </c>
      <c r="B56" s="8">
        <v>-8.9951497675608</v>
      </c>
      <c r="C56" s="8">
        <v>-9.007506826578329</v>
      </c>
      <c r="D56" s="8">
        <v>-9.019661987277509</v>
      </c>
      <c r="E56" s="8">
        <v>-9.031614837660493</v>
      </c>
      <c r="F56" s="8">
        <v>-9.043364976828837</v>
      </c>
      <c r="G56" s="8">
        <v>-9.054912014974757</v>
      </c>
      <c r="H56" s="8">
        <v>-9.066255573370908</v>
      </c>
      <c r="I56" s="8">
        <v>-9.07739528435852</v>
      </c>
      <c r="J56" s="8">
        <v>-9.088330791334107</v>
      </c>
      <c r="K56" s="8">
        <v>-9.099061748734647</v>
      </c>
      <c r="L56" s="8">
        <v>-9.109587822021172</v>
      </c>
      <c r="M56" s="8">
        <v>-9.119908687661026</v>
      </c>
      <c r="N56" s="8">
        <v>-9.130024033108556</v>
      </c>
      <c r="O56" s="8">
        <v>-9.139933556784387</v>
      </c>
      <c r="P56" s="8">
        <v>-9.149636968053221</v>
      </c>
      <c r="Q56" s="8">
        <v>-9.159133987200301</v>
      </c>
      <c r="R56" s="8">
        <v>-9.168424345406375</v>
      </c>
      <c r="S56" s="8">
        <v>-9.177507784721332</v>
      </c>
      <c r="T56" s="8">
        <v>-9.186384058036491</v>
      </c>
      <c r="U56" s="8">
        <v>-9.195052929055427</v>
      </c>
      <c r="V56" s="8">
        <v>-9.203514172263578</v>
      </c>
      <c r="W56" s="8">
        <v>-9.211767572896447</v>
      </c>
      <c r="X56" s="8">
        <v>-9.219812926906615</v>
      </c>
      <c r="Y56" s="8">
        <v>-9.227650040929241</v>
      </c>
      <c r="Z56" s="8">
        <v>-9.235278732246634</v>
      </c>
      <c r="AA56" s="8">
        <v>-9.242698828751207</v>
      </c>
      <c r="AB56" s="8">
        <v>-9.249910168907464</v>
      </c>
      <c r="AC56" s="8">
        <v>-9.256912601712685</v>
      </c>
      <c r="AD56" s="8">
        <v>-9.263705986656355</v>
      </c>
      <c r="AE56" s="8">
        <v>-9.270290193678525</v>
      </c>
      <c r="AF56" s="8">
        <v>-9.27666510312693</v>
      </c>
      <c r="AG56" s="8">
        <v>-9.282830605712991</v>
      </c>
      <c r="AH56" s="8">
        <v>-9.288786602466702</v>
      </c>
      <c r="AI56" s="8">
        <v>-9.294533004690429</v>
      </c>
      <c r="AJ56" s="8">
        <v>-9.300069733911563</v>
      </c>
      <c r="AK56" s="8">
        <v>-9.305396721834137</v>
      </c>
      <c r="AL56" s="8">
        <v>-9.310513910289503</v>
      </c>
      <c r="AM56" s="8">
        <v>-9.315421251185732</v>
      </c>
      <c r="AN56" s="8">
        <v>-9.320118706456283</v>
      </c>
      <c r="AO56" s="8">
        <v>-9.324606248007496</v>
      </c>
      <c r="AP56" s="8">
        <v>-9.328883857665176</v>
      </c>
      <c r="AQ56" s="8">
        <v>-9.33295152712023</v>
      </c>
      <c r="AR56" s="8">
        <v>-9.336809257873391</v>
      </c>
      <c r="AS56" s="8">
        <v>-9.340457061178967</v>
      </c>
      <c r="AT56" s="8">
        <v>-9.343894957987768</v>
      </c>
    </row>
    <row r="57" spans="1:46">
      <c r="A57" s="7">
        <v>38.4</v>
      </c>
      <c r="B57" s="8">
        <v>-9.023693755313049</v>
      </c>
      <c r="C57" s="8">
        <v>-9.036086432992112</v>
      </c>
      <c r="D57" s="8">
        <v>-9.048276930737899</v>
      </c>
      <c r="E57" s="8">
        <v>-9.06026483924941</v>
      </c>
      <c r="F57" s="8">
        <v>-9.072049760302027</v>
      </c>
      <c r="G57" s="8">
        <v>-9.083631306738557</v>
      </c>
      <c r="H57" s="8">
        <v>-9.09500910245867</v>
      </c>
      <c r="I57" s="8">
        <v>-9.106182782406842</v>
      </c>
      <c r="J57" s="8">
        <v>-9.117151992558753</v>
      </c>
      <c r="K57" s="8">
        <v>-9.127916389906233</v>
      </c>
      <c r="L57" s="8">
        <v>-9.138475642440659</v>
      </c>
      <c r="M57" s="8">
        <v>-9.148829429134937</v>
      </c>
      <c r="N57" s="8">
        <v>-9.158977439924008</v>
      </c>
      <c r="O57" s="8">
        <v>-9.168919375683895</v>
      </c>
      <c r="P57" s="8">
        <v>-9.17865494820934</v>
      </c>
      <c r="Q57" s="8">
        <v>-9.188183880190085</v>
      </c>
      <c r="R57" s="8">
        <v>-9.197505905185585</v>
      </c>
      <c r="S57" s="8">
        <v>-9.206620767598611</v>
      </c>
      <c r="T57" s="8">
        <v>-9.215528222647238</v>
      </c>
      <c r="U57" s="8">
        <v>-9.22422803633563</v>
      </c>
      <c r="V57" s="8">
        <v>-9.232719985423472</v>
      </c>
      <c r="W57" s="8">
        <v>-9.241003857394073</v>
      </c>
      <c r="X57" s="8">
        <v>-9.249079450421172</v>
      </c>
      <c r="Y57" s="8">
        <v>-9.256946573334469</v>
      </c>
      <c r="Z57" s="8">
        <v>-9.26460504558397</v>
      </c>
      <c r="AA57" s="8">
        <v>-9.27205469720292</v>
      </c>
      <c r="AB57" s="8">
        <v>-9.279295368769708</v>
      </c>
      <c r="AC57" s="8">
        <v>-9.286326911368452</v>
      </c>
      <c r="AD57" s="8">
        <v>-9.293149186548387</v>
      </c>
      <c r="AE57" s="8">
        <v>-9.29976206628217</v>
      </c>
      <c r="AF57" s="8">
        <v>-9.306165432922928</v>
      </c>
      <c r="AG57" s="8">
        <v>-9.312359179160268</v>
      </c>
      <c r="AH57" s="8">
        <v>-9.318343207975113</v>
      </c>
      <c r="AI57" s="8">
        <v>-9.324117432593457</v>
      </c>
      <c r="AJ57" s="8">
        <v>-9.329681776439056</v>
      </c>
      <c r="AK57" s="8">
        <v>-9.335036173085051</v>
      </c>
      <c r="AL57" s="8">
        <v>-9.340180566204534</v>
      </c>
      <c r="AM57" s="8">
        <v>-9.345114909520165</v>
      </c>
      <c r="AN57" s="8">
        <v>-9.349839166752659</v>
      </c>
      <c r="AO57" s="8">
        <v>-9.354353311568433</v>
      </c>
      <c r="AP57" s="8">
        <v>-9.358657327526238</v>
      </c>
      <c r="AQ57" s="8">
        <v>-9.362751208022754</v>
      </c>
      <c r="AR57" s="8">
        <v>-9.3666349562374</v>
      </c>
      <c r="AS57" s="8">
        <v>-9.370308585076238</v>
      </c>
      <c r="AT57" s="8">
        <v>-9.373772117114815</v>
      </c>
    </row>
    <row r="58" spans="1:46">
      <c r="A58" s="7">
        <v>38.5</v>
      </c>
      <c r="B58" s="8">
        <v>-9.052249757597364</v>
      </c>
      <c r="C58" s="8">
        <v>-9.064677821011808</v>
      </c>
      <c r="D58" s="8">
        <v>-9.076903421334688</v>
      </c>
      <c r="E58" s="8">
        <v>-9.088926151979029</v>
      </c>
      <c r="F58" s="8">
        <v>-9.100745617411363</v>
      </c>
      <c r="G58" s="8">
        <v>-9.112361433142494</v>
      </c>
      <c r="H58" s="8">
        <v>-9.123773225716644</v>
      </c>
      <c r="I58" s="8">
        <v>-9.134980632699138</v>
      </c>
      <c r="J58" s="8">
        <v>-9.145983302662549</v>
      </c>
      <c r="K58" s="8">
        <v>-9.156780895171384</v>
      </c>
      <c r="L58" s="8">
        <v>-9.167373080765284</v>
      </c>
      <c r="M58" s="8">
        <v>-9.177759540940745</v>
      </c>
      <c r="N58" s="8">
        <v>-9.187939968131412</v>
      </c>
      <c r="O58" s="8">
        <v>-9.19791406568692</v>
      </c>
      <c r="P58" s="8">
        <v>-9.207681547850388</v>
      </c>
      <c r="Q58" s="8">
        <v>-9.217242139734383</v>
      </c>
      <c r="R58" s="8">
        <v>-9.226595577295644</v>
      </c>
      <c r="S58" s="8">
        <v>-9.235741607308341</v>
      </c>
      <c r="T58" s="8">
        <v>-9.244679987336003</v>
      </c>
      <c r="U58" s="8">
        <v>-9.253410485702149</v>
      </c>
      <c r="V58" s="8">
        <v>-9.261932881459552</v>
      </c>
      <c r="W58" s="8">
        <v>-9.270246964358197</v>
      </c>
      <c r="X58" s="8">
        <v>-9.278352534812058</v>
      </c>
      <c r="Y58" s="8">
        <v>-9.286249403864431</v>
      </c>
      <c r="Z58" s="8">
        <v>-9.293937393152177</v>
      </c>
      <c r="AA58" s="8">
        <v>-9.301416334868655</v>
      </c>
      <c r="AB58" s="8">
        <v>-9.308686071725431</v>
      </c>
      <c r="AC58" s="8">
        <v>-9.315746456912851</v>
      </c>
      <c r="AD58" s="8">
        <v>-9.322597354059376</v>
      </c>
      <c r="AE58" s="8">
        <v>-9.329238637189782</v>
      </c>
      <c r="AF58" s="8">
        <v>-9.335670190682215</v>
      </c>
      <c r="AG58" s="8">
        <v>-9.341891909224133</v>
      </c>
      <c r="AH58" s="8">
        <v>-9.347903697767102</v>
      </c>
      <c r="AI58" s="8">
        <v>-9.353705471480568</v>
      </c>
      <c r="AJ58" s="8">
        <v>-9.35929715570451</v>
      </c>
      <c r="AK58" s="8">
        <v>-9.364678685901051</v>
      </c>
      <c r="AL58" s="8">
        <v>-9.36985000760507</v>
      </c>
      <c r="AM58" s="8">
        <v>-9.374811076373742</v>
      </c>
      <c r="AN58" s="8">
        <v>-9.379561857735213</v>
      </c>
      <c r="AO58" s="8">
        <v>-9.384102327136082</v>
      </c>
      <c r="AP58" s="8">
        <v>-9.388432469888182</v>
      </c>
      <c r="AQ58" s="8">
        <v>-9.392552281114193</v>
      </c>
      <c r="AR58" s="8">
        <v>-9.396461765692575</v>
      </c>
      <c r="AS58" s="8">
        <v>-9.400160938201358</v>
      </c>
      <c r="AT58" s="8">
        <v>-9.403649822861233</v>
      </c>
    </row>
    <row r="59" spans="1:46">
      <c r="A59" s="7">
        <v>38.6</v>
      </c>
      <c r="B59" s="8">
        <v>-9.080817653271261</v>
      </c>
      <c r="C59" s="8">
        <v>-9.093280868410812</v>
      </c>
      <c r="D59" s="8">
        <v>-9.105541335759721</v>
      </c>
      <c r="E59" s="8">
        <v>-9.117598651462298</v>
      </c>
      <c r="F59" s="8">
        <v>-9.129452422693589</v>
      </c>
      <c r="G59" s="8">
        <v>-9.141102267649838</v>
      </c>
      <c r="H59" s="8">
        <v>-9.152547815537392</v>
      </c>
      <c r="I59" s="8">
        <v>-9.163788706560096</v>
      </c>
      <c r="J59" s="8">
        <v>-9.174824591905164</v>
      </c>
      <c r="K59" s="8">
        <v>-9.185655133727685</v>
      </c>
      <c r="L59" s="8">
        <v>-9.196280005133483</v>
      </c>
      <c r="M59" s="8">
        <v>-9.206698890160704</v>
      </c>
      <c r="N59" s="8">
        <v>-9.216911483759858</v>
      </c>
      <c r="O59" s="8">
        <v>-9.226917491772472</v>
      </c>
      <c r="P59" s="8">
        <v>-9.236716630908303</v>
      </c>
      <c r="Q59" s="8">
        <v>-9.246308628721255</v>
      </c>
      <c r="R59" s="8">
        <v>-9.255693223583817</v>
      </c>
      <c r="S59" s="8">
        <v>-9.264870164660186</v>
      </c>
      <c r="T59" s="8">
        <v>-9.273839211878039</v>
      </c>
      <c r="U59" s="8">
        <v>-9.282600135899008</v>
      </c>
      <c r="V59" s="8">
        <v>-9.29115271808781</v>
      </c>
      <c r="W59" s="8">
        <v>-9.299496750480129</v>
      </c>
      <c r="X59" s="8">
        <v>-9.307632035749105</v>
      </c>
      <c r="Y59" s="8">
        <v>-9.315558387170761</v>
      </c>
      <c r="Z59" s="8">
        <v>-9.32327562858803</v>
      </c>
      <c r="AA59" s="8">
        <v>-9.330783594373578</v>
      </c>
      <c r="AB59" s="8">
        <v>-9.338082129391521</v>
      </c>
      <c r="AC59" s="8">
        <v>-9.345171088957837</v>
      </c>
      <c r="AD59" s="8">
        <v>-9.352050338799659</v>
      </c>
      <c r="AE59" s="8">
        <v>-9.358719755013443</v>
      </c>
      <c r="AF59" s="8">
        <v>-9.365179224021956</v>
      </c>
      <c r="AG59" s="8">
        <v>-9.371428642530173</v>
      </c>
      <c r="AH59" s="8">
        <v>-9.377467917480057</v>
      </c>
      <c r="AI59" s="8">
        <v>-9.383296966004268</v>
      </c>
      <c r="AJ59" s="8">
        <v>-9.388915715378889</v>
      </c>
      <c r="AK59" s="8">
        <v>-9.394324102974917</v>
      </c>
      <c r="AL59" s="8">
        <v>-9.399522076208985</v>
      </c>
      <c r="AM59" s="8">
        <v>-9.404509592492868</v>
      </c>
      <c r="AN59" s="8">
        <v>-9.409286619182117</v>
      </c>
      <c r="AO59" s="8">
        <v>-9.413853133523679</v>
      </c>
      <c r="AP59" s="8">
        <v>-9.418209122602638</v>
      </c>
      <c r="AQ59" s="8">
        <v>-9.422354583287895</v>
      </c>
      <c r="AR59" s="8">
        <v>-9.426289522177155</v>
      </c>
      <c r="AS59" s="8">
        <v>-9.430013955540778</v>
      </c>
      <c r="AT59" s="8">
        <v>-9.43352790926491</v>
      </c>
    </row>
    <row r="62" spans="1:46">
      <c r="A62" s="7" t="s">
        <v>1</v>
      </c>
    </row>
    <row r="63" spans="1:46">
      <c r="B63" s="7">
        <v>125.5</v>
      </c>
      <c r="C63" s="7">
        <v>125.6</v>
      </c>
      <c r="D63" s="7">
        <v>125.7</v>
      </c>
      <c r="E63" s="7">
        <v>125.8</v>
      </c>
      <c r="F63" s="7">
        <v>125.9</v>
      </c>
      <c r="G63" s="7">
        <v>126</v>
      </c>
      <c r="H63" s="7">
        <v>126.1</v>
      </c>
      <c r="I63" s="7">
        <v>126.2</v>
      </c>
      <c r="J63" s="7">
        <v>126.3</v>
      </c>
      <c r="K63" s="7">
        <v>126.4</v>
      </c>
      <c r="L63" s="7">
        <v>126.5</v>
      </c>
      <c r="M63" s="7">
        <v>126.6</v>
      </c>
      <c r="N63" s="7">
        <v>126.7</v>
      </c>
      <c r="O63" s="7">
        <v>126.8</v>
      </c>
      <c r="P63" s="7">
        <v>126.9</v>
      </c>
      <c r="Q63" s="7">
        <v>127</v>
      </c>
      <c r="R63" s="7">
        <v>127.1</v>
      </c>
      <c r="S63" s="7">
        <v>127.2</v>
      </c>
      <c r="T63" s="7">
        <v>127.3</v>
      </c>
      <c r="U63" s="7">
        <v>127.4</v>
      </c>
      <c r="V63" s="7">
        <v>127.5</v>
      </c>
      <c r="W63" s="7">
        <v>127.6</v>
      </c>
      <c r="X63" s="7">
        <v>127.7</v>
      </c>
      <c r="Y63" s="7">
        <v>127.8</v>
      </c>
      <c r="Z63" s="7">
        <v>127.9</v>
      </c>
      <c r="AA63" s="7">
        <v>128</v>
      </c>
      <c r="AB63" s="7">
        <v>128.1</v>
      </c>
      <c r="AC63" s="7">
        <v>128.2</v>
      </c>
      <c r="AD63" s="7">
        <v>128.3</v>
      </c>
      <c r="AE63" s="7">
        <v>128.4</v>
      </c>
      <c r="AF63" s="7">
        <v>128.5</v>
      </c>
      <c r="AG63" s="7">
        <v>128.6</v>
      </c>
      <c r="AH63" s="7">
        <v>128.7</v>
      </c>
      <c r="AI63" s="7">
        <v>128.8</v>
      </c>
      <c r="AJ63" s="7">
        <v>128.9</v>
      </c>
      <c r="AK63" s="7">
        <v>129</v>
      </c>
      <c r="AL63" s="7">
        <v>129.1</v>
      </c>
      <c r="AM63" s="7">
        <v>129.2</v>
      </c>
      <c r="AN63" s="7">
        <v>129.3</v>
      </c>
      <c r="AO63" s="7">
        <v>129.4</v>
      </c>
      <c r="AP63" s="7">
        <v>129.5</v>
      </c>
      <c r="AQ63" s="7">
        <v>129.6</v>
      </c>
      <c r="AR63" s="7">
        <v>129.7</v>
      </c>
      <c r="AS63" s="7">
        <v>129.8</v>
      </c>
      <c r="AT63" s="7">
        <v>129.9</v>
      </c>
    </row>
    <row r="64" spans="1:46">
      <c r="A64" s="7">
        <v>33</v>
      </c>
      <c r="B64" s="8">
        <v>-0.03676204489703387</v>
      </c>
      <c r="C64" s="8">
        <v>-0.03686948622443768</v>
      </c>
      <c r="D64" s="8">
        <v>-0.03697605352087443</v>
      </c>
      <c r="E64" s="8">
        <v>-0.03708174359743719</v>
      </c>
      <c r="F64" s="8">
        <v>-0.03718655335940735</v>
      </c>
      <c r="G64" s="8">
        <v>-0.03729047980643898</v>
      </c>
      <c r="H64" s="8">
        <v>-0.03739352003272902</v>
      </c>
      <c r="I64" s="8">
        <v>-0.03749567122716915</v>
      </c>
      <c r="J64" s="8">
        <v>-0.03759693067348539</v>
      </c>
      <c r="K64" s="8">
        <v>-0.03769729575037015</v>
      </c>
      <c r="L64" s="8">
        <v>-0.03779676393157434</v>
      </c>
      <c r="M64" s="8">
        <v>-0.03789533278601844</v>
      </c>
      <c r="N64" s="8">
        <v>-0.0379929999778593</v>
      </c>
      <c r="O64" s="8">
        <v>-0.03808976326656222</v>
      </c>
      <c r="P64" s="8">
        <v>-0.03818562050694627</v>
      </c>
      <c r="Q64" s="8">
        <v>-0.03828056964922446</v>
      </c>
      <c r="R64" s="8">
        <v>-0.0383746087390243</v>
      </c>
      <c r="S64" s="8">
        <v>-0.03846773591739137</v>
      </c>
      <c r="T64" s="8">
        <v>-0.03855994942079644</v>
      </c>
      <c r="U64" s="8">
        <v>-0.03865124758109992</v>
      </c>
      <c r="V64" s="8">
        <v>-0.03874162882553094</v>
      </c>
      <c r="W64" s="8">
        <v>-0.03883109167663878</v>
      </c>
      <c r="X64" s="8">
        <v>-0.03891963475223523</v>
      </c>
      <c r="Y64" s="8">
        <v>-0.03900725676532257</v>
      </c>
      <c r="Z64" s="8">
        <v>-0.0390939565240064</v>
      </c>
      <c r="AA64" s="8">
        <v>-0.03917973293140697</v>
      </c>
      <c r="AB64" s="8">
        <v>-0.03926458498554233</v>
      </c>
      <c r="AC64" s="8">
        <v>-0.03934851177921406</v>
      </c>
      <c r="AD64" s="8">
        <v>-0.03943151249987338</v>
      </c>
      <c r="AE64" s="8">
        <v>-0.03951358642947315</v>
      </c>
      <c r="AF64" s="8">
        <v>-0.03959473294431604</v>
      </c>
      <c r="AG64" s="8">
        <v>-0.03967495151488709</v>
      </c>
      <c r="AH64" s="8">
        <v>-0.03975424170567798</v>
      </c>
      <c r="AI64" s="8">
        <v>-0.03983260317498747</v>
      </c>
      <c r="AJ64" s="8">
        <v>-0.03991003567473683</v>
      </c>
      <c r="AK64" s="8">
        <v>-0.03998653905024944</v>
      </c>
      <c r="AL64" s="8">
        <v>-0.04006211324003228</v>
      </c>
      <c r="AM64" s="8">
        <v>-0.04013675827554639</v>
      </c>
      <c r="AN64" s="8">
        <v>-0.04021047428096267</v>
      </c>
      <c r="AO64" s="8">
        <v>-0.04028326147291548</v>
      </c>
      <c r="AP64" s="8">
        <v>-0.04035512016023848</v>
      </c>
      <c r="AQ64" s="8">
        <v>-0.0404260507437014</v>
      </c>
      <c r="AR64" s="8">
        <v>-0.04049605371571978</v>
      </c>
      <c r="AS64" s="8">
        <v>-0.04056512966007499</v>
      </c>
      <c r="AT64" s="8">
        <v>-0.04063327925161886</v>
      </c>
    </row>
    <row r="65" spans="1:46">
      <c r="A65" s="7">
        <v>33.1</v>
      </c>
      <c r="B65" s="8">
        <v>-0.03670753619938179</v>
      </c>
      <c r="C65" s="8">
        <v>-0.03681375219446643</v>
      </c>
      <c r="D65" s="8">
        <v>-0.03691910113417887</v>
      </c>
      <c r="E65" s="8">
        <v>-0.03702357991166281</v>
      </c>
      <c r="F65" s="8">
        <v>-0.03712718551368983</v>
      </c>
      <c r="G65" s="8">
        <v>-0.03722991502085193</v>
      </c>
      <c r="H65" s="8">
        <v>-0.03733176560770932</v>
      </c>
      <c r="I65" s="8">
        <v>-0.03743273454295491</v>
      </c>
      <c r="J65" s="8">
        <v>-0.03753281918954077</v>
      </c>
      <c r="K65" s="8">
        <v>-0.03763201700479861</v>
      </c>
      <c r="L65" s="8">
        <v>-0.03773032554054989</v>
      </c>
      <c r="M65" s="8">
        <v>-0.03782774244318965</v>
      </c>
      <c r="N65" s="8">
        <v>-0.03792426545376415</v>
      </c>
      <c r="O65" s="8">
        <v>-0.03801989240803163</v>
      </c>
      <c r="P65" s="8">
        <v>-0.0381146212365092</v>
      </c>
      <c r="Q65" s="8">
        <v>-0.03820844996450621</v>
      </c>
      <c r="R65" s="8">
        <v>-0.03830137671214207</v>
      </c>
      <c r="S65" s="8">
        <v>-0.03839339969434707</v>
      </c>
      <c r="T65" s="8">
        <v>-0.03848451722086299</v>
      </c>
      <c r="U65" s="8">
        <v>-0.03857472769621104</v>
      </c>
      <c r="V65" s="8">
        <v>-0.03866402961966493</v>
      </c>
      <c r="W65" s="8">
        <v>-0.03875242158519523</v>
      </c>
      <c r="X65" s="8">
        <v>-0.03883990228141254</v>
      </c>
      <c r="Y65" s="8">
        <v>-0.03892647049149076</v>
      </c>
      <c r="Z65" s="8">
        <v>-0.03901212509308447</v>
      </c>
      <c r="AA65" s="8">
        <v>-0.03909686505822237</v>
      </c>
      <c r="AB65" s="8">
        <v>-0.03918068945320687</v>
      </c>
      <c r="AC65" s="8">
        <v>-0.0392635974384806</v>
      </c>
      <c r="AD65" s="8">
        <v>-0.03934558826849788</v>
      </c>
      <c r="AE65" s="8">
        <v>-0.03942666129157803</v>
      </c>
      <c r="AF65" s="8">
        <v>-0.03950681594974181</v>
      </c>
      <c r="AG65" s="8">
        <v>-0.03958605177855325</v>
      </c>
      <c r="AH65" s="8">
        <v>-0.03966436840692324</v>
      </c>
      <c r="AI65" s="8">
        <v>-0.03974176555693631</v>
      </c>
      <c r="AJ65" s="8">
        <v>-0.03981824304363446</v>
      </c>
      <c r="AK65" s="8">
        <v>-0.03989380077481464</v>
      </c>
      <c r="AL65" s="8">
        <v>-0.03996843875079801</v>
      </c>
      <c r="AM65" s="8">
        <v>-0.04004215706420879</v>
      </c>
      <c r="AN65" s="8">
        <v>-0.04011495589971599</v>
      </c>
      <c r="AO65" s="8">
        <v>-0.04018683553379461</v>
      </c>
      <c r="AP65" s="8">
        <v>-0.04025779633445694</v>
      </c>
      <c r="AQ65" s="8">
        <v>-0.04032783876098538</v>
      </c>
      <c r="AR65" s="8">
        <v>-0.04039696336364429</v>
      </c>
      <c r="AS65" s="8">
        <v>-0.0404651707834006</v>
      </c>
      <c r="AT65" s="8">
        <v>-0.04053246175161505</v>
      </c>
    </row>
    <row r="66" spans="1:46">
      <c r="A66" s="7">
        <v>33.2</v>
      </c>
      <c r="B66" s="8">
        <v>-0.03665324540465668</v>
      </c>
      <c r="C66" s="8">
        <v>-0.03675823538266325</v>
      </c>
      <c r="D66" s="8">
        <v>-0.03686236529771793</v>
      </c>
      <c r="E66" s="8">
        <v>-0.03696563212501136</v>
      </c>
      <c r="F66" s="8">
        <v>-0.03706803293280423</v>
      </c>
      <c r="G66" s="8">
        <v>-0.03716956488260585</v>
      </c>
      <c r="H66" s="8">
        <v>-0.03727022522933741</v>
      </c>
      <c r="I66" s="8">
        <v>-0.03737001132147046</v>
      </c>
      <c r="J66" s="8">
        <v>-0.03746892060116576</v>
      </c>
      <c r="K66" s="8">
        <v>-0.03756695060438435</v>
      </c>
      <c r="L66" s="8">
        <v>-0.03766409896098644</v>
      </c>
      <c r="M66" s="8">
        <v>-0.03776036339481994</v>
      </c>
      <c r="N66" s="8">
        <v>-0.03785574172379445</v>
      </c>
      <c r="O66" s="8">
        <v>-0.03795023185993376</v>
      </c>
      <c r="P66" s="8">
        <v>-0.03804383180942139</v>
      </c>
      <c r="Q66" s="8">
        <v>-0.03813653967262755</v>
      </c>
      <c r="R66" s="8">
        <v>-0.03822835364412924</v>
      </c>
      <c r="S66" s="8">
        <v>-0.03831927201270559</v>
      </c>
      <c r="T66" s="8">
        <v>-0.03840929316132815</v>
      </c>
      <c r="U66" s="8">
        <v>-0.03849841556713933</v>
      </c>
      <c r="V66" s="8">
        <v>-0.03858663780140699</v>
      </c>
      <c r="W66" s="8">
        <v>-0.03867395852948121</v>
      </c>
      <c r="X66" s="8">
        <v>-0.03876037651071993</v>
      </c>
      <c r="Y66" s="8">
        <v>-0.03884589059842014</v>
      </c>
      <c r="Z66" s="8">
        <v>-0.03893049973973053</v>
      </c>
      <c r="AA66" s="8">
        <v>-0.03901420297553511</v>
      </c>
      <c r="AB66" s="8">
        <v>-0.03909699944035978</v>
      </c>
      <c r="AC66" s="8">
        <v>-0.0391788883622322</v>
      </c>
      <c r="AD66" s="8">
        <v>-0.03925986906254959</v>
      </c>
      <c r="AE66" s="8">
        <v>-0.03933994095593274</v>
      </c>
      <c r="AF66" s="8">
        <v>-0.03941910355005618</v>
      </c>
      <c r="AG66" s="8">
        <v>-0.03949735644548831</v>
      </c>
      <c r="AH66" s="8">
        <v>-0.03957469933550044</v>
      </c>
      <c r="AI66" s="8">
        <v>-0.03965113200588313</v>
      </c>
      <c r="AJ66" s="8">
        <v>-0.0397266543347321</v>
      </c>
      <c r="AK66" s="8">
        <v>-0.03980126629223726</v>
      </c>
      <c r="AL66" s="8">
        <v>-0.03987496794046361</v>
      </c>
      <c r="AM66" s="8">
        <v>-0.03994775943311275</v>
      </c>
      <c r="AN66" s="8">
        <v>-0.04001964101527289</v>
      </c>
      <c r="AO66" s="8">
        <v>-0.04009061302317942</v>
      </c>
      <c r="AP66" s="8">
        <v>-0.04016067588393604</v>
      </c>
      <c r="AQ66" s="8">
        <v>-0.04022983011525127</v>
      </c>
      <c r="AR66" s="8">
        <v>-0.04029807632515307</v>
      </c>
      <c r="AS66" s="8">
        <v>-0.0403654152117003</v>
      </c>
      <c r="AT66" s="8">
        <v>-0.04043184756267539</v>
      </c>
    </row>
    <row r="67" spans="1:46">
      <c r="A67" s="7">
        <v>33.3</v>
      </c>
      <c r="B67" s="8">
        <v>-0.03659917531563881</v>
      </c>
      <c r="C67" s="8">
        <v>-0.03670293864819598</v>
      </c>
      <c r="D67" s="8">
        <v>-0.03680584892725118</v>
      </c>
      <c r="E67" s="8">
        <v>-0.03690790321003164</v>
      </c>
      <c r="F67" s="8">
        <v>-0.03700909864627384</v>
      </c>
      <c r="G67" s="8">
        <v>-0.03710943247839626</v>
      </c>
      <c r="H67" s="8">
        <v>-0.03720890204165883</v>
      </c>
      <c r="I67" s="8">
        <v>-0.03730750476429669</v>
      </c>
      <c r="J67" s="8">
        <v>-0.03740523816766057</v>
      </c>
      <c r="K67" s="8">
        <v>-0.03750209986631194</v>
      </c>
      <c r="L67" s="8">
        <v>-0.0375980875681261</v>
      </c>
      <c r="M67" s="8">
        <v>-0.03769319907438114</v>
      </c>
      <c r="N67" s="8">
        <v>-0.03778743227981529</v>
      </c>
      <c r="O67" s="8">
        <v>-0.0378807851726851</v>
      </c>
      <c r="P67" s="8">
        <v>-0.03797325583480617</v>
      </c>
      <c r="Q67" s="8">
        <v>-0.03806484244157655</v>
      </c>
      <c r="R67" s="8">
        <v>-0.0381555432619864</v>
      </c>
      <c r="S67" s="8">
        <v>-0.03824535665862303</v>
      </c>
      <c r="T67" s="8">
        <v>-0.03833428108764707</v>
      </c>
      <c r="U67" s="8">
        <v>-0.03842231509877205</v>
      </c>
      <c r="V67" s="8">
        <v>-0.03850945733521698</v>
      </c>
      <c r="W67" s="8">
        <v>-0.03859570653365409</v>
      </c>
      <c r="X67" s="8">
        <v>-0.03868106152414263</v>
      </c>
      <c r="Y67" s="8">
        <v>-0.03876552123004586</v>
      </c>
      <c r="Z67" s="8">
        <v>-0.03884908466794794</v>
      </c>
      <c r="AA67" s="8">
        <v>-0.03893175094753296</v>
      </c>
      <c r="AB67" s="8">
        <v>-0.03901351927148777</v>
      </c>
      <c r="AC67" s="8">
        <v>-0.03909438893536148</v>
      </c>
      <c r="AD67" s="8">
        <v>-0.03917435932742883</v>
      </c>
      <c r="AE67" s="8">
        <v>-0.03925342992854031</v>
      </c>
      <c r="AF67" s="8">
        <v>-0.03933160031196312</v>
      </c>
      <c r="AG67" s="8">
        <v>-0.03940887014319614</v>
      </c>
      <c r="AH67" s="8">
        <v>-0.03948523917979969</v>
      </c>
      <c r="AI67" s="8">
        <v>-0.03956070727119023</v>
      </c>
      <c r="AJ67" s="8">
        <v>-0.03963527435843979</v>
      </c>
      <c r="AK67" s="8">
        <v>-0.03970894047405835</v>
      </c>
      <c r="AL67" s="8">
        <v>-0.03978170574176829</v>
      </c>
      <c r="AM67" s="8">
        <v>-0.03985357037626773</v>
      </c>
      <c r="AN67" s="8">
        <v>-0.03992453468298222</v>
      </c>
      <c r="AO67" s="8">
        <v>-0.03999459905781553</v>
      </c>
      <c r="AP67" s="8">
        <v>-0.04006376398687532</v>
      </c>
      <c r="AQ67" s="8">
        <v>-0.04013203004621246</v>
      </c>
      <c r="AR67" s="8">
        <v>-0.04019939790151845</v>
      </c>
      <c r="AS67" s="8">
        <v>-0.04026586830785437</v>
      </c>
      <c r="AT67" s="8">
        <v>-0.04033144210933148</v>
      </c>
    </row>
    <row r="68" spans="1:46">
      <c r="A68" s="7">
        <v>33.4</v>
      </c>
      <c r="B68" s="8">
        <v>-0.03654532878181804</v>
      </c>
      <c r="C68" s="8">
        <v>-0.03664786489726719</v>
      </c>
      <c r="D68" s="8">
        <v>-0.03674955498589263</v>
      </c>
      <c r="E68" s="8">
        <v>-0.03685039618694361</v>
      </c>
      <c r="F68" s="8">
        <v>-0.03695038573161735</v>
      </c>
      <c r="G68" s="8">
        <v>-0.03704952094322493</v>
      </c>
      <c r="H68" s="8">
        <v>-0.03714779923734692</v>
      </c>
      <c r="I68" s="8">
        <v>-0.03724521812196038</v>
      </c>
      <c r="J68" s="8">
        <v>-0.03734177519757527</v>
      </c>
      <c r="K68" s="8">
        <v>-0.03743746815733058</v>
      </c>
      <c r="L68" s="8">
        <v>-0.03753229478709219</v>
      </c>
      <c r="M68" s="8">
        <v>-0.03762625296552855</v>
      </c>
      <c r="N68" s="8">
        <v>-0.03771934066417781</v>
      </c>
      <c r="O68" s="8">
        <v>-0.03781155594749315</v>
      </c>
      <c r="P68" s="8">
        <v>-0.03790289697288145</v>
      </c>
      <c r="Q68" s="8">
        <v>-0.03799336199072769</v>
      </c>
      <c r="R68" s="8">
        <v>-0.03808294934439686</v>
      </c>
      <c r="S68" s="8">
        <v>-0.03817165747023292</v>
      </c>
      <c r="T68" s="8">
        <v>-0.03825948489754314</v>
      </c>
      <c r="U68" s="8">
        <v>-0.03834643024856153</v>
      </c>
      <c r="V68" s="8">
        <v>-0.03843249223840157</v>
      </c>
      <c r="W68" s="8">
        <v>-0.0385176696750106</v>
      </c>
      <c r="X68" s="8">
        <v>-0.03860196145908965</v>
      </c>
      <c r="Y68" s="8">
        <v>-0.03868536658401052</v>
      </c>
      <c r="Z68" s="8">
        <v>-0.03876788413572872</v>
      </c>
      <c r="AA68" s="8">
        <v>-0.03884951329266908</v>
      </c>
      <c r="AB68" s="8">
        <v>-0.03893025332561457</v>
      </c>
      <c r="AC68" s="8">
        <v>-0.03901010359756736</v>
      </c>
      <c r="AD68" s="8">
        <v>-0.03908906356361132</v>
      </c>
      <c r="AE68" s="8">
        <v>-0.03916713277076038</v>
      </c>
      <c r="AF68" s="8">
        <v>-0.03924431085779165</v>
      </c>
      <c r="AG68" s="8">
        <v>-0.03932059755506963</v>
      </c>
      <c r="AH68" s="8">
        <v>-0.03939599268435643</v>
      </c>
      <c r="AI68" s="8">
        <v>-0.03947049615862284</v>
      </c>
      <c r="AJ68" s="8">
        <v>-0.03954410798183616</v>
      </c>
      <c r="AK68" s="8">
        <v>-0.03961682824873982</v>
      </c>
      <c r="AL68" s="8">
        <v>-0.03968865714462914</v>
      </c>
      <c r="AM68" s="8">
        <v>-0.03975959494511283</v>
      </c>
      <c r="AN68" s="8">
        <v>-0.03982964201586565</v>
      </c>
      <c r="AO68" s="8">
        <v>-0.0398987988123686</v>
      </c>
      <c r="AP68" s="8">
        <v>-0.03996706587964542</v>
      </c>
      <c r="AQ68" s="8">
        <v>-0.04003444385198485</v>
      </c>
      <c r="AR68" s="8">
        <v>-0.04010093345266004</v>
      </c>
      <c r="AS68" s="8">
        <v>-0.04016653549362328</v>
      </c>
      <c r="AT68" s="8">
        <v>-0.0402312508752205</v>
      </c>
    </row>
    <row r="69" spans="1:46">
      <c r="A69" s="7">
        <v>33.5</v>
      </c>
      <c r="B69" s="8">
        <v>-0.03649170870044553</v>
      </c>
      <c r="C69" s="8">
        <v>-0.03659301708416472</v>
      </c>
      <c r="D69" s="8">
        <v>-0.03669348648516131</v>
      </c>
      <c r="E69" s="8">
        <v>-0.0367931141246931</v>
      </c>
      <c r="F69" s="8">
        <v>-0.0368918973153983</v>
      </c>
      <c r="G69" s="8">
        <v>-0.03698983346145805</v>
      </c>
      <c r="H69" s="8">
        <v>-0.03708692005874816</v>
      </c>
      <c r="I69" s="8">
        <v>-0.0371831546949668</v>
      </c>
      <c r="J69" s="8">
        <v>-0.037278535049753</v>
      </c>
      <c r="K69" s="8">
        <v>-0.03737305889479412</v>
      </c>
      <c r="L69" s="8">
        <v>-0.03746672409390879</v>
      </c>
      <c r="M69" s="8">
        <v>-0.03755952860312846</v>
      </c>
      <c r="N69" s="8">
        <v>-0.03765147047074535</v>
      </c>
      <c r="O69" s="8">
        <v>-0.03774254783737625</v>
      </c>
      <c r="P69" s="8">
        <v>-0.03783275893597349</v>
      </c>
      <c r="Q69" s="8">
        <v>-0.03792210209186546</v>
      </c>
      <c r="R69" s="8">
        <v>-0.0380105757227442</v>
      </c>
      <c r="S69" s="8">
        <v>-0.03809817833866695</v>
      </c>
      <c r="T69" s="8">
        <v>-0.03818490854202654</v>
      </c>
      <c r="U69" s="8">
        <v>-0.03827076502752948</v>
      </c>
      <c r="V69" s="8">
        <v>-0.03835574658213226</v>
      </c>
      <c r="W69" s="8">
        <v>-0.03843985208499205</v>
      </c>
      <c r="X69" s="8">
        <v>-0.0385230805073931</v>
      </c>
      <c r="Y69" s="8">
        <v>-0.03860543091265391</v>
      </c>
      <c r="Z69" s="8">
        <v>-0.03868690245604238</v>
      </c>
      <c r="AA69" s="8">
        <v>-0.03876749438465268</v>
      </c>
      <c r="AB69" s="8">
        <v>-0.03884720603729334</v>
      </c>
      <c r="AC69" s="8">
        <v>-0.03892603684435123</v>
      </c>
      <c r="AD69" s="8">
        <v>-0.03900398632764919</v>
      </c>
      <c r="AE69" s="8">
        <v>-0.03908105410028444</v>
      </c>
      <c r="AF69" s="8">
        <v>-0.03915723986647155</v>
      </c>
      <c r="AG69" s="8">
        <v>-0.03923254342135518</v>
      </c>
      <c r="AH69" s="8">
        <v>-0.03930696465082732</v>
      </c>
      <c r="AI69" s="8">
        <v>-0.03938050353132425</v>
      </c>
      <c r="AJ69" s="8">
        <v>-0.03945316012962241</v>
      </c>
      <c r="AK69" s="8">
        <v>-0.03952493460261799</v>
      </c>
      <c r="AL69" s="8">
        <v>-0.03959582719708656</v>
      </c>
      <c r="AM69" s="8">
        <v>-0.03966583824945893</v>
      </c>
      <c r="AN69" s="8">
        <v>-0.0397349681855637</v>
      </c>
      <c r="AO69" s="8">
        <v>-0.03980321752036673</v>
      </c>
      <c r="AP69" s="8">
        <v>-0.0398705868577089</v>
      </c>
      <c r="AQ69" s="8">
        <v>-0.03993707689002459</v>
      </c>
      <c r="AR69" s="8">
        <v>-0.04000268839805905</v>
      </c>
      <c r="AS69" s="8">
        <v>-0.04006742225056766</v>
      </c>
      <c r="AT69" s="8">
        <v>-0.04013127940401873</v>
      </c>
    </row>
    <row r="70" spans="1:46">
      <c r="A70" s="7">
        <v>33.6</v>
      </c>
      <c r="B70" s="8">
        <v>-0.03643831801759578</v>
      </c>
      <c r="C70" s="8">
        <v>-0.03653839821232232</v>
      </c>
      <c r="D70" s="8">
        <v>-0.03663764648604424</v>
      </c>
      <c r="E70" s="8">
        <v>-0.03673606014200885</v>
      </c>
      <c r="F70" s="8">
        <v>-0.03683363657427367</v>
      </c>
      <c r="G70" s="8">
        <v>-0.03693037326786523</v>
      </c>
      <c r="H70" s="8">
        <v>-0.03702626779893112</v>
      </c>
      <c r="I70" s="8">
        <v>-0.03712131783485439</v>
      </c>
      <c r="J70" s="8">
        <v>-0.03721552113437632</v>
      </c>
      <c r="K70" s="8">
        <v>-0.0373088755476978</v>
      </c>
      <c r="L70" s="8">
        <v>-0.03740137901655363</v>
      </c>
      <c r="M70" s="8">
        <v>-0.03749302957429403</v>
      </c>
      <c r="N70" s="8">
        <v>-0.03758382534593494</v>
      </c>
      <c r="O70" s="8">
        <v>-0.03767376454820113</v>
      </c>
      <c r="P70" s="8">
        <v>-0.03776284548955573</v>
      </c>
      <c r="Q70" s="8">
        <v>-0.03785106657021373</v>
      </c>
      <c r="R70" s="8">
        <v>-0.03793842628214659</v>
      </c>
      <c r="S70" s="8">
        <v>-0.03802492320906925</v>
      </c>
      <c r="T70" s="8">
        <v>-0.03811055602641496</v>
      </c>
      <c r="U70" s="8">
        <v>-0.03819532350129329</v>
      </c>
      <c r="V70" s="8">
        <v>-0.03827922449244934</v>
      </c>
      <c r="W70" s="8">
        <v>-0.03836225795019121</v>
      </c>
      <c r="X70" s="8">
        <v>-0.03844442291631864</v>
      </c>
      <c r="Y70" s="8">
        <v>-0.03852571852403575</v>
      </c>
      <c r="Z70" s="8">
        <v>-0.03860614399784588</v>
      </c>
      <c r="AA70" s="8">
        <v>-0.03868569865344647</v>
      </c>
      <c r="AB70" s="8">
        <v>-0.03876438189760254</v>
      </c>
      <c r="AC70" s="8">
        <v>-0.03884219322800622</v>
      </c>
      <c r="AD70" s="8">
        <v>-0.03891913223314471</v>
      </c>
      <c r="AE70" s="8">
        <v>-0.03899519859212077</v>
      </c>
      <c r="AF70" s="8">
        <v>-0.03907039207450413</v>
      </c>
      <c r="AG70" s="8">
        <v>-0.03914471254013776</v>
      </c>
      <c r="AH70" s="8">
        <v>-0.03921815993895698</v>
      </c>
      <c r="AI70" s="8">
        <v>-0.0392907343107801</v>
      </c>
      <c r="AJ70" s="8">
        <v>-0.03936243578510368</v>
      </c>
      <c r="AK70" s="8">
        <v>-0.03943326458087739</v>
      </c>
      <c r="AL70" s="8">
        <v>-0.03950322100627322</v>
      </c>
      <c r="AM70" s="8">
        <v>-0.03957230545845061</v>
      </c>
      <c r="AN70" s="8">
        <v>-0.03964051842328757</v>
      </c>
      <c r="AO70" s="8">
        <v>-0.0397078604751437</v>
      </c>
      <c r="AP70" s="8">
        <v>-0.03977433227657556</v>
      </c>
      <c r="AQ70" s="8">
        <v>-0.03983993457806019</v>
      </c>
      <c r="AR70" s="8">
        <v>-0.03990466821771186</v>
      </c>
      <c r="AS70" s="8">
        <v>-0.03996853412098389</v>
      </c>
      <c r="AT70" s="8">
        <v>-0.04003153330035829</v>
      </c>
    </row>
    <row r="71" spans="1:46">
      <c r="A71" s="7">
        <v>33.7</v>
      </c>
      <c r="B71" s="8">
        <v>-0.03638515972924008</v>
      </c>
      <c r="C71" s="8">
        <v>-0.03648401133538197</v>
      </c>
      <c r="D71" s="8">
        <v>-0.03658203810005141</v>
      </c>
      <c r="E71" s="8">
        <v>-0.03667923740845982</v>
      </c>
      <c r="F71" s="8">
        <v>-0.03677560673605704</v>
      </c>
      <c r="G71" s="8">
        <v>-0.03687114364868922</v>
      </c>
      <c r="H71" s="8">
        <v>-0.03696584580273914</v>
      </c>
      <c r="I71" s="8">
        <v>-0.03705971094524631</v>
      </c>
      <c r="J71" s="8">
        <v>-0.03715273691401925</v>
      </c>
      <c r="K71" s="8">
        <v>-0.03724492163773103</v>
      </c>
      <c r="L71" s="8">
        <v>-0.03733626313599583</v>
      </c>
      <c r="M71" s="8">
        <v>-0.0374267595194409</v>
      </c>
      <c r="N71" s="8">
        <v>-0.03751640898975275</v>
      </c>
      <c r="O71" s="8">
        <v>-0.0376052098397258</v>
      </c>
      <c r="P71" s="8">
        <v>-0.0376931604532766</v>
      </c>
      <c r="Q71" s="8">
        <v>-0.0377802593054641</v>
      </c>
      <c r="R71" s="8">
        <v>-0.0378665049624793</v>
      </c>
      <c r="S71" s="8">
        <v>-0.03795189608163927</v>
      </c>
      <c r="T71" s="8">
        <v>-0.03803643141135406</v>
      </c>
      <c r="U71" s="8">
        <v>-0.03812010979108536</v>
      </c>
      <c r="V71" s="8">
        <v>-0.03820293015129526</v>
      </c>
      <c r="W71" s="8">
        <v>-0.03828489151337742</v>
      </c>
      <c r="X71" s="8">
        <v>-0.03836599298958401</v>
      </c>
      <c r="Y71" s="8">
        <v>-0.03844623378292696</v>
      </c>
      <c r="Z71" s="8">
        <v>-0.03852561318708432</v>
      </c>
      <c r="AA71" s="8">
        <v>-0.0386041305862749</v>
      </c>
      <c r="AB71" s="8">
        <v>-0.038681785455144</v>
      </c>
      <c r="AC71" s="8">
        <v>-0.0387585773586185</v>
      </c>
      <c r="AD71" s="8">
        <v>-0.03883450595175599</v>
      </c>
      <c r="AE71" s="8">
        <v>-0.03890957097959209</v>
      </c>
      <c r="AF71" s="8">
        <v>-0.03898377227696166</v>
      </c>
      <c r="AG71" s="8">
        <v>-0.03905710976832495</v>
      </c>
      <c r="AH71" s="8">
        <v>-0.03912958346756525</v>
      </c>
      <c r="AI71" s="8">
        <v>-0.03920119347779583</v>
      </c>
      <c r="AJ71" s="8">
        <v>-0.0392719399911412</v>
      </c>
      <c r="AK71" s="8">
        <v>-0.03934182328851197</v>
      </c>
      <c r="AL71" s="8">
        <v>-0.03941084373937667</v>
      </c>
      <c r="AM71" s="8">
        <v>-0.03947900180151951</v>
      </c>
      <c r="AN71" s="8">
        <v>-0.03954629802078102</v>
      </c>
      <c r="AO71" s="8">
        <v>-0.03961273303080297</v>
      </c>
      <c r="AP71" s="8">
        <v>-0.03967830755275248</v>
      </c>
      <c r="AQ71" s="8">
        <v>-0.03974302239504936</v>
      </c>
      <c r="AR71" s="8">
        <v>-0.03980687845306612</v>
      </c>
      <c r="AS71" s="8">
        <v>-0.03986987670884155</v>
      </c>
      <c r="AT71" s="8">
        <v>-0.03993201823076849</v>
      </c>
    </row>
    <row r="72" spans="1:46">
      <c r="A72" s="7">
        <v>33.8</v>
      </c>
      <c r="B72" s="8">
        <v>-0.03633223688231411</v>
      </c>
      <c r="C72" s="8">
        <v>-0.0364298595582774</v>
      </c>
      <c r="D72" s="8">
        <v>-0.03652666449030093</v>
      </c>
      <c r="E72" s="8">
        <v>-0.03662264914553397</v>
      </c>
      <c r="F72" s="8">
        <v>-0.03671781108078988</v>
      </c>
      <c r="G72" s="8">
        <v>-0.03681214794270424</v>
      </c>
      <c r="H72" s="8">
        <v>-0.03690565746785932</v>
      </c>
      <c r="I72" s="8">
        <v>-0.03699833748291592</v>
      </c>
      <c r="J72" s="8">
        <v>-0.03709018590470627</v>
      </c>
      <c r="K72" s="8">
        <v>-0.03718120074033813</v>
      </c>
      <c r="L72" s="8">
        <v>-0.03727138008725959</v>
      </c>
      <c r="M72" s="8">
        <v>-0.03736072213332396</v>
      </c>
      <c r="N72" s="8">
        <v>-0.03744922515684976</v>
      </c>
      <c r="O72" s="8">
        <v>-0.0375368875266421</v>
      </c>
      <c r="P72" s="8">
        <v>-0.0376237077020205</v>
      </c>
      <c r="Q72" s="8">
        <v>-0.03770968423282799</v>
      </c>
      <c r="R72" s="8">
        <v>-0.03779481575942043</v>
      </c>
      <c r="S72" s="8">
        <v>-0.03787910101265748</v>
      </c>
      <c r="T72" s="8">
        <v>-0.03796253881386012</v>
      </c>
      <c r="U72" s="8">
        <v>-0.03804512807477902</v>
      </c>
      <c r="V72" s="8">
        <v>-0.03812686779752692</v>
      </c>
      <c r="W72" s="8">
        <v>-0.03820775707451372</v>
      </c>
      <c r="X72" s="8">
        <v>-0.03828779508837101</v>
      </c>
      <c r="Y72" s="8">
        <v>-0.03836698111184748</v>
      </c>
      <c r="Z72" s="8">
        <v>-0.03844531450771331</v>
      </c>
      <c r="AA72" s="8">
        <v>-0.03852279472863636</v>
      </c>
      <c r="AB72" s="8">
        <v>-0.03859942131706404</v>
      </c>
      <c r="AC72" s="8">
        <v>-0.03867519390506367</v>
      </c>
      <c r="AD72" s="8">
        <v>-0.0387501122141936</v>
      </c>
      <c r="AE72" s="8">
        <v>-0.03882417605532691</v>
      </c>
      <c r="AF72" s="8">
        <v>-0.03889738532847922</v>
      </c>
      <c r="AG72" s="8">
        <v>-0.03896974002263391</v>
      </c>
      <c r="AH72" s="8">
        <v>-0.0390412402155345</v>
      </c>
      <c r="AI72" s="8">
        <v>-0.0391118860734883</v>
      </c>
      <c r="AJ72" s="8">
        <v>-0.0391816778511533</v>
      </c>
      <c r="AK72" s="8">
        <v>-0.03925061589130419</v>
      </c>
      <c r="AL72" s="8">
        <v>-0.03931870062460643</v>
      </c>
      <c r="AM72" s="8">
        <v>-0.03938593256936471</v>
      </c>
      <c r="AN72" s="8">
        <v>-0.03945231233127729</v>
      </c>
      <c r="AO72" s="8">
        <v>-0.03951784060316203</v>
      </c>
      <c r="AP72" s="8">
        <v>-0.03958251816469342</v>
      </c>
      <c r="AQ72" s="8">
        <v>-0.03964634588211595</v>
      </c>
      <c r="AR72" s="8">
        <v>-0.03970932470795852</v>
      </c>
      <c r="AS72" s="8">
        <v>-0.03977145568072586</v>
      </c>
      <c r="AT72" s="8">
        <v>-0.03983273992460568</v>
      </c>
    </row>
    <row r="73" spans="1:46">
      <c r="A73" s="7">
        <v>33.9</v>
      </c>
      <c r="B73" s="8">
        <v>-0.03627955257581235</v>
      </c>
      <c r="C73" s="8">
        <v>-0.03637594603830561</v>
      </c>
      <c r="D73" s="8">
        <v>-0.03647152887258773</v>
      </c>
      <c r="E73" s="8">
        <v>-0.03656629862770995</v>
      </c>
      <c r="F73" s="8">
        <v>-0.03666025294181878</v>
      </c>
      <c r="G73" s="8">
        <v>-0.03675338954229677</v>
      </c>
      <c r="H73" s="8">
        <v>-0.03684570624589725</v>
      </c>
      <c r="I73" s="8">
        <v>-0.03693720095885382</v>
      </c>
      <c r="J73" s="8">
        <v>-0.03702787167698389</v>
      </c>
      <c r="K73" s="8">
        <v>-0.03711771648578192</v>
      </c>
      <c r="L73" s="8">
        <v>-0.03720673356047986</v>
      </c>
      <c r="M73" s="8">
        <v>-0.03729492116611723</v>
      </c>
      <c r="N73" s="8">
        <v>-0.03738227765757998</v>
      </c>
      <c r="O73" s="8">
        <v>-0.03746880147963605</v>
      </c>
      <c r="P73" s="8">
        <v>-0.03755449116694561</v>
      </c>
      <c r="Q73" s="8">
        <v>-0.03763934534408069</v>
      </c>
      <c r="R73" s="8">
        <v>-0.03772336272549807</v>
      </c>
      <c r="S73" s="8">
        <v>-0.03780654211553482</v>
      </c>
      <c r="T73" s="8">
        <v>-0.0378888824083603</v>
      </c>
      <c r="U73" s="8">
        <v>-0.03797038258793908</v>
      </c>
      <c r="V73" s="8">
        <v>-0.03805104172796678</v>
      </c>
      <c r="W73" s="8">
        <v>-0.03813085899179765</v>
      </c>
      <c r="X73" s="8">
        <v>-0.03820983363236543</v>
      </c>
      <c r="Y73" s="8">
        <v>-0.03828796499207794</v>
      </c>
      <c r="Z73" s="8">
        <v>-0.03836525250271965</v>
      </c>
      <c r="AA73" s="8">
        <v>-0.03844169568532418</v>
      </c>
      <c r="AB73" s="8">
        <v>-0.03851729415005049</v>
      </c>
      <c r="AC73" s="8">
        <v>-0.03859204759603241</v>
      </c>
      <c r="AD73" s="8">
        <v>-0.03866595581123278</v>
      </c>
      <c r="AE73" s="8">
        <v>-0.03873901867227101</v>
      </c>
      <c r="AF73" s="8">
        <v>-0.03881123614425572</v>
      </c>
      <c r="AG73" s="8">
        <v>-0.03888260828059451</v>
      </c>
      <c r="AH73" s="8">
        <v>-0.0389531352227948</v>
      </c>
      <c r="AI73" s="8">
        <v>-0.03902281720026579</v>
      </c>
      <c r="AJ73" s="8">
        <v>-0.03909165453009145</v>
      </c>
      <c r="AK73" s="8">
        <v>-0.03915964761680932</v>
      </c>
      <c r="AL73" s="8">
        <v>-0.03922679695217788</v>
      </c>
      <c r="AM73" s="8">
        <v>-0.03929310311491854</v>
      </c>
      <c r="AN73" s="8">
        <v>-0.03935856677047411</v>
      </c>
      <c r="AO73" s="8">
        <v>-0.03942318867073454</v>
      </c>
      <c r="AP73" s="8">
        <v>-0.03948696965376434</v>
      </c>
      <c r="AQ73" s="8">
        <v>-0.0395499106435242</v>
      </c>
      <c r="AR73" s="8">
        <v>-0.03961201264957488</v>
      </c>
      <c r="AS73" s="8">
        <v>-0.03967327676678245</v>
      </c>
      <c r="AT73" s="8">
        <v>-0.0397337041750049</v>
      </c>
    </row>
    <row r="74" spans="1:46">
      <c r="A74" s="7">
        <v>34</v>
      </c>
      <c r="B74" s="8">
        <v>-0.03622710996187593</v>
      </c>
      <c r="C74" s="8">
        <v>-0.036322273986233</v>
      </c>
      <c r="D74" s="8">
        <v>-0.03641663451648434</v>
      </c>
      <c r="E74" s="8">
        <v>-0.03651018918355185</v>
      </c>
      <c r="F74" s="8">
        <v>-0.03660293570687471</v>
      </c>
      <c r="G74" s="8">
        <v>-0.0366948718945487</v>
      </c>
      <c r="H74" s="8">
        <v>-0.03678599564345095</v>
      </c>
      <c r="I74" s="8">
        <v>-0.03687630493934648</v>
      </c>
      <c r="J74" s="8">
        <v>-0.03696579785699061</v>
      </c>
      <c r="K74" s="8">
        <v>-0.03705447256021444</v>
      </c>
      <c r="L74" s="8">
        <v>-0.03714232730198504</v>
      </c>
      <c r="M74" s="8">
        <v>-0.03722936042446783</v>
      </c>
      <c r="N74" s="8">
        <v>-0.03731557035906388</v>
      </c>
      <c r="O74" s="8">
        <v>-0.0374009556264431</v>
      </c>
      <c r="P74" s="8">
        <v>-0.03748551483655245</v>
      </c>
      <c r="Q74" s="8">
        <v>-0.03756924668861874</v>
      </c>
      <c r="R74" s="8">
        <v>-0.0376521499711421</v>
      </c>
      <c r="S74" s="8">
        <v>-0.03773422356186255</v>
      </c>
      <c r="T74" s="8">
        <v>-0.03781546642773161</v>
      </c>
      <c r="U74" s="8">
        <v>-0.03789587762485667</v>
      </c>
      <c r="V74" s="8">
        <v>-0.03797545629843775</v>
      </c>
      <c r="W74" s="8">
        <v>-0.0380542016826956</v>
      </c>
      <c r="X74" s="8">
        <v>-0.03813211310078533</v>
      </c>
      <c r="Y74" s="8">
        <v>-0.03820918996469782</v>
      </c>
      <c r="Z74" s="8">
        <v>-0.03828543177514447</v>
      </c>
      <c r="AA74" s="8">
        <v>-0.03836083812144011</v>
      </c>
      <c r="AB74" s="8">
        <v>-0.03843540868136906</v>
      </c>
      <c r="AC74" s="8">
        <v>-0.0385091432210384</v>
      </c>
      <c r="AD74" s="8">
        <v>-0.03858204159472152</v>
      </c>
      <c r="AE74" s="8">
        <v>-0.03865410374469427</v>
      </c>
      <c r="AF74" s="8">
        <v>-0.03872532970105809</v>
      </c>
      <c r="AG74" s="8">
        <v>-0.03879571958154813</v>
      </c>
      <c r="AH74" s="8">
        <v>-0.03886527359133538</v>
      </c>
      <c r="AI74" s="8">
        <v>-0.0389339920228263</v>
      </c>
      <c r="AJ74" s="8">
        <v>-0.0390018752554294</v>
      </c>
      <c r="AK74" s="8">
        <v>-0.03906892375533921</v>
      </c>
      <c r="AL74" s="8">
        <v>-0.03913513807529192</v>
      </c>
      <c r="AM74" s="8">
        <v>-0.03920051885432585</v>
      </c>
      <c r="AN74" s="8">
        <v>-0.03926506681750794</v>
      </c>
      <c r="AO74" s="8">
        <v>-0.03932878277568967</v>
      </c>
      <c r="AP74" s="8">
        <v>-0.03939166762520933</v>
      </c>
      <c r="AQ74" s="8">
        <v>-0.03945372234762523</v>
      </c>
      <c r="AR74" s="8">
        <v>-0.03951494800941582</v>
      </c>
      <c r="AS74" s="8">
        <v>-0.03957534576167987</v>
      </c>
      <c r="AT74" s="8">
        <v>-0.03963491683982064</v>
      </c>
    </row>
    <row r="75" spans="1:46">
      <c r="A75" s="7">
        <v>34.1</v>
      </c>
      <c r="B75" s="8">
        <v>-0.03617491224689307</v>
      </c>
      <c r="C75" s="8">
        <v>-0.03626884666738093</v>
      </c>
      <c r="D75" s="8">
        <v>-0.03636198474642818</v>
      </c>
      <c r="E75" s="8">
        <v>-0.03645432419679242</v>
      </c>
      <c r="F75" s="8">
        <v>-0.03654586281917247</v>
      </c>
      <c r="G75" s="8">
        <v>-0.03663659850232435</v>
      </c>
      <c r="H75" s="8">
        <v>-0.03672652922320516</v>
      </c>
      <c r="I75" s="8">
        <v>-0.03681565304706406</v>
      </c>
      <c r="J75" s="8">
        <v>-0.03690396812754689</v>
      </c>
      <c r="K75" s="8">
        <v>-0.03699147270676199</v>
      </c>
      <c r="L75" s="8">
        <v>-0.03707816511536048</v>
      </c>
      <c r="M75" s="8">
        <v>-0.03716404377257465</v>
      </c>
      <c r="N75" s="8">
        <v>-0.03724910718626369</v>
      </c>
      <c r="O75" s="8">
        <v>-0.03733335395293143</v>
      </c>
      <c r="P75" s="8">
        <v>-0.03741678275774678</v>
      </c>
      <c r="Q75" s="8">
        <v>-0.03749939237452846</v>
      </c>
      <c r="R75" s="8">
        <v>-0.03758118166574516</v>
      </c>
      <c r="S75" s="8">
        <v>-0.03766214958247414</v>
      </c>
      <c r="T75" s="8">
        <v>-0.03774229516436876</v>
      </c>
      <c r="U75" s="8">
        <v>-0.03782161753960356</v>
      </c>
      <c r="V75" s="8">
        <v>-0.03790011592480482</v>
      </c>
      <c r="W75" s="8">
        <v>-0.03797778962498253</v>
      </c>
      <c r="X75" s="8">
        <v>-0.0380546380334291</v>
      </c>
      <c r="Y75" s="8">
        <v>-0.03813066063162616</v>
      </c>
      <c r="Z75" s="8">
        <v>-0.03820585698912957</v>
      </c>
      <c r="AA75" s="8">
        <v>-0.03828022676344389</v>
      </c>
      <c r="AB75" s="8">
        <v>-0.0383537696998868</v>
      </c>
      <c r="AC75" s="8">
        <v>-0.03842648563144522</v>
      </c>
      <c r="AD75" s="8">
        <v>-0.03849837447860764</v>
      </c>
      <c r="AE75" s="8">
        <v>-0.03856943624920887</v>
      </c>
      <c r="AF75" s="8">
        <v>-0.03863967103823818</v>
      </c>
      <c r="AG75" s="8">
        <v>-0.0387090790276595</v>
      </c>
      <c r="AH75" s="8">
        <v>-0.03877766048620508</v>
      </c>
      <c r="AI75" s="8">
        <v>-0.03884541576916405</v>
      </c>
      <c r="AJ75" s="8">
        <v>-0.03891234531816714</v>
      </c>
      <c r="AK75" s="8">
        <v>-0.03897844966095576</v>
      </c>
      <c r="AL75" s="8">
        <v>-0.03904372941113365</v>
      </c>
      <c r="AM75" s="8">
        <v>-0.03910818526793136</v>
      </c>
      <c r="AN75" s="8">
        <v>-0.03917181801593798</v>
      </c>
      <c r="AO75" s="8">
        <v>-0.03923462852483617</v>
      </c>
      <c r="AP75" s="8">
        <v>-0.03929661774912461</v>
      </c>
      <c r="AQ75" s="8">
        <v>-0.03935778672783848</v>
      </c>
      <c r="AR75" s="8">
        <v>-0.03941813658424635</v>
      </c>
      <c r="AS75" s="8">
        <v>-0.0394776685255561</v>
      </c>
      <c r="AT75" s="8">
        <v>-0.03953638384259861</v>
      </c>
    </row>
    <row r="76" spans="1:46">
      <c r="A76" s="7">
        <v>34.2</v>
      </c>
      <c r="B76" s="8">
        <v>-0.03612296269261783</v>
      </c>
      <c r="C76" s="8">
        <v>-0.03621566740273785</v>
      </c>
      <c r="D76" s="8">
        <v>-0.03630758294283414</v>
      </c>
      <c r="E76" s="8">
        <v>-0.03639870710745612</v>
      </c>
      <c r="F76" s="8">
        <v>-0.03648903777850716</v>
      </c>
      <c r="G76" s="8">
        <v>-0.03657857292536857</v>
      </c>
      <c r="H76" s="8">
        <v>-0.03666731060502286</v>
      </c>
      <c r="I76" s="8">
        <v>-0.03675524896215485</v>
      </c>
      <c r="J76" s="8">
        <v>-0.03684238622923672</v>
      </c>
      <c r="K76" s="8">
        <v>-0.03692872072661189</v>
      </c>
      <c r="L76" s="8">
        <v>-0.03701425086254399</v>
      </c>
      <c r="M76" s="8">
        <v>-0.03709897513327753</v>
      </c>
      <c r="N76" s="8">
        <v>-0.03718289212305734</v>
      </c>
      <c r="O76" s="8">
        <v>-0.03726600050416593</v>
      </c>
      <c r="P76" s="8">
        <v>-0.03734829903691441</v>
      </c>
      <c r="Q76" s="8">
        <v>-0.03742978656965103</v>
      </c>
      <c r="R76" s="8">
        <v>-0.03751046203873507</v>
      </c>
      <c r="S76" s="8">
        <v>-0.03759032446850341</v>
      </c>
      <c r="T76" s="8">
        <v>-0.03766937297123629</v>
      </c>
      <c r="U76" s="8">
        <v>-0.03774760674709228</v>
      </c>
      <c r="V76" s="8">
        <v>-0.03782502508404732</v>
      </c>
      <c r="W76" s="8">
        <v>-0.03790162735780526</v>
      </c>
      <c r="X76" s="8">
        <v>-0.03797741303171556</v>
      </c>
      <c r="Y76" s="8">
        <v>-0.03805238165666154</v>
      </c>
      <c r="Z76" s="8">
        <v>-0.03812653287094925</v>
      </c>
      <c r="AA76" s="8">
        <v>-0.03819986640018023</v>
      </c>
      <c r="AB76" s="8">
        <v>-0.03827238205711048</v>
      </c>
      <c r="AC76" s="8">
        <v>-0.03834407974150374</v>
      </c>
      <c r="AD76" s="8">
        <v>-0.0384149594399684</v>
      </c>
      <c r="AE76" s="8">
        <v>-0.03848502122579341</v>
      </c>
      <c r="AF76" s="8">
        <v>-0.03855426525875565</v>
      </c>
      <c r="AG76" s="8">
        <v>-0.03862269178493598</v>
      </c>
      <c r="AH76" s="8">
        <v>-0.03869030113651952</v>
      </c>
      <c r="AI76" s="8">
        <v>-0.03875709373157506</v>
      </c>
      <c r="AJ76" s="8">
        <v>-0.03882307007383794</v>
      </c>
      <c r="AK76" s="8">
        <v>-0.03888823075247672</v>
      </c>
      <c r="AL76" s="8">
        <v>-0.0389525764418547</v>
      </c>
      <c r="AM76" s="8">
        <v>-0.03901610790127599</v>
      </c>
      <c r="AN76" s="8">
        <v>-0.03907882597472465</v>
      </c>
      <c r="AO76" s="8">
        <v>-0.03914073159060046</v>
      </c>
      <c r="AP76" s="8">
        <v>-0.03920182576143674</v>
      </c>
      <c r="AQ76" s="8">
        <v>-0.03926210958361658</v>
      </c>
      <c r="AR76" s="8">
        <v>-0.03932158423707541</v>
      </c>
      <c r="AS76" s="8">
        <v>-0.03938025098499871</v>
      </c>
      <c r="AT76" s="8">
        <v>-0.03943811117351146</v>
      </c>
    </row>
    <row r="77" spans="1:46">
      <c r="A77" s="7">
        <v>34.3</v>
      </c>
      <c r="B77" s="8">
        <v>-0.03607126461727237</v>
      </c>
      <c r="C77" s="8">
        <v>-0.03616273957007791</v>
      </c>
      <c r="D77" s="8">
        <v>-0.0362534325432037</v>
      </c>
      <c r="E77" s="8">
        <v>-0.03634334141294548</v>
      </c>
      <c r="F77" s="8">
        <v>-0.03643246414236465</v>
      </c>
      <c r="G77" s="8">
        <v>-0.03652079878141468</v>
      </c>
      <c r="H77" s="8">
        <v>-0.03660834346705233</v>
      </c>
      <c r="I77" s="8">
        <v>-0.03669509642333822</v>
      </c>
      <c r="J77" s="8">
        <v>-0.03678105596152204</v>
      </c>
      <c r="K77" s="8">
        <v>-0.03686622048010548</v>
      </c>
      <c r="L77" s="8">
        <v>-0.03695058846491577</v>
      </c>
      <c r="M77" s="8">
        <v>-0.03703415848913458</v>
      </c>
      <c r="N77" s="8">
        <v>-0.0371169292133354</v>
      </c>
      <c r="O77" s="8">
        <v>-0.03719889938549627</v>
      </c>
      <c r="P77" s="8">
        <v>-0.03728006784100923</v>
      </c>
      <c r="Q77" s="8">
        <v>-0.03736043350266734</v>
      </c>
      <c r="R77" s="8">
        <v>-0.03743999538064351</v>
      </c>
      <c r="S77" s="8">
        <v>-0.03751875257246411</v>
      </c>
      <c r="T77" s="8">
        <v>-0.0375967042629437</v>
      </c>
      <c r="U77" s="8">
        <v>-0.03767384972414831</v>
      </c>
      <c r="V77" s="8">
        <v>-0.0377501883153073</v>
      </c>
      <c r="W77" s="8">
        <v>-0.03782571948273876</v>
      </c>
      <c r="X77" s="8">
        <v>-0.03790044275975078</v>
      </c>
      <c r="Y77" s="8">
        <v>-0.03797435776653905</v>
      </c>
      <c r="Z77" s="8">
        <v>-0.03804746421006548</v>
      </c>
      <c r="AA77" s="8">
        <v>-0.03811976188392663</v>
      </c>
      <c r="AB77" s="8">
        <v>-0.03819125066821982</v>
      </c>
      <c r="AC77" s="8">
        <v>-0.03826193052938152</v>
      </c>
      <c r="AD77" s="8">
        <v>-0.03833180152003983</v>
      </c>
      <c r="AE77" s="8">
        <v>-0.03840086377882486</v>
      </c>
      <c r="AF77" s="8">
        <v>-0.03846911753019526</v>
      </c>
      <c r="AG77" s="8">
        <v>-0.03853656308424469</v>
      </c>
      <c r="AH77" s="8">
        <v>-0.03860320083649249</v>
      </c>
      <c r="AI77" s="8">
        <v>-0.03866903126767198</v>
      </c>
      <c r="AJ77" s="8">
        <v>-0.0387340549435077</v>
      </c>
      <c r="AK77" s="8">
        <v>-0.03879827251447985</v>
      </c>
      <c r="AL77" s="8">
        <v>-0.03886168471558769</v>
      </c>
      <c r="AM77" s="8">
        <v>-0.03892429236608805</v>
      </c>
      <c r="AN77" s="8">
        <v>-0.03898609636923744</v>
      </c>
      <c r="AO77" s="8">
        <v>-0.03904709771202377</v>
      </c>
      <c r="AP77" s="8">
        <v>-0.03910729746488854</v>
      </c>
      <c r="AQ77" s="8">
        <v>-0.03916669678143307</v>
      </c>
      <c r="AR77" s="8">
        <v>-0.03922529689812819</v>
      </c>
      <c r="AS77" s="8">
        <v>-0.03928309913400731</v>
      </c>
      <c r="AT77" s="8">
        <v>-0.03934010489034918</v>
      </c>
    </row>
    <row r="78" spans="1:46">
      <c r="A78" s="7">
        <v>34.4</v>
      </c>
      <c r="B78" s="8">
        <v>-0.03601982139668216</v>
      </c>
      <c r="C78" s="8">
        <v>-0.036110066605079</v>
      </c>
      <c r="D78" s="8">
        <v>-0.03619953704324637</v>
      </c>
      <c r="E78" s="8">
        <v>-0.03628823066917679</v>
      </c>
      <c r="F78" s="8">
        <v>-0.03637614552703798</v>
      </c>
      <c r="G78" s="8">
        <v>-0.03646327974729964</v>
      </c>
      <c r="H78" s="8">
        <v>-0.03654963154683592</v>
      </c>
      <c r="I78" s="8">
        <v>-0.03663519922902499</v>
      </c>
      <c r="J78" s="8">
        <v>-0.0367199811838244</v>
      </c>
      <c r="K78" s="8">
        <v>-0.03680397588784601</v>
      </c>
      <c r="L78" s="8">
        <v>-0.0368871819044001</v>
      </c>
      <c r="M78" s="8">
        <v>-0.03696959788353738</v>
      </c>
      <c r="N78" s="8">
        <v>-0.03705122256208817</v>
      </c>
      <c r="O78" s="8">
        <v>-0.03713205476365537</v>
      </c>
      <c r="P78" s="8">
        <v>-0.03721209339863059</v>
      </c>
      <c r="Q78" s="8">
        <v>-0.03729133746417616</v>
      </c>
      <c r="R78" s="8">
        <v>-0.03736978604420003</v>
      </c>
      <c r="S78" s="8">
        <v>-0.03744743830932436</v>
      </c>
      <c r="T78" s="8">
        <v>-0.03752429351682274</v>
      </c>
      <c r="U78" s="8">
        <v>-0.03760035101057006</v>
      </c>
      <c r="V78" s="8">
        <v>-0.03767561022096651</v>
      </c>
      <c r="W78" s="8">
        <v>-0.03775007066484548</v>
      </c>
      <c r="X78" s="8">
        <v>-0.03782373194538487</v>
      </c>
      <c r="Y78" s="8">
        <v>-0.03789659375199186</v>
      </c>
      <c r="Z78" s="8">
        <v>-0.0379686558601815</v>
      </c>
      <c r="AA78" s="8">
        <v>-0.03803991813144769</v>
      </c>
      <c r="AB78" s="8">
        <v>-0.03811038051312252</v>
      </c>
      <c r="AC78" s="8">
        <v>-0.03818004303821567</v>
      </c>
      <c r="AD78" s="8">
        <v>-0.03824890582525527</v>
      </c>
      <c r="AE78" s="8">
        <v>-0.0383169690781127</v>
      </c>
      <c r="AF78" s="8">
        <v>-0.03838423308581333</v>
      </c>
      <c r="AG78" s="8">
        <v>-0.03845069822234493</v>
      </c>
      <c r="AH78" s="8">
        <v>-0.03851636494644737</v>
      </c>
      <c r="AI78" s="8">
        <v>-0.03858123380140092</v>
      </c>
      <c r="AJ78" s="8">
        <v>-0.03864530541479781</v>
      </c>
      <c r="AK78" s="8">
        <v>-0.03870858049831263</v>
      </c>
      <c r="AL78" s="8">
        <v>-0.03877105984744844</v>
      </c>
      <c r="AM78" s="8">
        <v>-0.03883274434128978</v>
      </c>
      <c r="AN78" s="8">
        <v>-0.0388936349422405</v>
      </c>
      <c r="AO78" s="8">
        <v>-0.0389537326957484</v>
      </c>
      <c r="AP78" s="8">
        <v>-0.03901303873002604</v>
      </c>
      <c r="AQ78" s="8">
        <v>-0.03907155425576399</v>
      </c>
      <c r="AR78" s="8">
        <v>-0.03912928056583276</v>
      </c>
      <c r="AS78" s="8">
        <v>-0.0391862190349709</v>
      </c>
      <c r="AT78" s="8">
        <v>-0.03924237111947946</v>
      </c>
    </row>
    <row r="79" spans="1:46">
      <c r="A79" s="7">
        <v>34.5</v>
      </c>
      <c r="B79" s="8">
        <v>-0.03596863646541113</v>
      </c>
      <c r="C79" s="8">
        <v>-0.03605765200245888</v>
      </c>
      <c r="D79" s="8">
        <v>-0.03614589999801048</v>
      </c>
      <c r="E79" s="8">
        <v>-0.03623337849170057</v>
      </c>
      <c r="F79" s="8">
        <v>-0.03632008560874986</v>
      </c>
      <c r="G79" s="8">
        <v>-0.0364060195600814</v>
      </c>
      <c r="H79" s="8">
        <v>-0.03649117864243027</v>
      </c>
      <c r="I79" s="8">
        <v>-0.03657556123842589</v>
      </c>
      <c r="J79" s="8">
        <v>-0.03665916581666941</v>
      </c>
      <c r="K79" s="8">
        <v>-0.03674199093180839</v>
      </c>
      <c r="L79" s="8">
        <v>-0.03682403522456781</v>
      </c>
      <c r="M79" s="8">
        <v>-0.03690529742180253</v>
      </c>
      <c r="N79" s="8">
        <v>-0.0369857763365129</v>
      </c>
      <c r="O79" s="8">
        <v>-0.03706547086785186</v>
      </c>
      <c r="P79" s="8">
        <v>-0.0371443800011317</v>
      </c>
      <c r="Q79" s="8">
        <v>-0.03722250280780024</v>
      </c>
      <c r="R79" s="8">
        <v>-0.03729983844541316</v>
      </c>
      <c r="S79" s="8">
        <v>-0.03737638615759913</v>
      </c>
      <c r="T79" s="8">
        <v>-0.03745214527400335</v>
      </c>
      <c r="U79" s="8">
        <v>-0.03752711521021652</v>
      </c>
      <c r="V79" s="8">
        <v>-0.03760129546771864</v>
      </c>
      <c r="W79" s="8">
        <v>-0.037674685633759</v>
      </c>
      <c r="X79" s="8">
        <v>-0.03774728538128329</v>
      </c>
      <c r="Y79" s="8">
        <v>-0.0378190944688086</v>
      </c>
      <c r="Z79" s="8">
        <v>-0.03789011274030436</v>
      </c>
      <c r="AA79" s="8">
        <v>-0.0379603401250531</v>
      </c>
      <c r="AB79" s="8">
        <v>-0.03802977663751293</v>
      </c>
      <c r="AC79" s="8">
        <v>-0.03809842237715735</v>
      </c>
      <c r="AD79" s="8">
        <v>-0.03816627752830435</v>
      </c>
      <c r="AE79" s="8">
        <v>-0.03823334235994871</v>
      </c>
      <c r="AF79" s="8">
        <v>-0.03829961722556767</v>
      </c>
      <c r="AG79" s="8">
        <v>-0.0383651025629252</v>
      </c>
      <c r="AH79" s="8">
        <v>-0.0384297988938588</v>
      </c>
      <c r="AI79" s="8">
        <v>-0.03849370682407809</v>
      </c>
      <c r="AJ79" s="8">
        <v>-0.03855682704291716</v>
      </c>
      <c r="AK79" s="8">
        <v>-0.03861916032311115</v>
      </c>
      <c r="AL79" s="8">
        <v>-0.03868070752054784</v>
      </c>
      <c r="AM79" s="8">
        <v>-0.03874146957400697</v>
      </c>
      <c r="AN79" s="8">
        <v>-0.03880144750490757</v>
      </c>
      <c r="AO79" s="8">
        <v>-0.03886064241702129</v>
      </c>
      <c r="AP79" s="8">
        <v>-0.03891905549619814</v>
      </c>
      <c r="AQ79" s="8">
        <v>-0.03897668801008081</v>
      </c>
      <c r="AR79" s="8">
        <v>-0.03903354130779597</v>
      </c>
      <c r="AS79" s="8">
        <v>-0.0390896168196516</v>
      </c>
      <c r="AT79" s="8">
        <v>-0.03914491605682606</v>
      </c>
    </row>
    <row r="80" spans="1:46">
      <c r="A80" s="7">
        <v>34.6</v>
      </c>
      <c r="B80" s="8">
        <v>-0.03591771331789673</v>
      </c>
      <c r="C80" s="8">
        <v>-0.0360054993171115</v>
      </c>
      <c r="D80" s="8">
        <v>-0.03609252502301761</v>
      </c>
      <c r="E80" s="8">
        <v>-0.03617878855683774</v>
      </c>
      <c r="F80" s="8">
        <v>-0.03626428812478348</v>
      </c>
      <c r="G80" s="8">
        <v>-0.03634902201817418</v>
      </c>
      <c r="H80" s="8">
        <v>-0.03643298861353159</v>
      </c>
      <c r="I80" s="8">
        <v>-0.0365161863726744</v>
      </c>
      <c r="J80" s="8">
        <v>-0.03659861384278074</v>
      </c>
      <c r="K80" s="8">
        <v>-0.03668026965645232</v>
      </c>
      <c r="L80" s="8">
        <v>-0.03676115253176384</v>
      </c>
      <c r="M80" s="8">
        <v>-0.03684126127228637</v>
      </c>
      <c r="N80" s="8">
        <v>-0.03692059476711904</v>
      </c>
      <c r="O80" s="8">
        <v>-0.0369991519908794</v>
      </c>
      <c r="P80" s="8">
        <v>-0.03707693200371551</v>
      </c>
      <c r="Q80" s="8">
        <v>-0.03715393395126902</v>
      </c>
      <c r="R80" s="8">
        <v>-0.03723015706466058</v>
      </c>
      <c r="S80" s="8">
        <v>-0.03730560066043687</v>
      </c>
      <c r="T80" s="8">
        <v>-0.03738026414050957</v>
      </c>
      <c r="U80" s="8">
        <v>-0.03745414699210201</v>
      </c>
      <c r="V80" s="8">
        <v>-0.03752724878765825</v>
      </c>
      <c r="W80" s="8">
        <v>-0.03759956918475531</v>
      </c>
      <c r="X80" s="8">
        <v>-0.03767110792600015</v>
      </c>
      <c r="Y80" s="8">
        <v>-0.03774186483891491</v>
      </c>
      <c r="Z80" s="8">
        <v>-0.03781183983581222</v>
      </c>
      <c r="AA80" s="8">
        <v>-0.03788103291365807</v>
      </c>
      <c r="AB80" s="8">
        <v>-0.03794944415392472</v>
      </c>
      <c r="AC80" s="8">
        <v>-0.03801707372242973</v>
      </c>
      <c r="AD80" s="8">
        <v>-0.03808392186917046</v>
      </c>
      <c r="AE80" s="8">
        <v>-0.03814998892814572</v>
      </c>
      <c r="AF80" s="8">
        <v>-0.03821527531716136</v>
      </c>
      <c r="AG80" s="8">
        <v>-0.0382797815376346</v>
      </c>
      <c r="AH80" s="8">
        <v>-0.03834350817438477</v>
      </c>
      <c r="AI80" s="8">
        <v>-0.03840645589541332</v>
      </c>
      <c r="AJ80" s="8">
        <v>-0.03846862545167191</v>
      </c>
      <c r="AK80" s="8">
        <v>-0.03853001767682827</v>
      </c>
      <c r="AL80" s="8">
        <v>-0.03859063348701852</v>
      </c>
      <c r="AM80" s="8">
        <v>-0.03865047388059004</v>
      </c>
      <c r="AN80" s="8">
        <v>-0.0387095399378321</v>
      </c>
      <c r="AO80" s="8">
        <v>-0.03876783282070484</v>
      </c>
      <c r="AP80" s="8">
        <v>-0.03882535377256211</v>
      </c>
      <c r="AQ80" s="8">
        <v>-0.03888210411784811</v>
      </c>
      <c r="AR80" s="8">
        <v>-0.0389380852618082</v>
      </c>
      <c r="AS80" s="8">
        <v>-0.03899329869017443</v>
      </c>
      <c r="AT80" s="8">
        <v>-0.03904774596885439</v>
      </c>
    </row>
    <row r="81" spans="1:46">
      <c r="A81" s="7">
        <v>34.7</v>
      </c>
      <c r="B81" s="8">
        <v>-0.03586705550960634</v>
      </c>
      <c r="C81" s="8">
        <v>-0.03595361216525284</v>
      </c>
      <c r="D81" s="8">
        <v>-0.03603941579541133</v>
      </c>
      <c r="E81" s="8">
        <v>-0.03612446460282257</v>
      </c>
      <c r="F81" s="8">
        <v>-0.03620875687463183</v>
      </c>
      <c r="G81" s="8">
        <v>-0.03629229098247713</v>
      </c>
      <c r="H81" s="8">
        <v>-0.03637506538261519</v>
      </c>
      <c r="I81" s="8">
        <v>-0.03645707861596996</v>
      </c>
      <c r="J81" s="8">
        <v>-0.03653832930822141</v>
      </c>
      <c r="K81" s="8">
        <v>-0.03661881616985881</v>
      </c>
      <c r="L81" s="8">
        <v>-0.03669853799621805</v>
      </c>
      <c r="M81" s="8">
        <v>-0.03677749366751364</v>
      </c>
      <c r="N81" s="8">
        <v>-0.03685568214885002</v>
      </c>
      <c r="O81" s="8">
        <v>-0.03693310249023014</v>
      </c>
      <c r="P81" s="8">
        <v>-0.03700975382654548</v>
      </c>
      <c r="Q81" s="8">
        <v>-0.03708563537754692</v>
      </c>
      <c r="R81" s="8">
        <v>-0.03716074644781777</v>
      </c>
      <c r="S81" s="8">
        <v>-0.03723508642672683</v>
      </c>
      <c r="T81" s="8">
        <v>-0.03730865478836272</v>
      </c>
      <c r="U81" s="8">
        <v>-0.03738145109147055</v>
      </c>
      <c r="V81" s="8">
        <v>-0.03745347497936713</v>
      </c>
      <c r="W81" s="8">
        <v>-0.03752472617984388</v>
      </c>
      <c r="X81" s="8">
        <v>-0.03759520450506564</v>
      </c>
      <c r="Y81" s="8">
        <v>-0.03766490985144735</v>
      </c>
      <c r="Z81" s="8">
        <v>-0.03773384219953826</v>
      </c>
      <c r="AA81" s="8">
        <v>-0.03780200161386738</v>
      </c>
      <c r="AB81" s="8">
        <v>-0.03786938824280491</v>
      </c>
      <c r="AC81" s="8">
        <v>-0.03793600231840059</v>
      </c>
      <c r="AD81" s="8">
        <v>-0.03800184415620649</v>
      </c>
      <c r="AE81" s="8">
        <v>-0.03806691415510279</v>
      </c>
      <c r="AF81" s="8">
        <v>-0.03813121279710217</v>
      </c>
      <c r="AG81" s="8">
        <v>-0.03819474064715038</v>
      </c>
      <c r="AH81" s="8">
        <v>-0.03825749835291212</v>
      </c>
      <c r="AI81" s="8">
        <v>-0.03831948664455673</v>
      </c>
      <c r="AJ81" s="8">
        <v>-0.03838070633451771</v>
      </c>
      <c r="AK81" s="8">
        <v>-0.03844115831726391</v>
      </c>
      <c r="AL81" s="8">
        <v>-0.03850084356904446</v>
      </c>
      <c r="AM81" s="8">
        <v>-0.03855976314762479</v>
      </c>
      <c r="AN81" s="8">
        <v>-0.0386179181920383</v>
      </c>
      <c r="AO81" s="8">
        <v>-0.03867530992228971</v>
      </c>
      <c r="AP81" s="8">
        <v>-0.03873193963908435</v>
      </c>
      <c r="AQ81" s="8">
        <v>-0.03878780872352934</v>
      </c>
      <c r="AR81" s="8">
        <v>-0.03884291863683913</v>
      </c>
      <c r="AS81" s="8">
        <v>-0.03889727092002069</v>
      </c>
      <c r="AT81" s="8">
        <v>-0.03895086719355874</v>
      </c>
    </row>
    <row r="82" spans="1:46">
      <c r="A82" s="7">
        <v>34.8</v>
      </c>
      <c r="B82" s="8">
        <v>-0.03581666665819085</v>
      </c>
      <c r="C82" s="8">
        <v>-0.03590199422558556</v>
      </c>
      <c r="D82" s="8">
        <v>-0.03598657605510454</v>
      </c>
      <c r="E82" s="8">
        <v>-0.03607041043095265</v>
      </c>
      <c r="F82" s="8">
        <v>-0.03615349572112798</v>
      </c>
      <c r="G82" s="8">
        <v>-0.03623583037753555</v>
      </c>
      <c r="H82" s="8">
        <v>-0.03631741293607042</v>
      </c>
      <c r="I82" s="8">
        <v>-0.03639824201670372</v>
      </c>
      <c r="J82" s="8">
        <v>-0.03647831632353409</v>
      </c>
      <c r="K82" s="8">
        <v>-0.03655763464485666</v>
      </c>
      <c r="L82" s="8">
        <v>-0.03663619585318934</v>
      </c>
      <c r="M82" s="8">
        <v>-0.03671399890529621</v>
      </c>
      <c r="N82" s="8">
        <v>-0.03679104284220784</v>
      </c>
      <c r="O82" s="8">
        <v>-0.03686732678921949</v>
      </c>
      <c r="P82" s="8">
        <v>-0.03694284995587083</v>
      </c>
      <c r="Q82" s="8">
        <v>-0.03701761163592785</v>
      </c>
      <c r="R82" s="8">
        <v>-0.03709161120734308</v>
      </c>
      <c r="S82" s="8">
        <v>-0.0371648481322044</v>
      </c>
      <c r="T82" s="8">
        <v>-0.03723732195667644</v>
      </c>
      <c r="U82" s="8">
        <v>-0.03730903231091957</v>
      </c>
      <c r="V82" s="8">
        <v>-0.0373799789090171</v>
      </c>
      <c r="W82" s="8">
        <v>-0.03745016154886614</v>
      </c>
      <c r="X82" s="8">
        <v>-0.0375195801120757</v>
      </c>
      <c r="Y82" s="8">
        <v>-0.03758823456384554</v>
      </c>
      <c r="Z82" s="8">
        <v>-0.03765612495284003</v>
      </c>
      <c r="AA82" s="8">
        <v>-0.0377232514110375</v>
      </c>
      <c r="AB82" s="8">
        <v>-0.03778961415358708</v>
      </c>
      <c r="AC82" s="8">
        <v>-0.03785521347864318</v>
      </c>
      <c r="AD82" s="8">
        <v>-0.03792004976719063</v>
      </c>
      <c r="AE82" s="8">
        <v>-0.03798412348286604</v>
      </c>
      <c r="AF82" s="8">
        <v>-0.03804743517175844</v>
      </c>
      <c r="AG82" s="8">
        <v>-0.03810998546220965</v>
      </c>
      <c r="AH82" s="8">
        <v>-0.03817177506460361</v>
      </c>
      <c r="AI82" s="8">
        <v>-0.03823280477113684</v>
      </c>
      <c r="AJ82" s="8">
        <v>-0.03829307545559039</v>
      </c>
      <c r="AK82" s="8">
        <v>-0.03835258807309856</v>
      </c>
      <c r="AL82" s="8">
        <v>-0.03841134365987351</v>
      </c>
      <c r="AM82" s="8">
        <v>-0.03846934333297049</v>
      </c>
      <c r="AN82" s="8">
        <v>-0.03852658829001428</v>
      </c>
      <c r="AO82" s="8">
        <v>-0.03858307980890423</v>
      </c>
      <c r="AP82" s="8">
        <v>-0.03863881924755717</v>
      </c>
      <c r="AQ82" s="8">
        <v>-0.03869380804359039</v>
      </c>
      <c r="AR82" s="8">
        <v>-0.03874804771403752</v>
      </c>
      <c r="AS82" s="8">
        <v>-0.03880153985502623</v>
      </c>
      <c r="AT82" s="8">
        <v>-0.03885428614146349</v>
      </c>
    </row>
    <row r="83" spans="1:46">
      <c r="A83" s="7">
        <v>34.9</v>
      </c>
      <c r="B83" s="8">
        <v>-0.0357665504446512</v>
      </c>
      <c r="C83" s="8">
        <v>-0.03585064924044871</v>
      </c>
      <c r="D83" s="8">
        <v>-0.0359340096059487</v>
      </c>
      <c r="E83" s="8">
        <v>-0.03601662990674548</v>
      </c>
      <c r="F83" s="8">
        <v>-0.03609850859162336</v>
      </c>
      <c r="G83" s="8">
        <v>-0.0361796441926721</v>
      </c>
      <c r="H83" s="8">
        <v>-0.03626003532536153</v>
      </c>
      <c r="I83" s="8">
        <v>-0.03633968068861471</v>
      </c>
      <c r="J83" s="8">
        <v>-0.03641857906488007</v>
      </c>
      <c r="K83" s="8">
        <v>-0.03649672932016692</v>
      </c>
      <c r="L83" s="8">
        <v>-0.03657413040408741</v>
      </c>
      <c r="M83" s="8">
        <v>-0.03665078134987106</v>
      </c>
      <c r="N83" s="8">
        <v>-0.03672668127438215</v>
      </c>
      <c r="O83" s="8">
        <v>-0.03680182937810628</v>
      </c>
      <c r="P83" s="8">
        <v>-0.03687622494514429</v>
      </c>
      <c r="Q83" s="8">
        <v>-0.03694986734317425</v>
      </c>
      <c r="R83" s="8">
        <v>-0.03702275602341309</v>
      </c>
      <c r="S83" s="8">
        <v>-0.03709489052056796</v>
      </c>
      <c r="T83" s="8">
        <v>-0.03716627045277079</v>
      </c>
      <c r="U83" s="8">
        <v>-0.03723689552149168</v>
      </c>
      <c r="V83" s="8">
        <v>-0.03730676551146672</v>
      </c>
      <c r="W83" s="8">
        <v>-0.03737588029058756</v>
      </c>
      <c r="X83" s="8">
        <v>-0.03744423980979015</v>
      </c>
      <c r="Y83" s="8">
        <v>-0.03751184410294357</v>
      </c>
      <c r="Z83" s="8">
        <v>-0.03757869328670473</v>
      </c>
      <c r="AA83" s="8">
        <v>-0.03764478756037981</v>
      </c>
      <c r="AB83" s="8">
        <v>-0.0377101272057736</v>
      </c>
      <c r="AC83" s="8">
        <v>-0.03777471258701972</v>
      </c>
      <c r="AD83" s="8">
        <v>-0.0378385441504097</v>
      </c>
      <c r="AE83" s="8">
        <v>-0.03790162242419833</v>
      </c>
      <c r="AF83" s="8">
        <v>-0.03796394801842418</v>
      </c>
      <c r="AG83" s="8">
        <v>-0.03802552162469013</v>
      </c>
      <c r="AH83" s="8">
        <v>-0.0380863440159601</v>
      </c>
      <c r="AI83" s="8">
        <v>-0.03814641604632065</v>
      </c>
      <c r="AJ83" s="8">
        <v>-0.03820573865076717</v>
      </c>
      <c r="AK83" s="8">
        <v>-0.03826431284493772</v>
      </c>
      <c r="AL83" s="8">
        <v>-0.03832213972488461</v>
      </c>
      <c r="AM83" s="8">
        <v>-0.0383792204667941</v>
      </c>
      <c r="AN83" s="8">
        <v>-0.03843555632673166</v>
      </c>
      <c r="AO83" s="8">
        <v>-0.03849114864035173</v>
      </c>
      <c r="AP83" s="8">
        <v>-0.03854599882262377</v>
      </c>
      <c r="AQ83" s="8">
        <v>-0.03860010836752466</v>
      </c>
      <c r="AR83" s="8">
        <v>-0.0386534788477487</v>
      </c>
      <c r="AS83" s="8">
        <v>-0.0387061119143862</v>
      </c>
      <c r="AT83" s="8">
        <v>-0.03875800929661253</v>
      </c>
    </row>
    <row r="84" spans="1:46">
      <c r="A84" s="7">
        <v>35</v>
      </c>
      <c r="B84" s="8">
        <v>-0.03571671061452086</v>
      </c>
      <c r="C84" s="8">
        <v>-0.03579958101700705</v>
      </c>
      <c r="D84" s="8">
        <v>-0.03588172031690036</v>
      </c>
      <c r="E84" s="8">
        <v>-0.0359631269611107</v>
      </c>
      <c r="F84" s="8">
        <v>-0.0360437994791372</v>
      </c>
      <c r="G84" s="8">
        <v>-0.03612373648317017</v>
      </c>
      <c r="H84" s="8">
        <v>-0.03620293666817105</v>
      </c>
      <c r="I84" s="8">
        <v>-0.03628139881194663</v>
      </c>
      <c r="J84" s="8">
        <v>-0.03635912177519032</v>
      </c>
      <c r="K84" s="8">
        <v>-0.03643610450154888</v>
      </c>
      <c r="L84" s="8">
        <v>-0.0365123460176342</v>
      </c>
      <c r="M84" s="8">
        <v>-0.03658784543304776</v>
      </c>
      <c r="N84" s="8">
        <v>-0.03666260194038884</v>
      </c>
      <c r="O84" s="8">
        <v>-0.03673661481524242</v>
      </c>
      <c r="P84" s="8">
        <v>-0.03680988341616249</v>
      </c>
      <c r="Q84" s="8">
        <v>-0.03688240718463583</v>
      </c>
      <c r="R84" s="8">
        <v>-0.03695418564504287</v>
      </c>
      <c r="S84" s="8">
        <v>-0.037025218404602</v>
      </c>
      <c r="T84" s="8">
        <v>-0.03709550515329596</v>
      </c>
      <c r="U84" s="8">
        <v>-0.03716504566379726</v>
      </c>
      <c r="V84" s="8">
        <v>-0.03723383979137936</v>
      </c>
      <c r="W84" s="8">
        <v>-0.03730188747380687</v>
      </c>
      <c r="X84" s="8">
        <v>-0.03736918873123152</v>
      </c>
      <c r="Y84" s="8">
        <v>-0.03743574366606239</v>
      </c>
      <c r="Z84" s="8">
        <v>-0.03750155246282745</v>
      </c>
      <c r="AA84" s="8">
        <v>-0.03756661538803883</v>
      </c>
      <c r="AB84" s="8">
        <v>-0.0376309327900227</v>
      </c>
      <c r="AC84" s="8">
        <v>-0.03769450509876471</v>
      </c>
      <c r="AD84" s="8">
        <v>-0.03775733282572382</v>
      </c>
      <c r="AE84" s="8">
        <v>-0.03781941656365077</v>
      </c>
      <c r="AF84" s="8">
        <v>-0.03788075698638771</v>
      </c>
      <c r="AG84" s="8">
        <v>-0.03794135484866423</v>
      </c>
      <c r="AH84" s="8">
        <v>-0.03800121098587752</v>
      </c>
      <c r="AI84" s="8">
        <v>-0.03806032631387168</v>
      </c>
      <c r="AJ84" s="8">
        <v>-0.03811870182869512</v>
      </c>
      <c r="AK84" s="8">
        <v>-0.03817633860636498</v>
      </c>
      <c r="AL84" s="8">
        <v>-0.0382332378026085</v>
      </c>
      <c r="AM84" s="8">
        <v>-0.0382894006525973</v>
      </c>
      <c r="AN84" s="8">
        <v>-0.03834482847068834</v>
      </c>
      <c r="AO84" s="8">
        <v>-0.03839952265013338</v>
      </c>
      <c r="AP84" s="8">
        <v>-0.03845348466279681</v>
      </c>
      <c r="AQ84" s="8">
        <v>-0.03850671605886369</v>
      </c>
      <c r="AR84" s="8">
        <v>-0.03855921846652244</v>
      </c>
      <c r="AS84" s="8">
        <v>-0.03861099359167035</v>
      </c>
      <c r="AT84" s="8">
        <v>-0.03866204321758602</v>
      </c>
    </row>
    <row r="85" spans="1:46">
      <c r="A85" s="7">
        <v>35.1</v>
      </c>
      <c r="B85" s="8">
        <v>-0.03566715097903703</v>
      </c>
      <c r="C85" s="8">
        <v>-0.03574879342841548</v>
      </c>
      <c r="D85" s="8">
        <v>-0.03582971212319244</v>
      </c>
      <c r="E85" s="8">
        <v>-0.03590990559151663</v>
      </c>
      <c r="F85" s="8">
        <v>-0.03598937244352349</v>
      </c>
      <c r="G85" s="8">
        <v>-0.03606811137142252</v>
      </c>
      <c r="H85" s="8">
        <v>-0.0361461211495854</v>
      </c>
      <c r="I85" s="8">
        <v>-0.0362234006345993</v>
      </c>
      <c r="J85" s="8">
        <v>-0.03629994876533189</v>
      </c>
      <c r="K85" s="8">
        <v>-0.03637576456296152</v>
      </c>
      <c r="L85" s="8">
        <v>-0.03645084713100992</v>
      </c>
      <c r="M85" s="8">
        <v>-0.03652519565535357</v>
      </c>
      <c r="N85" s="8">
        <v>-0.03659880940422582</v>
      </c>
      <c r="O85" s="8">
        <v>-0.03667168772820588</v>
      </c>
      <c r="P85" s="8">
        <v>-0.03674383006019859</v>
      </c>
      <c r="Q85" s="8">
        <v>-0.03681523591539353</v>
      </c>
      <c r="R85" s="8">
        <v>-0.03688590489122347</v>
      </c>
      <c r="S85" s="8">
        <v>-0.0369558366673008</v>
      </c>
      <c r="T85" s="8">
        <v>-0.03702503100535424</v>
      </c>
      <c r="U85" s="8">
        <v>-0.03709348774913508</v>
      </c>
      <c r="V85" s="8">
        <v>-0.03716120682433832</v>
      </c>
      <c r="W85" s="8">
        <v>-0.03722818823848186</v>
      </c>
      <c r="X85" s="8">
        <v>-0.03729443208080348</v>
      </c>
      <c r="Y85" s="8">
        <v>-0.037359938522129</v>
      </c>
      <c r="Z85" s="8">
        <v>-0.03742470781473486</v>
      </c>
      <c r="AA85" s="8">
        <v>-0.03748874029219991</v>
      </c>
      <c r="AB85" s="8">
        <v>-0.03755203636924591</v>
      </c>
      <c r="AC85" s="8">
        <v>-0.037614596541572</v>
      </c>
      <c r="AD85" s="8">
        <v>-0.03767642138567204</v>
      </c>
      <c r="AE85" s="8">
        <v>-0.03773751155865099</v>
      </c>
      <c r="AF85" s="8">
        <v>-0.03779786779801349</v>
      </c>
      <c r="AG85" s="8">
        <v>-0.03785749092147483</v>
      </c>
      <c r="AH85" s="8">
        <v>-0.03791638182672515</v>
      </c>
      <c r="AI85" s="8">
        <v>-0.03797454149120512</v>
      </c>
      <c r="AJ85" s="8">
        <v>-0.03803197097188508</v>
      </c>
      <c r="AK85" s="8">
        <v>-0.03808867140499714</v>
      </c>
      <c r="AL85" s="8">
        <v>-0.03814464400579283</v>
      </c>
      <c r="AM85" s="8">
        <v>-0.03819989006828095</v>
      </c>
      <c r="AN85" s="8">
        <v>-0.03825441096494728</v>
      </c>
      <c r="AO85" s="8">
        <v>-0.03830820814648632</v>
      </c>
      <c r="AP85" s="8">
        <v>-0.03836128314149896</v>
      </c>
      <c r="AQ85" s="8">
        <v>-0.0384136375562079</v>
      </c>
      <c r="AR85" s="8">
        <v>-0.03846527307414327</v>
      </c>
      <c r="AS85" s="8">
        <v>-0.03851619145583953</v>
      </c>
      <c r="AT85" s="8">
        <v>-0.03856639453850477</v>
      </c>
    </row>
    <row r="86" spans="1:46">
      <c r="A86" s="7">
        <v>35.2</v>
      </c>
      <c r="B86" s="8">
        <v>-0.03561787541634161</v>
      </c>
      <c r="C86" s="8">
        <v>-0.03569829041501613</v>
      </c>
      <c r="D86" s="8">
        <v>-0.03577798902752818</v>
      </c>
      <c r="E86" s="8">
        <v>-0.03585696986318752</v>
      </c>
      <c r="F86" s="8">
        <v>-0.03593523161267207</v>
      </c>
      <c r="G86" s="8">
        <v>-0.03601277304813202</v>
      </c>
      <c r="H86" s="8">
        <v>-0.03608959302325161</v>
      </c>
      <c r="I86" s="8">
        <v>-0.03616569047331915</v>
      </c>
      <c r="J86" s="8">
        <v>-0.03624106441527033</v>
      </c>
      <c r="K86" s="8">
        <v>-0.03631571394772877</v>
      </c>
      <c r="L86" s="8">
        <v>-0.03638963825101911</v>
      </c>
      <c r="M86" s="8">
        <v>-0.03646283658719511</v>
      </c>
      <c r="N86" s="8">
        <v>-0.03653530830001835</v>
      </c>
      <c r="O86" s="8">
        <v>-0.03660705281495709</v>
      </c>
      <c r="P86" s="8">
        <v>-0.03667806963915794</v>
      </c>
      <c r="Q86" s="8">
        <v>-0.03674835836139998</v>
      </c>
      <c r="R86" s="8">
        <v>-0.03681791865205462</v>
      </c>
      <c r="S86" s="8">
        <v>-0.0368867502630188</v>
      </c>
      <c r="T86" s="8">
        <v>-0.03695485302763828</v>
      </c>
      <c r="U86" s="8">
        <v>-0.03702222686062875</v>
      </c>
      <c r="V86" s="8">
        <v>-0.03708887175797883</v>
      </c>
      <c r="W86" s="8">
        <v>-0.03715478779683856</v>
      </c>
      <c r="X86" s="8">
        <v>-0.03721997513540387</v>
      </c>
      <c r="Y86" s="8">
        <v>-0.03728443401278732</v>
      </c>
      <c r="Z86" s="8">
        <v>-0.03734816474887737</v>
      </c>
      <c r="AA86" s="8">
        <v>-0.03741116774418991</v>
      </c>
      <c r="AB86" s="8">
        <v>-0.03747344347970447</v>
      </c>
      <c r="AC86" s="8">
        <v>-0.03753499251669758</v>
      </c>
      <c r="AD86" s="8">
        <v>-0.03759581549655451</v>
      </c>
      <c r="AE86" s="8">
        <v>-0.03765591314058767</v>
      </c>
      <c r="AF86" s="8">
        <v>-0.03771528624983027</v>
      </c>
      <c r="AG86" s="8">
        <v>-0.03777393570482381</v>
      </c>
      <c r="AH86" s="8">
        <v>-0.03783186246540637</v>
      </c>
      <c r="AI86" s="8">
        <v>-0.03788906757047243</v>
      </c>
      <c r="AJ86" s="8">
        <v>-0.03794555213774906</v>
      </c>
      <c r="AK86" s="8">
        <v>-0.03800131736353762</v>
      </c>
      <c r="AL86" s="8">
        <v>-0.03805636452245516</v>
      </c>
      <c r="AM86" s="8">
        <v>-0.0381106949671846</v>
      </c>
      <c r="AN86" s="8">
        <v>-0.03816431012818846</v>
      </c>
      <c r="AO86" s="8">
        <v>-0.0382172115134324</v>
      </c>
      <c r="AP86" s="8">
        <v>-0.03826940070809215</v>
      </c>
      <c r="AQ86" s="8">
        <v>-0.03832087937426572</v>
      </c>
      <c r="AR86" s="8">
        <v>-0.03837164925065543</v>
      </c>
      <c r="AS86" s="8">
        <v>-0.03842171215226209</v>
      </c>
      <c r="AT86" s="8">
        <v>-0.0384710699700598</v>
      </c>
    </row>
    <row r="87" spans="1:46">
      <c r="A87" s="7">
        <v>35.3</v>
      </c>
      <c r="B87" s="8">
        <v>-0.03556888787267667</v>
      </c>
      <c r="C87" s="8">
        <v>-0.03564807598553763</v>
      </c>
      <c r="D87" s="8">
        <v>-0.03572655510127767</v>
      </c>
      <c r="E87" s="8">
        <v>-0.03580432391027806</v>
      </c>
      <c r="F87" s="8">
        <v>-0.03588138118367858</v>
      </c>
      <c r="G87" s="8">
        <v>-0.03595772577347134</v>
      </c>
      <c r="H87" s="8">
        <v>-0.03603335661256999</v>
      </c>
      <c r="I87" s="8">
        <v>-0.03610827271485988</v>
      </c>
      <c r="J87" s="8">
        <v>-0.03618247317525132</v>
      </c>
      <c r="K87" s="8">
        <v>-0.03625595716970409</v>
      </c>
      <c r="L87" s="8">
        <v>-0.03632872395525837</v>
      </c>
      <c r="M87" s="8">
        <v>-0.03640077287002264</v>
      </c>
      <c r="N87" s="8">
        <v>-0.03647210333318647</v>
      </c>
      <c r="O87" s="8">
        <v>-0.03654271484499958</v>
      </c>
      <c r="P87" s="8">
        <v>-0.03661260698672777</v>
      </c>
      <c r="Q87" s="8">
        <v>-0.03668177942063373</v>
      </c>
      <c r="R87" s="8">
        <v>-0.03675023188990316</v>
      </c>
      <c r="S87" s="8">
        <v>-0.03681796421859858</v>
      </c>
      <c r="T87" s="8">
        <v>-0.03688497631156444</v>
      </c>
      <c r="U87" s="8">
        <v>-0.03695126815434904</v>
      </c>
      <c r="V87" s="8">
        <v>-0.03701683981311632</v>
      </c>
      <c r="W87" s="8">
        <v>-0.03708169143450739</v>
      </c>
      <c r="X87" s="8">
        <v>-0.03714582324555167</v>
      </c>
      <c r="Y87" s="8">
        <v>-0.03720923555351376</v>
      </c>
      <c r="Z87" s="8">
        <v>-0.03727192874575706</v>
      </c>
      <c r="AA87" s="8">
        <v>-0.03733390328959665</v>
      </c>
      <c r="AB87" s="8">
        <v>-0.03739515973212874</v>
      </c>
      <c r="AC87" s="8">
        <v>-0.03745569870006129</v>
      </c>
      <c r="AD87" s="8">
        <v>-0.03751552089953201</v>
      </c>
      <c r="AE87" s="8">
        <v>-0.03757462711591231</v>
      </c>
      <c r="AF87" s="8">
        <v>-0.03763301821360905</v>
      </c>
      <c r="AG87" s="8">
        <v>-0.03769069513584711</v>
      </c>
      <c r="AH87" s="8">
        <v>-0.03774765890445515</v>
      </c>
      <c r="AI87" s="8">
        <v>-0.03780391061962938</v>
      </c>
      <c r="AJ87" s="8">
        <v>-0.03785945145969301</v>
      </c>
      <c r="AK87" s="8">
        <v>-0.03791428268085469</v>
      </c>
      <c r="AL87" s="8">
        <v>-0.03796840561694452</v>
      </c>
      <c r="AM87" s="8">
        <v>-0.03802182167915334</v>
      </c>
      <c r="AN87" s="8">
        <v>-0.03807453235575053</v>
      </c>
      <c r="AO87" s="8">
        <v>-0.03812653921181379</v>
      </c>
      <c r="AP87" s="8">
        <v>-0.03817784388892491</v>
      </c>
      <c r="AQ87" s="8">
        <v>-0.03822844810488597</v>
      </c>
      <c r="AR87" s="8">
        <v>-0.03827835365339603</v>
      </c>
      <c r="AS87" s="8">
        <v>-0.03832756240375197</v>
      </c>
      <c r="AT87" s="8">
        <v>-0.03837607630051565</v>
      </c>
    </row>
    <row r="88" spans="1:46">
      <c r="A88" s="7">
        <v>35.4</v>
      </c>
      <c r="B88" s="8">
        <v>-0.03552019236358994</v>
      </c>
      <c r="C88" s="8">
        <v>-0.03559815421829206</v>
      </c>
      <c r="D88" s="8">
        <v>-0.03567541448567013</v>
      </c>
      <c r="E88" s="8">
        <v>-0.03575197193708348</v>
      </c>
      <c r="F88" s="8">
        <v>-0.03582782542404424</v>
      </c>
      <c r="G88" s="8">
        <v>-0.03590297387829757</v>
      </c>
      <c r="H88" s="8">
        <v>-0.03597741631187823</v>
      </c>
      <c r="I88" s="8">
        <v>-0.03605115181717835</v>
      </c>
      <c r="J88" s="8">
        <v>-0.03612417956697449</v>
      </c>
      <c r="K88" s="8">
        <v>-0.03619649881446634</v>
      </c>
      <c r="L88" s="8">
        <v>-0.0362681088932856</v>
      </c>
      <c r="M88" s="8">
        <v>-0.03633900921750381</v>
      </c>
      <c r="N88" s="8">
        <v>-0.03640919928161814</v>
      </c>
      <c r="O88" s="8">
        <v>-0.03647867866053822</v>
      </c>
      <c r="P88" s="8">
        <v>-0.03654744700954637</v>
      </c>
      <c r="Q88" s="8">
        <v>-0.03661550406425675</v>
      </c>
      <c r="R88" s="8">
        <v>-0.03668284964055459</v>
      </c>
      <c r="S88" s="8">
        <v>-0.03674948363453794</v>
      </c>
      <c r="T88" s="8">
        <v>-0.03681540602242492</v>
      </c>
      <c r="U88" s="8">
        <v>-0.03688061686047419</v>
      </c>
      <c r="V88" s="8">
        <v>-0.03694511628487866</v>
      </c>
      <c r="W88" s="8">
        <v>-0.03700890451165577</v>
      </c>
      <c r="X88" s="8">
        <v>-0.03707198183651918</v>
      </c>
      <c r="Y88" s="8">
        <v>-0.03713434863474916</v>
      </c>
      <c r="Z88" s="8">
        <v>-0.03719600536104686</v>
      </c>
      <c r="AA88" s="8">
        <v>-0.03725695254938018</v>
      </c>
      <c r="AB88" s="8">
        <v>-0.03731719081282207</v>
      </c>
      <c r="AC88" s="8">
        <v>-0.03737672084336054</v>
      </c>
      <c r="AD88" s="8">
        <v>-0.03743554341173727</v>
      </c>
      <c r="AE88" s="8">
        <v>-0.03749365936723344</v>
      </c>
      <c r="AF88" s="8">
        <v>-0.03755106963747572</v>
      </c>
      <c r="AG88" s="8">
        <v>-0.03760777522821819</v>
      </c>
      <c r="AH88" s="8">
        <v>-0.03766377722312164</v>
      </c>
      <c r="AI88" s="8">
        <v>-0.03771907678352058</v>
      </c>
      <c r="AJ88" s="8">
        <v>-0.03777367514818053</v>
      </c>
      <c r="AK88" s="8">
        <v>-0.03782757363305471</v>
      </c>
      <c r="AL88" s="8">
        <v>-0.03788077363101437</v>
      </c>
      <c r="AM88" s="8">
        <v>-0.03793327661159367</v>
      </c>
      <c r="AN88" s="8">
        <v>-0.0379850841207066</v>
      </c>
      <c r="AO88" s="8">
        <v>-0.03803619778036449</v>
      </c>
      <c r="AP88" s="8">
        <v>-0.0380866192883861</v>
      </c>
      <c r="AQ88" s="8">
        <v>-0.03813635041810066</v>
      </c>
      <c r="AR88" s="8">
        <v>-0.03818539301803305</v>
      </c>
      <c r="AS88" s="8">
        <v>-0.03823374901159582</v>
      </c>
      <c r="AT88" s="8">
        <v>-0.03828142039676337</v>
      </c>
    </row>
    <row r="89" spans="1:46">
      <c r="A89" s="7">
        <v>35.5</v>
      </c>
      <c r="B89" s="8">
        <v>-0.03547179297515832</v>
      </c>
      <c r="C89" s="8">
        <v>-0.03554852926239889</v>
      </c>
      <c r="D89" s="8">
        <v>-0.03562457139300897</v>
      </c>
      <c r="E89" s="8">
        <v>-0.03569991821924354</v>
      </c>
      <c r="F89" s="8">
        <v>-0.03577456867289044</v>
      </c>
      <c r="G89" s="8">
        <v>-0.03584852176533957</v>
      </c>
      <c r="H89" s="8">
        <v>-0.03592177658765685</v>
      </c>
      <c r="I89" s="8">
        <v>-0.03599433231062861</v>
      </c>
      <c r="J89" s="8">
        <v>-0.03606618818479816</v>
      </c>
      <c r="K89" s="8">
        <v>-0.03613734354048894</v>
      </c>
      <c r="L89" s="8">
        <v>-0.03620779778781902</v>
      </c>
      <c r="M89" s="8">
        <v>-0.03627755041670433</v>
      </c>
      <c r="N89" s="8">
        <v>-0.03634660099683629</v>
      </c>
      <c r="O89" s="8">
        <v>-0.03641494917766543</v>
      </c>
      <c r="P89" s="8">
        <v>-0.03648259468836627</v>
      </c>
      <c r="Q89" s="8">
        <v>-0.03654953733778221</v>
      </c>
      <c r="R89" s="8">
        <v>-0.0366157770143726</v>
      </c>
      <c r="S89" s="8">
        <v>-0.03668131368614098</v>
      </c>
      <c r="T89" s="8">
        <v>-0.03674614740054949</v>
      </c>
      <c r="U89" s="8">
        <v>-0.03681027828443071</v>
      </c>
      <c r="V89" s="8">
        <v>-0.03687370654387756</v>
      </c>
      <c r="W89" s="8">
        <v>-0.03693643246413494</v>
      </c>
      <c r="X89" s="8">
        <v>-0.03699845640947039</v>
      </c>
      <c r="Y89" s="8">
        <v>-0.03705977882303415</v>
      </c>
      <c r="Z89" s="8">
        <v>-0.03712040022672199</v>
      </c>
      <c r="AA89" s="8">
        <v>-0.03718032122100716</v>
      </c>
      <c r="AB89" s="8">
        <v>-0.03723954248478165</v>
      </c>
      <c r="AC89" s="8">
        <v>-0.03729806477518167</v>
      </c>
      <c r="AD89" s="8">
        <v>-0.03735588892738484</v>
      </c>
      <c r="AE89" s="8">
        <v>-0.03741301585442827</v>
      </c>
      <c r="AF89" s="8">
        <v>-0.03746944654700748</v>
      </c>
      <c r="AG89" s="8">
        <v>-0.03752518207323909</v>
      </c>
      <c r="AH89" s="8">
        <v>-0.03758022357845903</v>
      </c>
      <c r="AI89" s="8">
        <v>-0.037634572284977</v>
      </c>
      <c r="AJ89" s="8">
        <v>-0.03768822949183424</v>
      </c>
      <c r="AK89" s="8">
        <v>-0.0377411965745587</v>
      </c>
      <c r="AL89" s="8">
        <v>-0.0377934749848972</v>
      </c>
      <c r="AM89" s="8">
        <v>-0.03784506625055819</v>
      </c>
      <c r="AN89" s="8">
        <v>-0.03789597197491936</v>
      </c>
      <c r="AO89" s="8">
        <v>-0.0379461938367605</v>
      </c>
      <c r="AP89" s="8">
        <v>-0.03799573358995545</v>
      </c>
      <c r="AQ89" s="8">
        <v>-0.03804459306318435</v>
      </c>
      <c r="AR89" s="8">
        <v>-0.03809277415961745</v>
      </c>
      <c r="AS89" s="8">
        <v>-0.03814027885660209</v>
      </c>
      <c r="AT89" s="8">
        <v>-0.03818710920533732</v>
      </c>
    </row>
    <row r="90" spans="1:46">
      <c r="A90" s="7">
        <v>35.6</v>
      </c>
      <c r="B90" s="8">
        <v>-0.03542369386521003</v>
      </c>
      <c r="C90" s="8">
        <v>-0.03549920533899069</v>
      </c>
      <c r="D90" s="8">
        <v>-0.03557403010789351</v>
      </c>
      <c r="E90" s="8">
        <v>-0.0356481671049643</v>
      </c>
      <c r="F90" s="8">
        <v>-0.03572161534215681</v>
      </c>
      <c r="G90" s="8">
        <v>-0.03579437391041722</v>
      </c>
      <c r="H90" s="8">
        <v>-0.03586644197972966</v>
      </c>
      <c r="I90" s="8">
        <v>-0.03593781879916769</v>
      </c>
      <c r="J90" s="8">
        <v>-0.03600850369692808</v>
      </c>
      <c r="K90" s="8">
        <v>-0.03607849608035032</v>
      </c>
      <c r="L90" s="8">
        <v>-0.0361477954359227</v>
      </c>
      <c r="M90" s="8">
        <v>-0.03621640132928228</v>
      </c>
      <c r="N90" s="8">
        <v>-0.03628431340519569</v>
      </c>
      <c r="O90" s="8">
        <v>-0.03635153138753573</v>
      </c>
      <c r="P90" s="8">
        <v>-0.03641805507923621</v>
      </c>
      <c r="Q90" s="8">
        <v>-0.03648388436224863</v>
      </c>
      <c r="R90" s="8">
        <v>-0.0365490191974736</v>
      </c>
      <c r="S90" s="8">
        <v>-0.03661345962468517</v>
      </c>
      <c r="T90" s="8">
        <v>-0.03667720576245585</v>
      </c>
      <c r="U90" s="8">
        <v>-0.03674025780805366</v>
      </c>
      <c r="V90" s="8">
        <v>-0.0368026160373347</v>
      </c>
      <c r="W90" s="8">
        <v>-0.03686428080462854</v>
      </c>
      <c r="X90" s="8">
        <v>-0.03692525254260808</v>
      </c>
      <c r="Y90" s="8">
        <v>-0.03698553176215143</v>
      </c>
      <c r="Z90" s="8">
        <v>-0.03704511905219689</v>
      </c>
      <c r="AA90" s="8">
        <v>-0.03710401507957535</v>
      </c>
      <c r="AB90" s="8">
        <v>-0.03716222058884959</v>
      </c>
      <c r="AC90" s="8">
        <v>-0.03721973640213143</v>
      </c>
      <c r="AD90" s="8">
        <v>-0.03727656341889052</v>
      </c>
      <c r="AE90" s="8">
        <v>-0.03733270261576536</v>
      </c>
      <c r="AF90" s="8">
        <v>-0.03738815504634232</v>
      </c>
      <c r="AG90" s="8">
        <v>-0.03744292184095173</v>
      </c>
      <c r="AH90" s="8">
        <v>-0.03749700420643372</v>
      </c>
      <c r="AI90" s="8">
        <v>-0.03755040342590306</v>
      </c>
      <c r="AJ90" s="8">
        <v>-0.03760312085851077</v>
      </c>
      <c r="AK90" s="8">
        <v>-0.03765515793918901</v>
      </c>
      <c r="AL90" s="8">
        <v>-0.03770651617838503</v>
      </c>
      <c r="AM90" s="8">
        <v>-0.03775719716180426</v>
      </c>
      <c r="AN90" s="8">
        <v>-0.03780720255011829</v>
      </c>
      <c r="AO90" s="8">
        <v>-0.03785653407868779</v>
      </c>
      <c r="AP90" s="8">
        <v>-0.03790519355726651</v>
      </c>
      <c r="AQ90" s="8">
        <v>-0.03795318286970506</v>
      </c>
      <c r="AR90" s="8">
        <v>-0.0380005039736286</v>
      </c>
      <c r="AS90" s="8">
        <v>-0.03804715890013881</v>
      </c>
      <c r="AT90" s="8">
        <v>-0.03809314975347249</v>
      </c>
    </row>
    <row r="91" spans="1:46">
      <c r="A91" s="7">
        <v>35.7</v>
      </c>
      <c r="B91" s="8">
        <v>-0.03537589926455098</v>
      </c>
      <c r="C91" s="8">
        <v>-0.03545018674246485</v>
      </c>
      <c r="D91" s="8">
        <v>-0.0355237949884458</v>
      </c>
      <c r="E91" s="8">
        <v>-0.03559672301622641</v>
      </c>
      <c r="F91" s="8">
        <v>-0.03566896991783288</v>
      </c>
      <c r="G91" s="8">
        <v>-0.0357405348636501</v>
      </c>
      <c r="H91" s="8">
        <v>-0.0358114171024738</v>
      </c>
      <c r="I91" s="8">
        <v>-0.03588161596155715</v>
      </c>
      <c r="J91" s="8">
        <v>-0.03595113084663062</v>
      </c>
      <c r="K91" s="8">
        <v>-0.03601996124193292</v>
      </c>
      <c r="L91" s="8">
        <v>-0.03608810671020209</v>
      </c>
      <c r="M91" s="8">
        <v>-0.03615556689267585</v>
      </c>
      <c r="N91" s="8">
        <v>-0.03622234150907246</v>
      </c>
      <c r="O91" s="8">
        <v>-0.03628843035755409</v>
      </c>
      <c r="P91" s="8">
        <v>-0.03635383331469057</v>
      </c>
      <c r="Q91" s="8">
        <v>-0.0364185503354026</v>
      </c>
      <c r="R91" s="8">
        <v>-0.03648258145289916</v>
      </c>
      <c r="S91" s="8">
        <v>-0.03654592677859334</v>
      </c>
      <c r="T91" s="8">
        <v>-0.03660858650202634</v>
      </c>
      <c r="U91" s="8">
        <v>-0.03667056089075658</v>
      </c>
      <c r="V91" s="8">
        <v>-0.03673185029026023</v>
      </c>
      <c r="W91" s="8">
        <v>-0.03679245512380724</v>
      </c>
      <c r="X91" s="8">
        <v>-0.03685237589232528</v>
      </c>
      <c r="Y91" s="8">
        <v>-0.03691161317427216</v>
      </c>
      <c r="Z91" s="8">
        <v>-0.03697016762547278</v>
      </c>
      <c r="AA91" s="8">
        <v>-0.03702803997896353</v>
      </c>
      <c r="AB91" s="8">
        <v>-0.03708523104481607</v>
      </c>
      <c r="AC91" s="8">
        <v>-0.03714174170996287</v>
      </c>
      <c r="AD91" s="8">
        <v>-0.03719757293800683</v>
      </c>
      <c r="AE91" s="8">
        <v>-0.03725272576901126</v>
      </c>
      <c r="AF91" s="8">
        <v>-0.03730720131930454</v>
      </c>
      <c r="AG91" s="8">
        <v>-0.03736100078125233</v>
      </c>
      <c r="AH91" s="8">
        <v>-0.03741412542302882</v>
      </c>
      <c r="AI91" s="8">
        <v>-0.03746657658838792</v>
      </c>
      <c r="AJ91" s="8">
        <v>-0.03751835569641458</v>
      </c>
      <c r="AK91" s="8">
        <v>-0.03756946424126824</v>
      </c>
      <c r="AL91" s="8">
        <v>-0.03761990379192213</v>
      </c>
      <c r="AM91" s="8">
        <v>-0.03766967599189712</v>
      </c>
      <c r="AN91" s="8">
        <v>-0.03771878255897576</v>
      </c>
      <c r="AO91" s="8">
        <v>-0.03776722528492016</v>
      </c>
      <c r="AP91" s="8">
        <v>-0.03781500603518104</v>
      </c>
      <c r="AQ91" s="8">
        <v>-0.0378621267485844</v>
      </c>
      <c r="AR91" s="8">
        <v>-0.03790858943703483</v>
      </c>
      <c r="AS91" s="8">
        <v>-0.03795439618518728</v>
      </c>
      <c r="AT91" s="8">
        <v>-0.03799954915013117</v>
      </c>
    </row>
    <row r="92" spans="1:46">
      <c r="A92" s="7">
        <v>35.8</v>
      </c>
      <c r="B92" s="8">
        <v>-0.03532841347822071</v>
      </c>
      <c r="C92" s="8">
        <v>-0.03540147784170884</v>
      </c>
      <c r="D92" s="8">
        <v>-0.03547387046754125</v>
      </c>
      <c r="E92" s="8">
        <v>-0.03554559045003813</v>
      </c>
      <c r="F92" s="8">
        <v>-0.03561663696118345</v>
      </c>
      <c r="G92" s="8">
        <v>-0.03568700925069201</v>
      </c>
      <c r="H92" s="8">
        <v>-0.03575670664605753</v>
      </c>
      <c r="I92" s="8">
        <v>-0.03582572855259088</v>
      </c>
      <c r="J92" s="8">
        <v>-0.03589407445344719</v>
      </c>
      <c r="K92" s="8">
        <v>-0.03596174390963576</v>
      </c>
      <c r="L92" s="8">
        <v>-0.03602873656002217</v>
      </c>
      <c r="M92" s="8">
        <v>-0.03609505212131836</v>
      </c>
      <c r="N92" s="8">
        <v>-0.03616069038806095</v>
      </c>
      <c r="O92" s="8">
        <v>-0.03622565123257644</v>
      </c>
      <c r="P92" s="8">
        <v>-0.03628993460493284</v>
      </c>
      <c r="Q92" s="8">
        <v>-0.03635354053288857</v>
      </c>
      <c r="R92" s="8">
        <v>-0.03641646912181429</v>
      </c>
      <c r="S92" s="8">
        <v>-0.03647872055462677</v>
      </c>
      <c r="T92" s="8">
        <v>-0.0365402950916863</v>
      </c>
      <c r="U92" s="8">
        <v>-0.03660119307070282</v>
      </c>
      <c r="V92" s="8">
        <v>-0.03666141490662085</v>
      </c>
      <c r="W92" s="8">
        <v>-0.03672096109149834</v>
      </c>
      <c r="X92" s="8">
        <v>-0.03677983219437273</v>
      </c>
      <c r="Y92" s="8">
        <v>-0.03683802886111742</v>
      </c>
      <c r="Z92" s="8">
        <v>-0.03689555181429185</v>
      </c>
      <c r="AA92" s="8">
        <v>-0.03695240185297308</v>
      </c>
      <c r="AB92" s="8">
        <v>-0.03700857985258672</v>
      </c>
      <c r="AC92" s="8">
        <v>-0.03706408676472286</v>
      </c>
      <c r="AD92" s="8">
        <v>-0.03711892361694354</v>
      </c>
      <c r="AE92" s="8">
        <v>-0.03717309151257951</v>
      </c>
      <c r="AF92" s="8">
        <v>-0.03722659163052207</v>
      </c>
      <c r="AG92" s="8">
        <v>-0.03727942522500385</v>
      </c>
      <c r="AH92" s="8">
        <v>-0.03733159362536256</v>
      </c>
      <c r="AI92" s="8">
        <v>-0.03738309823581325</v>
      </c>
      <c r="AJ92" s="8">
        <v>-0.03743394053519431</v>
      </c>
      <c r="AK92" s="8">
        <v>-0.03748412207671734</v>
      </c>
      <c r="AL92" s="8">
        <v>-0.03753364448769538</v>
      </c>
      <c r="AM92" s="8">
        <v>-0.03758250946928392</v>
      </c>
      <c r="AN92" s="8">
        <v>-0.0376307187961924</v>
      </c>
      <c r="AO92" s="8">
        <v>-0.03767827431639823</v>
      </c>
      <c r="AP92" s="8">
        <v>-0.03772517795085371</v>
      </c>
      <c r="AQ92" s="8">
        <v>-0.03777143169318009</v>
      </c>
      <c r="AR92" s="8">
        <v>-0.03781703760935784</v>
      </c>
      <c r="AS92" s="8">
        <v>-0.03786199783740969</v>
      </c>
      <c r="AT92" s="8">
        <v>-0.03790631458707878</v>
      </c>
    </row>
    <row r="93" spans="1:46">
      <c r="A93" s="7">
        <v>35.9</v>
      </c>
      <c r="B93" s="8">
        <v>-0.03528124088672655</v>
      </c>
      <c r="C93" s="8">
        <v>-0.03535308308134546</v>
      </c>
      <c r="D93" s="8">
        <v>-0.03542426105405987</v>
      </c>
      <c r="E93" s="8">
        <v>-0.0354947739796625</v>
      </c>
      <c r="F93" s="8">
        <v>-0.03556462110998524</v>
      </c>
      <c r="G93" s="8">
        <v>-0.03563380177395707</v>
      </c>
      <c r="H93" s="8">
        <v>-0.03570231537765487</v>
      </c>
      <c r="I93" s="8">
        <v>-0.03577016140432328</v>
      </c>
      <c r="J93" s="8">
        <v>-0.03583733941441523</v>
      </c>
      <c r="K93" s="8">
        <v>-0.03590384904559265</v>
      </c>
      <c r="L93" s="8">
        <v>-0.03596969001271298</v>
      </c>
      <c r="M93" s="8">
        <v>-0.03603486210783764</v>
      </c>
      <c r="N93" s="8">
        <v>-0.03609936520018735</v>
      </c>
      <c r="O93" s="8">
        <v>-0.03616319923611364</v>
      </c>
      <c r="P93" s="8">
        <v>-0.03622636423904702</v>
      </c>
      <c r="Q93" s="8">
        <v>-0.03628886030943974</v>
      </c>
      <c r="R93" s="8">
        <v>-0.03635068762468556</v>
      </c>
      <c r="S93" s="8">
        <v>-0.03641184643905646</v>
      </c>
      <c r="T93" s="8">
        <v>-0.03647233708358577</v>
      </c>
      <c r="U93" s="8">
        <v>-0.03653215996598291</v>
      </c>
      <c r="V93" s="8">
        <v>-0.03659131557050941</v>
      </c>
      <c r="W93" s="8">
        <v>-0.03664980445785702</v>
      </c>
      <c r="X93" s="8">
        <v>-0.03670762726501202</v>
      </c>
      <c r="Y93" s="8">
        <v>-0.03676478470511171</v>
      </c>
      <c r="Z93" s="8">
        <v>-0.03682127756728271</v>
      </c>
      <c r="AA93" s="8">
        <v>-0.03687710671648183</v>
      </c>
      <c r="AB93" s="8">
        <v>-0.03693227309332237</v>
      </c>
      <c r="AC93" s="8">
        <v>-0.0369867777138829</v>
      </c>
      <c r="AD93" s="8">
        <v>-0.03704062166951587</v>
      </c>
      <c r="AE93" s="8">
        <v>-0.03709380612664574</v>
      </c>
      <c r="AF93" s="8">
        <v>-0.03714633232655693</v>
      </c>
      <c r="AG93" s="8">
        <v>-0.0371982015851696</v>
      </c>
      <c r="AH93" s="8">
        <v>-0.03724941529280699</v>
      </c>
      <c r="AI93" s="8">
        <v>-0.03729997491396517</v>
      </c>
      <c r="AJ93" s="8">
        <v>-0.03734988198705622</v>
      </c>
      <c r="AK93" s="8">
        <v>-0.03739913812415665</v>
      </c>
      <c r="AL93" s="8">
        <v>-0.03744774501073778</v>
      </c>
      <c r="AM93" s="8">
        <v>-0.03749570440539998</v>
      </c>
      <c r="AN93" s="8">
        <v>-0.03754301813959238</v>
      </c>
      <c r="AO93" s="8">
        <v>-0.03758968811731016</v>
      </c>
      <c r="AP93" s="8">
        <v>-0.0376357163148203</v>
      </c>
      <c r="AQ93" s="8">
        <v>-0.0376811047803411</v>
      </c>
      <c r="AR93" s="8">
        <v>-0.03772585563373809</v>
      </c>
      <c r="AS93" s="8">
        <v>-0.0377699710662025</v>
      </c>
      <c r="AT93" s="8">
        <v>-0.03781345333992654</v>
      </c>
    </row>
    <row r="94" spans="1:46">
      <c r="A94" s="7">
        <v>36</v>
      </c>
      <c r="B94" s="8">
        <v>-0.03523438594731729</v>
      </c>
      <c r="C94" s="8">
        <v>-0.03530500698299832</v>
      </c>
      <c r="D94" s="8">
        <v>-0.03537497133413261</v>
      </c>
      <c r="E94" s="8">
        <v>-0.03544427825587171</v>
      </c>
      <c r="F94" s="8">
        <v>-0.03551292707977503</v>
      </c>
      <c r="G94" s="8">
        <v>-0.03558091721387165</v>
      </c>
      <c r="H94" s="8">
        <v>-0.03564824814269017</v>
      </c>
      <c r="I94" s="8">
        <v>-0.03571491942729565</v>
      </c>
      <c r="J94" s="8">
        <v>-0.03578093070530777</v>
      </c>
      <c r="K94" s="8">
        <v>-0.03584628169090109</v>
      </c>
      <c r="L94" s="8">
        <v>-0.03591097217480801</v>
      </c>
      <c r="M94" s="8">
        <v>-0.03597500202429238</v>
      </c>
      <c r="N94" s="8">
        <v>-0.0360383711831254</v>
      </c>
      <c r="O94" s="8">
        <v>-0.03610107967154512</v>
      </c>
      <c r="P94" s="8">
        <v>-0.03616312758619955</v>
      </c>
      <c r="Q94" s="8">
        <v>-0.0362245151000895</v>
      </c>
      <c r="R94" s="8">
        <v>-0.03628524246249185</v>
      </c>
      <c r="S94" s="8">
        <v>-0.03634530999887069</v>
      </c>
      <c r="T94" s="8">
        <v>-0.03640471811079351</v>
      </c>
      <c r="U94" s="8">
        <v>-0.03646346727580543</v>
      </c>
      <c r="V94" s="8">
        <v>-0.03652155804733574</v>
      </c>
      <c r="W94" s="8">
        <v>-0.03657899105454341</v>
      </c>
      <c r="X94" s="8">
        <v>-0.03663576700221114</v>
      </c>
      <c r="Y94" s="8">
        <v>-0.03669188667056424</v>
      </c>
      <c r="Z94" s="8">
        <v>-0.03674735091514129</v>
      </c>
      <c r="AA94" s="8">
        <v>-0.03680216066661011</v>
      </c>
      <c r="AB94" s="8">
        <v>-0.03685631693059825</v>
      </c>
      <c r="AC94" s="8">
        <v>-0.03690982078750053</v>
      </c>
      <c r="AD94" s="8">
        <v>-0.03696267339228924</v>
      </c>
      <c r="AE94" s="8">
        <v>-0.03701487597430493</v>
      </c>
      <c r="AF94" s="8">
        <v>-0.03706642983704711</v>
      </c>
      <c r="AG94" s="8">
        <v>-0.03711733635794055</v>
      </c>
      <c r="AH94" s="8">
        <v>-0.0371675969881153</v>
      </c>
      <c r="AI94" s="8">
        <v>-0.03721721325216407</v>
      </c>
      <c r="AJ94" s="8">
        <v>-0.03726618674788362</v>
      </c>
      <c r="AK94" s="8">
        <v>-0.03731451914602602</v>
      </c>
      <c r="AL94" s="8">
        <v>-0.03736221219003681</v>
      </c>
      <c r="AM94" s="8">
        <v>-0.03740926769576695</v>
      </c>
      <c r="AN94" s="8">
        <v>-0.03745568755120736</v>
      </c>
      <c r="AO94" s="8">
        <v>-0.03750147371618766</v>
      </c>
      <c r="AP94" s="8">
        <v>-0.03754662822208097</v>
      </c>
      <c r="AQ94" s="8">
        <v>-0.03759115317150936</v>
      </c>
      <c r="AR94" s="8">
        <v>-0.03763505073802129</v>
      </c>
      <c r="AS94" s="8">
        <v>-0.03767832316576971</v>
      </c>
      <c r="AT94" s="8">
        <v>-0.03772097276920405</v>
      </c>
    </row>
    <row r="95" spans="1:46">
      <c r="A95" s="7">
        <v>36.1</v>
      </c>
      <c r="B95" s="8">
        <v>-0.03518785319524227</v>
      </c>
      <c r="C95" s="8">
        <v>-0.03525725414655021</v>
      </c>
      <c r="D95" s="8">
        <v>-0.03532600597240396</v>
      </c>
      <c r="E95" s="8">
        <v>-0.03539410800819667</v>
      </c>
      <c r="F95" s="8">
        <v>-0.03546155966510156</v>
      </c>
      <c r="G95" s="8">
        <v>-0.03552836043011354</v>
      </c>
      <c r="H95" s="8">
        <v>-0.03559450986609107</v>
      </c>
      <c r="I95" s="8">
        <v>-0.03566000761178785</v>
      </c>
      <c r="J95" s="8">
        <v>-0.03572485338185771</v>
      </c>
      <c r="K95" s="8">
        <v>-0.03578904696686287</v>
      </c>
      <c r="L95" s="8">
        <v>-0.03585258823326001</v>
      </c>
      <c r="M95" s="8">
        <v>-0.03591547712338681</v>
      </c>
      <c r="N95" s="8">
        <v>-0.0359777136554186</v>
      </c>
      <c r="O95" s="8">
        <v>-0.03603929792333638</v>
      </c>
      <c r="P95" s="8">
        <v>-0.03610023009685755</v>
      </c>
      <c r="Q95" s="8">
        <v>-0.03616051042138615</v>
      </c>
      <c r="R95" s="8">
        <v>-0.03622013921792409</v>
      </c>
      <c r="S95" s="8">
        <v>-0.03627911688298262</v>
      </c>
      <c r="T95" s="8">
        <v>-0.036337443888495</v>
      </c>
      <c r="U95" s="8">
        <v>-0.03639512078169531</v>
      </c>
      <c r="V95" s="8">
        <v>-0.03645214818500868</v>
      </c>
      <c r="W95" s="8">
        <v>-0.03650852679591061</v>
      </c>
      <c r="X95" s="8">
        <v>-0.03656425738680049</v>
      </c>
      <c r="Y95" s="8">
        <v>-0.03661934080484101</v>
      </c>
      <c r="Z95" s="8">
        <v>-0.03667377797179938</v>
      </c>
      <c r="AA95" s="8">
        <v>-0.03672756988388493</v>
      </c>
      <c r="AB95" s="8">
        <v>-0.03678071761156616</v>
      </c>
      <c r="AC95" s="8">
        <v>-0.03683322229938213</v>
      </c>
      <c r="AD95" s="8">
        <v>-0.03688508516574061</v>
      </c>
      <c r="AE95" s="8">
        <v>-0.03693630750272092</v>
      </c>
      <c r="AF95" s="8">
        <v>-0.03698689067584908</v>
      </c>
      <c r="AG95" s="8">
        <v>-0.03703683612387927</v>
      </c>
      <c r="AH95" s="8">
        <v>-0.03708614535855972</v>
      </c>
      <c r="AI95" s="8">
        <v>-0.03713481996438439</v>
      </c>
      <c r="AJ95" s="8">
        <v>-0.03718286159835245</v>
      </c>
      <c r="AK95" s="8">
        <v>-0.03723027198970179</v>
      </c>
      <c r="AL95" s="8">
        <v>-0.03727705293964725</v>
      </c>
      <c r="AM95" s="8">
        <v>-0.03732320632110344</v>
      </c>
      <c r="AN95" s="8">
        <v>-0.03736873407840022</v>
      </c>
      <c r="AO95" s="8">
        <v>-0.0374136382270013</v>
      </c>
      <c r="AP95" s="8">
        <v>-0.03745792085319479</v>
      </c>
      <c r="AQ95" s="8">
        <v>-0.0375015841137948</v>
      </c>
      <c r="AR95" s="8">
        <v>-0.03754463023582737</v>
      </c>
      <c r="AS95" s="8">
        <v>-0.03758706151620963</v>
      </c>
      <c r="AT95" s="8">
        <v>-0.0376288803214269</v>
      </c>
    </row>
    <row r="96" spans="1:46">
      <c r="A96" s="7">
        <v>36.2</v>
      </c>
      <c r="B96" s="8">
        <v>-0.03514164724502855</v>
      </c>
      <c r="C96" s="8">
        <v>-0.03520982925141425</v>
      </c>
      <c r="D96" s="8">
        <v>-0.03527736971330526</v>
      </c>
      <c r="E96" s="8">
        <v>-0.03534426804621198</v>
      </c>
      <c r="F96" s="8">
        <v>-0.03541052374079037</v>
      </c>
      <c r="G96" s="8">
        <v>-0.03547613636287785</v>
      </c>
      <c r="H96" s="8">
        <v>-0.03554110555353525</v>
      </c>
      <c r="I96" s="8">
        <v>-0.03560543102906557</v>
      </c>
      <c r="J96" s="8">
        <v>-0.0356691125810233</v>
      </c>
      <c r="K96" s="8">
        <v>-0.03573215007621684</v>
      </c>
      <c r="L96" s="8">
        <v>-0.03579454345669433</v>
      </c>
      <c r="M96" s="8">
        <v>-0.03585629273971484</v>
      </c>
      <c r="N96" s="8">
        <v>-0.03591739801771574</v>
      </c>
      <c r="O96" s="8">
        <v>-0.0359778594582675</v>
      </c>
      <c r="P96" s="8">
        <v>-0.03603767730401444</v>
      </c>
      <c r="Q96" s="8">
        <v>-0.03609685187260396</v>
      </c>
      <c r="R96" s="8">
        <v>-0.03615538355660562</v>
      </c>
      <c r="S96" s="8">
        <v>-0.03621327282342506</v>
      </c>
      <c r="T96" s="8">
        <v>-0.03627052021519894</v>
      </c>
      <c r="U96" s="8">
        <v>-0.0363271263486876</v>
      </c>
      <c r="V96" s="8">
        <v>-0.03638309191514537</v>
      </c>
      <c r="W96" s="8">
        <v>-0.03643841768019733</v>
      </c>
      <c r="X96" s="8">
        <v>-0.03649310448368972</v>
      </c>
      <c r="Y96" s="8">
        <v>-0.03654715323954676</v>
      </c>
      <c r="Z96" s="8">
        <v>-0.036600564935598</v>
      </c>
      <c r="AA96" s="8">
        <v>-0.03665334063341454</v>
      </c>
      <c r="AB96" s="8">
        <v>-0.03670548146812855</v>
      </c>
      <c r="AC96" s="8">
        <v>-0.03675698864823573</v>
      </c>
      <c r="AD96" s="8">
        <v>-0.03680786345540419</v>
      </c>
      <c r="AE96" s="8">
        <v>-0.03685810724426446</v>
      </c>
      <c r="AF96" s="8">
        <v>-0.03690772144218783</v>
      </c>
      <c r="AG96" s="8">
        <v>-0.03695670754906431</v>
      </c>
      <c r="AH96" s="8">
        <v>-0.03700506713706595</v>
      </c>
      <c r="AI96" s="8">
        <v>-0.03705280185040287</v>
      </c>
      <c r="AJ96" s="8">
        <v>-0.03709991340507805</v>
      </c>
      <c r="AK96" s="8">
        <v>-0.03714640358861913</v>
      </c>
      <c r="AL96" s="8">
        <v>-0.03719227425981266</v>
      </c>
      <c r="AM96" s="8">
        <v>-0.03723752734843479</v>
      </c>
      <c r="AN96" s="8">
        <v>-0.03728216485496141</v>
      </c>
      <c r="AO96" s="8">
        <v>-0.03732618885027605</v>
      </c>
      <c r="AP96" s="8">
        <v>-0.03736960147537864</v>
      </c>
      <c r="AQ96" s="8">
        <v>-0.03741240494107032</v>
      </c>
      <c r="AR96" s="8">
        <v>-0.0374546015276465</v>
      </c>
      <c r="AS96" s="8">
        <v>-0.03749619358457856</v>
      </c>
      <c r="AT96" s="8">
        <v>-0.03753718353017845</v>
      </c>
    </row>
    <row r="97" spans="1:46">
      <c r="A97" s="7">
        <v>36.3</v>
      </c>
      <c r="B97" s="8">
        <v>-0.03509577279176881</v>
      </c>
      <c r="C97" s="8">
        <v>-0.03516273705782318</v>
      </c>
      <c r="D97" s="8">
        <v>-0.03522906738232834</v>
      </c>
      <c r="E97" s="8">
        <v>-0.03529476326079042</v>
      </c>
      <c r="F97" s="8">
        <v>-0.03535982426321169</v>
      </c>
      <c r="G97" s="8">
        <v>-0.03542425003414671</v>
      </c>
      <c r="H97" s="8">
        <v>-0.03548804029271686</v>
      </c>
      <c r="I97" s="8">
        <v>-0.03555119483264128</v>
      </c>
      <c r="J97" s="8">
        <v>-0.03561371352223475</v>
      </c>
      <c r="K97" s="8">
        <v>-0.03567559630440797</v>
      </c>
      <c r="L97" s="8">
        <v>-0.03573684319664992</v>
      </c>
      <c r="M97" s="8">
        <v>-0.03579745429100001</v>
      </c>
      <c r="N97" s="8">
        <v>-0.03585742975400415</v>
      </c>
      <c r="O97" s="8">
        <v>-0.03591676982667593</v>
      </c>
      <c r="P97" s="8">
        <v>-0.03597547482441996</v>
      </c>
      <c r="Q97" s="8">
        <v>-0.0360335451369739</v>
      </c>
      <c r="R97" s="8">
        <v>-0.03609098122832037</v>
      </c>
      <c r="S97" s="8">
        <v>-0.03614778363658786</v>
      </c>
      <c r="T97" s="8">
        <v>-0.03620395297395902</v>
      </c>
      <c r="U97" s="8">
        <v>-0.036259489926546</v>
      </c>
      <c r="V97" s="8">
        <v>-0.03631439525427105</v>
      </c>
      <c r="W97" s="8">
        <v>-0.03636866979072764</v>
      </c>
      <c r="X97" s="8">
        <v>-0.03642231444304613</v>
      </c>
      <c r="Y97" s="8">
        <v>-0.03647533019172613</v>
      </c>
      <c r="Z97" s="8">
        <v>-0.03652771809048545</v>
      </c>
      <c r="AA97" s="8">
        <v>-0.0365794792660747</v>
      </c>
      <c r="AB97" s="8">
        <v>-0.0366306149181078</v>
      </c>
      <c r="AC97" s="8">
        <v>-0.03668112631885449</v>
      </c>
      <c r="AD97" s="8">
        <v>-0.036731014813056</v>
      </c>
      <c r="AE97" s="8">
        <v>-0.03678028181770365</v>
      </c>
      <c r="AF97" s="8">
        <v>-0.03682892882182109</v>
      </c>
      <c r="AG97" s="8">
        <v>-0.03687695738624121</v>
      </c>
      <c r="AH97" s="8">
        <v>-0.03692436914336987</v>
      </c>
      <c r="AI97" s="8">
        <v>-0.03697116579693542</v>
      </c>
      <c r="AJ97" s="8">
        <v>-0.03701734912174075</v>
      </c>
      <c r="AK97" s="8">
        <v>-0.03706292096340462</v>
      </c>
      <c r="AL97" s="8">
        <v>-0.03710788323809276</v>
      </c>
      <c r="AM97" s="8">
        <v>-0.03715223793222684</v>
      </c>
      <c r="AN97" s="8">
        <v>-0.03719598710222378</v>
      </c>
      <c r="AO97" s="8">
        <v>-0.03723913287418448</v>
      </c>
      <c r="AP97" s="8">
        <v>-0.03728167744360853</v>
      </c>
      <c r="AQ97" s="8">
        <v>-0.03732362307507486</v>
      </c>
      <c r="AR97" s="8">
        <v>-0.03736497210193655</v>
      </c>
      <c r="AS97" s="8">
        <v>-0.0374057269259982</v>
      </c>
      <c r="AT97" s="8">
        <v>-0.03744589001718879</v>
      </c>
    </row>
    <row r="98" spans="1:46">
      <c r="A98" s="7">
        <v>36.4</v>
      </c>
      <c r="B98" s="8">
        <v>-0.03505023461241237</v>
      </c>
      <c r="C98" s="8">
        <v>-0.03511598240811011</v>
      </c>
      <c r="D98" s="8">
        <v>-0.03518110388731444</v>
      </c>
      <c r="E98" s="8">
        <v>-0.03524559862539114</v>
      </c>
      <c r="F98" s="8">
        <v>-0.03530946627156304</v>
      </c>
      <c r="G98" s="8">
        <v>-0.0353727065489565</v>
      </c>
      <c r="H98" s="8">
        <v>-0.03543531925461885</v>
      </c>
      <c r="I98" s="8">
        <v>-0.03549730425954145</v>
      </c>
      <c r="J98" s="8">
        <v>-0.03555866150865476</v>
      </c>
      <c r="K98" s="8">
        <v>-0.03561939102082547</v>
      </c>
      <c r="L98" s="8">
        <v>-0.03567949288883696</v>
      </c>
      <c r="M98" s="8">
        <v>-0.03573896727934915</v>
      </c>
      <c r="N98" s="8">
        <v>-0.03579781443286834</v>
      </c>
      <c r="O98" s="8">
        <v>-0.03585603466368603</v>
      </c>
      <c r="P98" s="8">
        <v>-0.03591362835981755</v>
      </c>
      <c r="Q98" s="8">
        <v>-0.03597059598292383</v>
      </c>
      <c r="R98" s="8">
        <v>-0.03602693806823289</v>
      </c>
      <c r="S98" s="8">
        <v>-0.03608265522443581</v>
      </c>
      <c r="T98" s="8">
        <v>-0.03613774813358574</v>
      </c>
      <c r="U98" s="8">
        <v>-0.03619221755097861</v>
      </c>
      <c r="V98" s="8">
        <v>-0.03624606430502943</v>
      </c>
      <c r="W98" s="8">
        <v>-0.03629928929712669</v>
      </c>
      <c r="X98" s="8">
        <v>-0.03635189350150085</v>
      </c>
      <c r="Y98" s="8">
        <v>-0.03640387796505458</v>
      </c>
      <c r="Z98" s="8">
        <v>-0.03645524380720353</v>
      </c>
      <c r="AA98" s="8">
        <v>-0.03650599221969841</v>
      </c>
      <c r="AB98" s="8">
        <v>-0.03655612446644234</v>
      </c>
      <c r="AC98" s="8">
        <v>-0.03660564188329616</v>
      </c>
      <c r="AD98" s="8">
        <v>-0.03665454587787842</v>
      </c>
      <c r="AE98" s="8">
        <v>-0.03670283792934938</v>
      </c>
      <c r="AF98" s="8">
        <v>-0.03675051958819146</v>
      </c>
      <c r="AG98" s="8">
        <v>-0.03679759247598575</v>
      </c>
      <c r="AH98" s="8">
        <v>-0.03684405828516581</v>
      </c>
      <c r="AI98" s="8">
        <v>-0.03688991877878074</v>
      </c>
      <c r="AJ98" s="8">
        <v>-0.03693517579023329</v>
      </c>
      <c r="AK98" s="8">
        <v>-0.03697983122302837</v>
      </c>
      <c r="AL98" s="8">
        <v>-0.03702388705049238</v>
      </c>
      <c r="AM98" s="8">
        <v>-0.03706734531550034</v>
      </c>
      <c r="AN98" s="8">
        <v>-0.03711020813019274</v>
      </c>
      <c r="AO98" s="8">
        <v>-0.03715247767567966</v>
      </c>
      <c r="AP98" s="8">
        <v>-0.03719415620174082</v>
      </c>
      <c r="AQ98" s="8">
        <v>-0.03723524602652191</v>
      </c>
      <c r="AR98" s="8">
        <v>-0.03727574953621371</v>
      </c>
      <c r="AS98" s="8">
        <v>-0.03731566918473846</v>
      </c>
      <c r="AT98" s="8">
        <v>-0.03735500749342045</v>
      </c>
    </row>
    <row r="99" spans="1:46">
      <c r="A99" s="7">
        <v>36.5</v>
      </c>
      <c r="B99" s="8">
        <v>-0.03500503756706905</v>
      </c>
      <c r="C99" s="8">
        <v>-0.0350695702280138</v>
      </c>
      <c r="D99" s="8">
        <v>-0.03513348421974775</v>
      </c>
      <c r="E99" s="8">
        <v>-0.03519677919735997</v>
      </c>
      <c r="F99" s="8">
        <v>-0.03525945488915454</v>
      </c>
      <c r="G99" s="8">
        <v>-0.03532151109668966</v>
      </c>
      <c r="H99" s="8">
        <v>-0.03538294769479471</v>
      </c>
      <c r="I99" s="8">
        <v>-0.03544376463158585</v>
      </c>
      <c r="J99" s="8">
        <v>-0.03550396192846357</v>
      </c>
      <c r="K99" s="8">
        <v>-0.03556353968009418</v>
      </c>
      <c r="L99" s="8">
        <v>-0.03562249805440203</v>
      </c>
      <c r="M99" s="8">
        <v>-0.03568083729251655</v>
      </c>
      <c r="N99" s="8">
        <v>-0.03573855770873777</v>
      </c>
      <c r="O99" s="8">
        <v>-0.0357956596904792</v>
      </c>
      <c r="P99" s="8">
        <v>-0.03585214369819845</v>
      </c>
      <c r="Q99" s="8">
        <v>-0.03590801026531665</v>
      </c>
      <c r="R99" s="8">
        <v>-0.03596325999813743</v>
      </c>
      <c r="S99" s="8">
        <v>-0.03601789357574141</v>
      </c>
      <c r="T99" s="8">
        <v>-0.03607191174988422</v>
      </c>
      <c r="U99" s="8">
        <v>-0.03612531534486294</v>
      </c>
      <c r="V99" s="8">
        <v>-0.03617810525740808</v>
      </c>
      <c r="W99" s="8">
        <v>-0.03623028245652904</v>
      </c>
      <c r="X99" s="8">
        <v>-0.03628184798336775</v>
      </c>
      <c r="Y99" s="8">
        <v>-0.03633280295104484</v>
      </c>
      <c r="Z99" s="8">
        <v>-0.03638314854449085</v>
      </c>
      <c r="AA99" s="8">
        <v>-0.03643288602026438</v>
      </c>
      <c r="AB99" s="8">
        <v>-0.0364820167063705</v>
      </c>
      <c r="AC99" s="8">
        <v>-0.03653054200206433</v>
      </c>
      <c r="AD99" s="8">
        <v>-0.03657846337764568</v>
      </c>
      <c r="AE99" s="8">
        <v>-0.03662578237424689</v>
      </c>
      <c r="AF99" s="8">
        <v>-0.0366725006036134</v>
      </c>
      <c r="AG99" s="8">
        <v>-0.03671861974786559</v>
      </c>
      <c r="AH99" s="8">
        <v>-0.03676414155927041</v>
      </c>
      <c r="AI99" s="8">
        <v>-0.03680906785998559</v>
      </c>
      <c r="AJ99" s="8">
        <v>-0.03685340054181232</v>
      </c>
      <c r="AK99" s="8">
        <v>-0.03689714156592707</v>
      </c>
      <c r="AL99" s="8">
        <v>-0.03694029296261227</v>
      </c>
      <c r="AM99" s="8">
        <v>-0.03698285683097779</v>
      </c>
      <c r="AN99" s="8">
        <v>-0.03702483533867671</v>
      </c>
      <c r="AO99" s="8">
        <v>-0.03706623072160831</v>
      </c>
      <c r="AP99" s="8">
        <v>-0.03710704528362178</v>
      </c>
      <c r="AQ99" s="8">
        <v>-0.03714728139620398</v>
      </c>
      <c r="AR99" s="8">
        <v>-0.03718694149816777</v>
      </c>
      <c r="AS99" s="8">
        <v>-0.03722602809532951</v>
      </c>
      <c r="AT99" s="8">
        <v>-0.03726454376017933</v>
      </c>
    </row>
    <row r="100" spans="1:46">
      <c r="A100" s="7">
        <v>36.6</v>
      </c>
      <c r="B100" s="8">
        <v>-0.03496018660032015</v>
      </c>
      <c r="C100" s="8">
        <v>-0.03502350552798639</v>
      </c>
      <c r="D100" s="8">
        <v>-0.03508621345606215</v>
      </c>
      <c r="E100" s="8">
        <v>-0.03514831011922155</v>
      </c>
      <c r="F100" s="8">
        <v>-0.03520979532470712</v>
      </c>
      <c r="G100" s="8">
        <v>-0.03527066895236466</v>
      </c>
      <c r="H100" s="8">
        <v>-0.0353309309546546</v>
      </c>
      <c r="I100" s="8">
        <v>-0.03539058135667119</v>
      </c>
      <c r="J100" s="8">
        <v>-0.03544962025612577</v>
      </c>
      <c r="K100" s="8">
        <v>-0.03550804782333543</v>
      </c>
      <c r="L100" s="8">
        <v>-0.03556586430120064</v>
      </c>
      <c r="M100" s="8">
        <v>-0.03562307000516292</v>
      </c>
      <c r="N100" s="8">
        <v>-0.03567966532315019</v>
      </c>
      <c r="O100" s="8">
        <v>-0.03573565071553766</v>
      </c>
      <c r="P100" s="8">
        <v>-0.03579102671505012</v>
      </c>
      <c r="Q100" s="8">
        <v>-0.03584579392670122</v>
      </c>
      <c r="R100" s="8">
        <v>-0.03589995302769679</v>
      </c>
      <c r="S100" s="8">
        <v>-0.03595350476733401</v>
      </c>
      <c r="T100" s="8">
        <v>-0.03600644996688161</v>
      </c>
      <c r="U100" s="8">
        <v>-0.03605878951947546</v>
      </c>
      <c r="V100" s="8">
        <v>-0.03611052438996935</v>
      </c>
      <c r="W100" s="8">
        <v>-0.03616165561480358</v>
      </c>
      <c r="X100" s="8">
        <v>-0.03621218430185565</v>
      </c>
      <c r="Y100" s="8">
        <v>-0.03626211163026909</v>
      </c>
      <c r="Z100" s="8">
        <v>-0.03631143885029751</v>
      </c>
      <c r="AA100" s="8">
        <v>-0.03636016728311553</v>
      </c>
      <c r="AB100" s="8">
        <v>-0.03640829832063482</v>
      </c>
      <c r="AC100" s="8">
        <v>-0.03645583342530436</v>
      </c>
      <c r="AD100" s="8">
        <v>-0.03650277412991194</v>
      </c>
      <c r="AE100" s="8">
        <v>-0.03654912203735812</v>
      </c>
      <c r="AF100" s="8">
        <v>-0.03659487882043955</v>
      </c>
      <c r="AG100" s="8">
        <v>-0.03664004622162231</v>
      </c>
      <c r="AH100" s="8">
        <v>-0.03668462605279146</v>
      </c>
      <c r="AI100" s="8">
        <v>-0.03672862019500833</v>
      </c>
      <c r="AJ100" s="8">
        <v>-0.03677203059825658</v>
      </c>
      <c r="AK100" s="8">
        <v>-0.03681485928117283</v>
      </c>
      <c r="AL100" s="8">
        <v>-0.03685710833078382</v>
      </c>
      <c r="AM100" s="8">
        <v>-0.03689877990221504</v>
      </c>
      <c r="AN100" s="8">
        <v>-0.03693987621841401</v>
      </c>
      <c r="AO100" s="8">
        <v>-0.036980399569849</v>
      </c>
      <c r="AP100" s="8">
        <v>-0.03702035231421626</v>
      </c>
      <c r="AQ100" s="8">
        <v>-0.0370597368761235</v>
      </c>
      <c r="AR100" s="8">
        <v>-0.03709855574677334</v>
      </c>
      <c r="AS100" s="8">
        <v>-0.03713681148365566</v>
      </c>
      <c r="AT100" s="8">
        <v>-0.03717450671019904</v>
      </c>
    </row>
    <row r="101" spans="1:46">
      <c r="A101" s="7">
        <v>36.7</v>
      </c>
      <c r="B101" s="8">
        <v>-0.03491568674254068</v>
      </c>
      <c r="C101" s="8">
        <v>-0.03497779340450365</v>
      </c>
      <c r="D101" s="8">
        <v>-0.0350392967589503</v>
      </c>
      <c r="E101" s="8">
        <v>-0.03510019661999131</v>
      </c>
      <c r="F101" s="8">
        <v>-0.0351604928736581</v>
      </c>
      <c r="G101" s="8">
        <v>-0.0352201854779338</v>
      </c>
      <c r="H101" s="8">
        <v>-0.03527927446276635</v>
      </c>
      <c r="I101" s="8">
        <v>-0.03533775993006145</v>
      </c>
      <c r="J101" s="8">
        <v>-0.03539564205368961</v>
      </c>
      <c r="K101" s="8">
        <v>-0.0354529210794567</v>
      </c>
      <c r="L101" s="8">
        <v>-0.03550959732507941</v>
      </c>
      <c r="M101" s="8">
        <v>-0.03556567118014051</v>
      </c>
      <c r="N101" s="8">
        <v>-0.03562114310603768</v>
      </c>
      <c r="O101" s="8">
        <v>-0.03567601363592345</v>
      </c>
      <c r="P101" s="8">
        <v>-0.03573028337462638</v>
      </c>
      <c r="Q101" s="8">
        <v>-0.0357839529985771</v>
      </c>
      <c r="R101" s="8">
        <v>-0.03583702325570606</v>
      </c>
      <c r="S101" s="8">
        <v>-0.03588949496533864</v>
      </c>
      <c r="T101" s="8">
        <v>-0.03594136901809257</v>
      </c>
      <c r="U101" s="8">
        <v>-0.03599264637573789</v>
      </c>
      <c r="V101" s="8">
        <v>-0.03604332807107617</v>
      </c>
      <c r="W101" s="8">
        <v>-0.03609341520779132</v>
      </c>
      <c r="X101" s="8">
        <v>-0.03614290896029502</v>
      </c>
      <c r="Y101" s="8">
        <v>-0.03619181057357039</v>
      </c>
      <c r="Z101" s="8">
        <v>-0.03624012136299441</v>
      </c>
      <c r="AA101" s="8">
        <v>-0.03628784271415917</v>
      </c>
      <c r="AB101" s="8">
        <v>-0.03633497608268357</v>
      </c>
      <c r="AC101" s="8">
        <v>-0.03638152299401369</v>
      </c>
      <c r="AD101" s="8">
        <v>-0.03642748504321034</v>
      </c>
      <c r="AE101" s="8">
        <v>-0.03647286389474332</v>
      </c>
      <c r="AF101" s="8">
        <v>-0.03651766128225873</v>
      </c>
      <c r="AG101" s="8">
        <v>-0.03656187900834631</v>
      </c>
      <c r="AH101" s="8">
        <v>-0.03660551894430349</v>
      </c>
      <c r="AI101" s="8">
        <v>-0.03664858302988172</v>
      </c>
      <c r="AJ101" s="8">
        <v>-0.03669107327303038</v>
      </c>
      <c r="AK101" s="8">
        <v>-0.0367329917496324</v>
      </c>
      <c r="AL101" s="8">
        <v>-0.0367743406032325</v>
      </c>
      <c r="AM101" s="8">
        <v>-0.03681512204475616</v>
      </c>
      <c r="AN101" s="8">
        <v>-0.03685533835222295</v>
      </c>
      <c r="AO101" s="8">
        <v>-0.03689499187044624</v>
      </c>
      <c r="AP101" s="8">
        <v>-0.03693408501074025</v>
      </c>
      <c r="AQ101" s="8">
        <v>-0.03697262025060262</v>
      </c>
      <c r="AR101" s="8">
        <v>-0.03701060013341184</v>
      </c>
      <c r="AS101" s="8">
        <v>-0.03704802726808225</v>
      </c>
      <c r="AT101" s="8">
        <v>-0.03708490432875635</v>
      </c>
    </row>
    <row r="102" spans="1:46">
      <c r="A102" s="7">
        <v>36.8</v>
      </c>
      <c r="B102" s="8">
        <v>-0.03487154311122254</v>
      </c>
      <c r="C102" s="8">
        <v>-0.03493243904140186</v>
      </c>
      <c r="D102" s="8">
        <v>-0.03499273937868956</v>
      </c>
      <c r="E102" s="8">
        <v>-0.03505244401648895</v>
      </c>
      <c r="F102" s="8">
        <v>-0.03511155291947112</v>
      </c>
      <c r="G102" s="8">
        <v>-0.03517006612360341</v>
      </c>
      <c r="H102" s="8">
        <v>-0.03522798373615288</v>
      </c>
      <c r="I102" s="8">
        <v>-0.03528530593569101</v>
      </c>
      <c r="J102" s="8">
        <v>-0.03534203297207803</v>
      </c>
      <c r="K102" s="8">
        <v>-0.03539816516644727</v>
      </c>
      <c r="L102" s="8">
        <v>-0.03545370291116044</v>
      </c>
      <c r="M102" s="8">
        <v>-0.03550864666977453</v>
      </c>
      <c r="N102" s="8">
        <v>-0.03556299697698293</v>
      </c>
      <c r="O102" s="8">
        <v>-0.0356167544385432</v>
      </c>
      <c r="P102" s="8">
        <v>-0.03566991973121318</v>
      </c>
      <c r="Q102" s="8">
        <v>-0.03572249360265332</v>
      </c>
      <c r="R102" s="8">
        <v>-0.03577447687133954</v>
      </c>
      <c r="S102" s="8">
        <v>-0.0358258704264486</v>
      </c>
      <c r="T102" s="8">
        <v>-0.03587667522774751</v>
      </c>
      <c r="U102" s="8">
        <v>-0.03592689230546142</v>
      </c>
      <c r="V102" s="8">
        <v>-0.03597652276014607</v>
      </c>
      <c r="W102" s="8">
        <v>-0.03602556776253003</v>
      </c>
      <c r="X102" s="8">
        <v>-0.03607402855337476</v>
      </c>
      <c r="Y102" s="8">
        <v>-0.03612190644329623</v>
      </c>
      <c r="Z102" s="8">
        <v>-0.03616920281259937</v>
      </c>
      <c r="AA102" s="8">
        <v>-0.03621591911108872</v>
      </c>
      <c r="AB102" s="8">
        <v>-0.0362620568578901</v>
      </c>
      <c r="AC102" s="8">
        <v>-0.03630761764123207</v>
      </c>
      <c r="AD102" s="8">
        <v>-0.03635260311825235</v>
      </c>
      <c r="AE102" s="8">
        <v>-0.03639701501477184</v>
      </c>
      <c r="AF102" s="8">
        <v>-0.03644085512507189</v>
      </c>
      <c r="AG102" s="8">
        <v>-0.03648412531166088</v>
      </c>
      <c r="AH102" s="8">
        <v>-0.03652682750502691</v>
      </c>
      <c r="AI102" s="8">
        <v>-0.03656896370339062</v>
      </c>
      <c r="AJ102" s="8">
        <v>-0.03661053597245285</v>
      </c>
      <c r="AK102" s="8">
        <v>-0.03665154644511972</v>
      </c>
      <c r="AL102" s="8">
        <v>-0.03669199732123225</v>
      </c>
      <c r="AM102" s="8">
        <v>-0.03673189086728783</v>
      </c>
      <c r="AN102" s="8">
        <v>-0.03677122941614748</v>
      </c>
      <c r="AO102" s="8">
        <v>-0.03681001536674913</v>
      </c>
      <c r="AP102" s="8">
        <v>-0.0368482511837918</v>
      </c>
      <c r="AQ102" s="8">
        <v>-0.03688593939743505</v>
      </c>
      <c r="AR102" s="8">
        <v>-0.0369230826029856</v>
      </c>
      <c r="AS102" s="8">
        <v>-0.03695968346056731</v>
      </c>
      <c r="AT102" s="8">
        <v>-0.03699574469479146</v>
      </c>
    </row>
    <row r="103" spans="1:46">
      <c r="A103" s="7">
        <v>36.9</v>
      </c>
      <c r="B103" s="8">
        <v>-0.03482776091232011</v>
      </c>
      <c r="C103" s="8">
        <v>-0.03488744771119841</v>
      </c>
      <c r="D103" s="8">
        <v>-0.03494654665446895</v>
      </c>
      <c r="E103" s="8">
        <v>-0.03500505771467353</v>
      </c>
      <c r="F103" s="8">
        <v>-0.03506298093496696</v>
      </c>
      <c r="G103" s="8">
        <v>-0.03512031642913875</v>
      </c>
      <c r="H103" s="8">
        <v>-0.03517706438161951</v>
      </c>
      <c r="I103" s="8">
        <v>-0.03523322504747846</v>
      </c>
      <c r="J103" s="8">
        <v>-0.03528879875240243</v>
      </c>
      <c r="K103" s="8">
        <v>-0.03534378589267639</v>
      </c>
      <c r="L103" s="8">
        <v>-0.03539818693514434</v>
      </c>
      <c r="M103" s="8">
        <v>-0.03545200241715953</v>
      </c>
      <c r="N103" s="8">
        <v>-0.03550523294653054</v>
      </c>
      <c r="O103" s="8">
        <v>-0.03555787920144837</v>
      </c>
      <c r="P103" s="8">
        <v>-0.03560994193041012</v>
      </c>
      <c r="Q103" s="8">
        <v>-0.03566142195213225</v>
      </c>
      <c r="R103" s="8">
        <v>-0.03571232015544083</v>
      </c>
      <c r="S103" s="8">
        <v>-0.03576263749917743</v>
      </c>
      <c r="T103" s="8">
        <v>-0.03581237501207006</v>
      </c>
      <c r="U103" s="8">
        <v>-0.03586153379260395</v>
      </c>
      <c r="V103" s="8">
        <v>-0.03591011500889394</v>
      </c>
      <c r="W103" s="8">
        <v>-0.0359581198985218</v>
      </c>
      <c r="X103" s="8">
        <v>-0.03600554976838488</v>
      </c>
      <c r="Y103" s="8">
        <v>-0.03605240599453943</v>
      </c>
      <c r="Z103" s="8">
        <v>-0.03609869002201051</v>
      </c>
      <c r="AA103" s="8">
        <v>-0.03614440336461513</v>
      </c>
      <c r="AB103" s="8">
        <v>-0.03618954760476818</v>
      </c>
      <c r="AC103" s="8">
        <v>-0.03623412439327787</v>
      </c>
      <c r="AD103" s="8">
        <v>-0.03627813544914389</v>
      </c>
      <c r="AE103" s="8">
        <v>-0.03632158255932225</v>
      </c>
      <c r="AF103" s="8">
        <v>-0.03636446757851566</v>
      </c>
      <c r="AG103" s="8">
        <v>-0.03640679242892695</v>
      </c>
      <c r="AH103" s="8">
        <v>-0.03644855910002</v>
      </c>
      <c r="AI103" s="8">
        <v>-0.03648976964826574</v>
      </c>
      <c r="AJ103" s="8">
        <v>-0.03653042619688555</v>
      </c>
      <c r="AK103" s="8">
        <v>-0.03657053093558389</v>
      </c>
      <c r="AL103" s="8">
        <v>-0.03661008612027387</v>
      </c>
      <c r="AM103" s="8">
        <v>-0.03664909407279282</v>
      </c>
      <c r="AN103" s="8">
        <v>-0.03668755718061867</v>
      </c>
      <c r="AO103" s="8">
        <v>-0.03672547789657088</v>
      </c>
      <c r="AP103" s="8">
        <v>-0.03676285873850453</v>
      </c>
      <c r="AQ103" s="8">
        <v>-0.03679970228900729</v>
      </c>
      <c r="AR103" s="8">
        <v>-0.03683601119507465</v>
      </c>
      <c r="AS103" s="8">
        <v>-0.03687178816779628</v>
      </c>
      <c r="AT103" s="8">
        <v>-0.03690703598201637</v>
      </c>
    </row>
    <row r="104" spans="1:46">
      <c r="A104" s="7">
        <v>37</v>
      </c>
      <c r="B104" s="8">
        <v>-0.03478434544159228</v>
      </c>
      <c r="C104" s="8">
        <v>-0.03484282477644385</v>
      </c>
      <c r="D104" s="8">
        <v>-0.03490072401573023</v>
      </c>
      <c r="E104" s="8">
        <v>-0.03495804321097111</v>
      </c>
      <c r="F104" s="8">
        <v>-0.03501478248364265</v>
      </c>
      <c r="G104" s="8">
        <v>-0.03507094202520058</v>
      </c>
      <c r="H104" s="8">
        <v>-0.03512652209706672</v>
      </c>
      <c r="I104" s="8">
        <v>-0.03518152303064</v>
      </c>
      <c r="J104" s="8">
        <v>-0.03523594522726654</v>
      </c>
      <c r="K104" s="8">
        <v>-0.03528978915820815</v>
      </c>
      <c r="L104" s="8">
        <v>-0.03534305536461133</v>
      </c>
      <c r="M104" s="8">
        <v>-0.0353957444574533</v>
      </c>
      <c r="N104" s="8">
        <v>-0.03544785711747452</v>
      </c>
      <c r="O104" s="8">
        <v>-0.03549939409511289</v>
      </c>
      <c r="P104" s="8">
        <v>-0.03555035621042322</v>
      </c>
      <c r="Q104" s="8">
        <v>-0.03560074435297977</v>
      </c>
      <c r="R104" s="8">
        <v>-0.03565055948178397</v>
      </c>
      <c r="S104" s="8">
        <v>-0.03569980262513894</v>
      </c>
      <c r="T104" s="8">
        <v>-0.03574847488053799</v>
      </c>
      <c r="U104" s="8">
        <v>-0.03579657741453808</v>
      </c>
      <c r="V104" s="8">
        <v>-0.03584411146259932</v>
      </c>
      <c r="W104" s="8">
        <v>-0.03589107832895948</v>
      </c>
      <c r="X104" s="8">
        <v>-0.03593747938645855</v>
      </c>
      <c r="Y104" s="8">
        <v>-0.03598331607637171</v>
      </c>
      <c r="Z104" s="8">
        <v>-0.03602858990824558</v>
      </c>
      <c r="AA104" s="8">
        <v>-0.03607330245969002</v>
      </c>
      <c r="AB104" s="8">
        <v>-0.03611745537620372</v>
      </c>
      <c r="AC104" s="8">
        <v>-0.03616105037095885</v>
      </c>
      <c r="AD104" s="8">
        <v>-0.03620408922459397</v>
      </c>
      <c r="AE104" s="8">
        <v>-0.03624657378498845</v>
      </c>
      <c r="AF104" s="8">
        <v>-0.03628850596704432</v>
      </c>
      <c r="AG104" s="8">
        <v>-0.0363298877524361</v>
      </c>
      <c r="AH104" s="8">
        <v>-0.03637072118937681</v>
      </c>
      <c r="AI104" s="8">
        <v>-0.03641100839236167</v>
      </c>
      <c r="AJ104" s="8">
        <v>-0.03645075154190458</v>
      </c>
      <c r="AK104" s="8">
        <v>-0.03648995288428196</v>
      </c>
      <c r="AL104" s="8">
        <v>-0.03652861473124034</v>
      </c>
      <c r="AM104" s="8">
        <v>-0.03656673945973062</v>
      </c>
      <c r="AN104" s="8">
        <v>-0.03660432951160715</v>
      </c>
      <c r="AO104" s="8">
        <v>-0.03664138739333751</v>
      </c>
      <c r="AP104" s="8">
        <v>-0.03667791567569374</v>
      </c>
      <c r="AQ104" s="8">
        <v>-0.03671391699344966</v>
      </c>
      <c r="AR104" s="8">
        <v>-0.03674939404505188</v>
      </c>
      <c r="AS104" s="8">
        <v>-0.03678434959230827</v>
      </c>
      <c r="AT104" s="8">
        <v>-0.03681878646005252</v>
      </c>
    </row>
    <row r="105" spans="1:46">
      <c r="A105" s="7">
        <v>37.1</v>
      </c>
      <c r="B105" s="8">
        <v>-0.03474130208596264</v>
      </c>
      <c r="C105" s="8">
        <v>-0.03479857569107665</v>
      </c>
      <c r="D105" s="8">
        <v>-0.03485527698351696</v>
      </c>
      <c r="E105" s="8">
        <v>-0.03491140609362162</v>
      </c>
      <c r="F105" s="8">
        <v>-0.03496696322102473</v>
      </c>
      <c r="G105" s="8">
        <v>-0.03502194863467523</v>
      </c>
      <c r="H105" s="8">
        <v>-0.03507636267282201</v>
      </c>
      <c r="I105" s="8">
        <v>-0.03513020574302104</v>
      </c>
      <c r="J105" s="8">
        <v>-0.03518347832209514</v>
      </c>
      <c r="K105" s="8">
        <v>-0.03523618095611276</v>
      </c>
      <c r="L105" s="8">
        <v>-0.03528831426034138</v>
      </c>
      <c r="M105" s="8">
        <v>-0.03533987891919388</v>
      </c>
      <c r="N105" s="8">
        <v>-0.03539087568615713</v>
      </c>
      <c r="O105" s="8">
        <v>-0.03544130538373587</v>
      </c>
      <c r="P105" s="8">
        <v>-0.03549116890334645</v>
      </c>
      <c r="Q105" s="8">
        <v>-0.03554046720523339</v>
      </c>
      <c r="R105" s="8">
        <v>-0.0355892013183702</v>
      </c>
      <c r="S105" s="8">
        <v>-0.03563737234032729</v>
      </c>
      <c r="T105" s="8">
        <v>-0.03568498143717171</v>
      </c>
      <c r="U105" s="8">
        <v>-0.0357320298433109</v>
      </c>
      <c r="V105" s="8">
        <v>-0.03577851886136792</v>
      </c>
      <c r="W105" s="8">
        <v>-0.03582444986201842</v>
      </c>
      <c r="X105" s="8">
        <v>-0.03586982428383258</v>
      </c>
      <c r="Y105" s="8">
        <v>-0.03591464363310735</v>
      </c>
      <c r="Z105" s="8">
        <v>-0.03595890948368208</v>
      </c>
      <c r="AA105" s="8">
        <v>-0.03600262347675738</v>
      </c>
      <c r="AB105" s="8">
        <v>-0.03604578732069399</v>
      </c>
      <c r="AC105" s="8">
        <v>-0.03608840279080603</v>
      </c>
      <c r="AD105" s="8">
        <v>-0.03613047172915067</v>
      </c>
      <c r="AE105" s="8">
        <v>-0.03617199604431569</v>
      </c>
      <c r="AF105" s="8">
        <v>-0.03621297771116261</v>
      </c>
      <c r="AG105" s="8">
        <v>-0.03625341877062382</v>
      </c>
      <c r="AH105" s="8">
        <v>-0.03629332132942622</v>
      </c>
      <c r="AI105" s="8">
        <v>-0.03633268755985988</v>
      </c>
      <c r="AJ105" s="8">
        <v>-0.0363715196995031</v>
      </c>
      <c r="AK105" s="8">
        <v>-0.03640982005096234</v>
      </c>
      <c r="AL105" s="8">
        <v>-0.03644759098158836</v>
      </c>
      <c r="AM105" s="8">
        <v>-0.03648483492320302</v>
      </c>
      <c r="AN105" s="8">
        <v>-0.03652155437180156</v>
      </c>
      <c r="AO105" s="8">
        <v>-0.03655775188725592</v>
      </c>
      <c r="AP105" s="8">
        <v>-0.03659343009301565</v>
      </c>
      <c r="AQ105" s="8">
        <v>-0.03662859167579136</v>
      </c>
      <c r="AR105" s="8">
        <v>-0.0366632393852381</v>
      </c>
      <c r="AS105" s="8">
        <v>-0.03669737603363963</v>
      </c>
      <c r="AT105" s="8">
        <v>-0.03673100449556656</v>
      </c>
    </row>
    <row r="106" spans="1:46">
      <c r="A106" s="7">
        <v>37.2</v>
      </c>
      <c r="B106" s="8">
        <v>-0.03469863632488064</v>
      </c>
      <c r="C106" s="8">
        <v>-0.03475470600177388</v>
      </c>
      <c r="D106" s="8">
        <v>-0.03481021117182905</v>
      </c>
      <c r="E106" s="8">
        <v>-0.03486515204403275</v>
      </c>
      <c r="F106" s="8">
        <v>-0.03491952889600825</v>
      </c>
      <c r="G106" s="8">
        <v>-0.03497334207402573</v>
      </c>
      <c r="H106" s="8">
        <v>-0.03502659199299032</v>
      </c>
      <c r="I106" s="8">
        <v>-0.03507927913642952</v>
      </c>
      <c r="J106" s="8">
        <v>-0.03513140405646986</v>
      </c>
      <c r="K106" s="8">
        <v>-0.03518296737380204</v>
      </c>
      <c r="L106" s="8">
        <v>-0.03523396977762836</v>
      </c>
      <c r="M106" s="8">
        <v>-0.03528441202561119</v>
      </c>
      <c r="N106" s="8">
        <v>-0.0353342949437998</v>
      </c>
      <c r="O106" s="8">
        <v>-0.03538361942656145</v>
      </c>
      <c r="P106" s="8">
        <v>-0.03543238643648365</v>
      </c>
      <c r="Q106" s="8">
        <v>-0.03548059700429</v>
      </c>
      <c r="R106" s="8">
        <v>-0.03552825222871725</v>
      </c>
      <c r="S106" s="8">
        <v>-0.03557535327641013</v>
      </c>
      <c r="T106" s="8">
        <v>-0.03562190138179737</v>
      </c>
      <c r="U106" s="8">
        <v>-0.03566789784694002</v>
      </c>
      <c r="V106" s="8">
        <v>-0.035713344041406</v>
      </c>
      <c r="W106" s="8">
        <v>-0.03575824140210244</v>
      </c>
      <c r="X106" s="8">
        <v>-0.03580259143311686</v>
      </c>
      <c r="Y106" s="8">
        <v>-0.03584639570554841</v>
      </c>
      <c r="Z106" s="8">
        <v>-0.03588965585732105</v>
      </c>
      <c r="AA106" s="8">
        <v>-0.03593237359299693</v>
      </c>
      <c r="AB106" s="8">
        <v>-0.03597455068358002</v>
      </c>
      <c r="AC106" s="8">
        <v>-0.03601618896630718</v>
      </c>
      <c r="AD106" s="8">
        <v>-0.03605729034443143</v>
      </c>
      <c r="AE106" s="8">
        <v>-0.0360978567870049</v>
      </c>
      <c r="AF106" s="8">
        <v>-0.03613789032864147</v>
      </c>
      <c r="AG106" s="8">
        <v>-0.03617739306928201</v>
      </c>
      <c r="AH106" s="8">
        <v>-0.03621636717394772</v>
      </c>
      <c r="AI106" s="8">
        <v>-0.0362548148724791</v>
      </c>
      <c r="AJ106" s="8">
        <v>-0.03629273845928473</v>
      </c>
      <c r="AK106" s="8">
        <v>-0.03633014029306487</v>
      </c>
      <c r="AL106" s="8">
        <v>-0.03636702279653399</v>
      </c>
      <c r="AM106" s="8">
        <v>-0.03640338845614118</v>
      </c>
      <c r="AN106" s="8">
        <v>-0.03643923982178095</v>
      </c>
      <c r="AO106" s="8">
        <v>-0.03647457950648381</v>
      </c>
      <c r="AP106" s="8">
        <v>-0.03650941018612741</v>
      </c>
      <c r="AQ106" s="8">
        <v>-0.0365437345991154</v>
      </c>
      <c r="AR106" s="8">
        <v>-0.03657755554606048</v>
      </c>
      <c r="AS106" s="8">
        <v>-0.03661087588946828</v>
      </c>
      <c r="AT106" s="8">
        <v>-0.03664369855339302</v>
      </c>
    </row>
    <row r="107" spans="1:46">
      <c r="A107" s="7">
        <v>37.3</v>
      </c>
      <c r="B107" s="8">
        <v>-0.03465635373169853</v>
      </c>
      <c r="C107" s="8">
        <v>-0.0347112213493336</v>
      </c>
      <c r="D107" s="8">
        <v>-0.03476553228899206</v>
      </c>
      <c r="E107" s="8">
        <v>-0.03481928683814246</v>
      </c>
      <c r="F107" s="8">
        <v>-0.034872485352221</v>
      </c>
      <c r="G107" s="8">
        <v>-0.03492512825464509</v>
      </c>
      <c r="H107" s="8">
        <v>-0.03497721603678947</v>
      </c>
      <c r="I107" s="8">
        <v>-0.03502874925798131</v>
      </c>
      <c r="J107" s="8">
        <v>-0.03507972854546537</v>
      </c>
      <c r="K107" s="8">
        <v>-0.03513015459436168</v>
      </c>
      <c r="L107" s="8">
        <v>-0.03518002816762085</v>
      </c>
      <c r="M107" s="8">
        <v>-0.03522935009596288</v>
      </c>
      <c r="N107" s="8">
        <v>-0.03527812127780407</v>
      </c>
      <c r="O107" s="8">
        <v>-0.03532634267917913</v>
      </c>
      <c r="P107" s="8">
        <v>-0.03537401533365347</v>
      </c>
      <c r="Q107" s="8">
        <v>-0.03542114034220915</v>
      </c>
      <c r="R107" s="8">
        <v>-0.03546771887316637</v>
      </c>
      <c r="S107" s="8">
        <v>-0.03551375216202324</v>
      </c>
      <c r="T107" s="8">
        <v>-0.03555924151135983</v>
      </c>
      <c r="U107" s="8">
        <v>-0.03560418829069043</v>
      </c>
      <c r="V107" s="8">
        <v>-0.03564859393630613</v>
      </c>
      <c r="W107" s="8">
        <v>-0.035692459951132</v>
      </c>
      <c r="X107" s="8">
        <v>-0.03573578790455834</v>
      </c>
      <c r="Y107" s="8">
        <v>-0.03577857943226448</v>
      </c>
      <c r="Z107" s="8">
        <v>-0.03582083623603793</v>
      </c>
      <c r="AA107" s="8">
        <v>-0.03586256008358148</v>
      </c>
      <c r="AB107" s="8">
        <v>-0.03590375280831282</v>
      </c>
      <c r="AC107" s="8">
        <v>-0.03594441630916343</v>
      </c>
      <c r="AD107" s="8">
        <v>-0.03598455255035304</v>
      </c>
      <c r="AE107" s="8">
        <v>-0.03602416356117218</v>
      </c>
      <c r="AF107" s="8">
        <v>-0.03606325143574374</v>
      </c>
      <c r="AG107" s="8">
        <v>-0.03610181833279071</v>
      </c>
      <c r="AH107" s="8">
        <v>-0.03613986647538212</v>
      </c>
      <c r="AI107" s="8">
        <v>-0.03617739815067829</v>
      </c>
      <c r="AJ107" s="8">
        <v>-0.03621441570967328</v>
      </c>
      <c r="AK107" s="8">
        <v>-0.03625092156691885</v>
      </c>
      <c r="AL107" s="8">
        <v>-0.03628691820024734</v>
      </c>
      <c r="AM107" s="8">
        <v>-0.03632240815049421</v>
      </c>
      <c r="AN107" s="8">
        <v>-0.03635739402119675</v>
      </c>
      <c r="AO107" s="8">
        <v>-0.03639187847830314</v>
      </c>
      <c r="AP107" s="8">
        <v>-0.03642586424986547</v>
      </c>
      <c r="AQ107" s="8">
        <v>-0.03645935412572641</v>
      </c>
      <c r="AR107" s="8">
        <v>-0.0364923509572062</v>
      </c>
      <c r="AS107" s="8">
        <v>-0.03652485765676942</v>
      </c>
      <c r="AT107" s="8">
        <v>-0.03655687719770739</v>
      </c>
    </row>
    <row r="108" spans="1:46">
      <c r="A108" s="7">
        <v>37.4</v>
      </c>
      <c r="B108" s="8">
        <v>-0.03461445997505912</v>
      </c>
      <c r="C108" s="8">
        <v>-0.03466812747004759</v>
      </c>
      <c r="D108" s="8">
        <v>-0.03472124613903275</v>
      </c>
      <c r="E108" s="8">
        <v>-0.03477381634778638</v>
      </c>
      <c r="F108" s="8">
        <v>-0.03482583852938496</v>
      </c>
      <c r="G108" s="8">
        <v>-0.03487731318420728</v>
      </c>
      <c r="H108" s="8">
        <v>-0.03492824087991977</v>
      </c>
      <c r="I108" s="8">
        <v>-0.03497862225145667</v>
      </c>
      <c r="J108" s="8">
        <v>-0.03502845800099372</v>
      </c>
      <c r="K108" s="8">
        <v>-0.03507774889788955</v>
      </c>
      <c r="L108" s="8">
        <v>-0.03512649577865225</v>
      </c>
      <c r="M108" s="8">
        <v>-0.0351746995468595</v>
      </c>
      <c r="N108" s="8">
        <v>-0.03522236117309809</v>
      </c>
      <c r="O108" s="8">
        <v>-0.03526948169486559</v>
      </c>
      <c r="P108" s="8">
        <v>-0.03531606221649852</v>
      </c>
      <c r="Q108" s="8">
        <v>-0.03536210390905126</v>
      </c>
      <c r="R108" s="8">
        <v>-0.0354076080101887</v>
      </c>
      <c r="S108" s="8">
        <v>-0.03545257582406904</v>
      </c>
      <c r="T108" s="8">
        <v>-0.0354970087212191</v>
      </c>
      <c r="U108" s="8">
        <v>-0.03554090813836872</v>
      </c>
      <c r="V108" s="8">
        <v>-0.03558427557832999</v>
      </c>
      <c r="W108" s="8">
        <v>-0.03562711260982745</v>
      </c>
      <c r="X108" s="8">
        <v>-0.03566942086732432</v>
      </c>
      <c r="Y108" s="8">
        <v>-0.03571120205086267</v>
      </c>
      <c r="Z108" s="8">
        <v>-0.0357524579258623</v>
      </c>
      <c r="AA108" s="8">
        <v>-0.03579319032293924</v>
      </c>
      <c r="AB108" s="8">
        <v>-0.03583340113769928</v>
      </c>
      <c r="AC108" s="8">
        <v>-0.03587309233053375</v>
      </c>
      <c r="AD108" s="8">
        <v>-0.03591226592639387</v>
      </c>
      <c r="AE108" s="8">
        <v>-0.0359509240145723</v>
      </c>
      <c r="AF108" s="8">
        <v>-0.03598906874846612</v>
      </c>
      <c r="AG108" s="8">
        <v>-0.03602670234533782</v>
      </c>
      <c r="AH108" s="8">
        <v>-0.03606382708606368</v>
      </c>
      <c r="AI108" s="8">
        <v>-0.03610044531488192</v>
      </c>
      <c r="AJ108" s="8">
        <v>-0.03613655943912412</v>
      </c>
      <c r="AK108" s="8">
        <v>-0.03617217192894877</v>
      </c>
      <c r="AL108" s="8">
        <v>-0.03620728531705879</v>
      </c>
      <c r="AM108" s="8">
        <v>-0.0362419021984195</v>
      </c>
      <c r="AN108" s="8">
        <v>-0.0362760252299676</v>
      </c>
      <c r="AO108" s="8">
        <v>-0.03630965713030889</v>
      </c>
      <c r="AP108" s="8">
        <v>-0.03634280067941802</v>
      </c>
      <c r="AQ108" s="8">
        <v>-0.03637545871832266</v>
      </c>
      <c r="AR108" s="8">
        <v>-0.03640763414878272</v>
      </c>
      <c r="AS108" s="8">
        <v>-0.03643932993297518</v>
      </c>
      <c r="AT108" s="8">
        <v>-0.03647054909315663</v>
      </c>
    </row>
    <row r="109" spans="1:46">
      <c r="A109" s="7">
        <v>37.5</v>
      </c>
      <c r="B109" s="8">
        <v>-0.03457296082028059</v>
      </c>
      <c r="C109" s="8">
        <v>-0.03462543019708875</v>
      </c>
      <c r="D109" s="8">
        <v>-0.0346773586230583</v>
      </c>
      <c r="E109" s="8">
        <v>-0.03472874654208447</v>
      </c>
      <c r="F109" s="8">
        <v>-0.03477959446469825</v>
      </c>
      <c r="G109" s="8">
        <v>-0.03482990296805433</v>
      </c>
      <c r="H109" s="8">
        <v>-0.0348796726959236</v>
      </c>
      <c r="I109" s="8">
        <v>-0.03492890435865945</v>
      </c>
      <c r="J109" s="8">
        <v>-0.03497759873316895</v>
      </c>
      <c r="K109" s="8">
        <v>-0.03502575666286205</v>
      </c>
      <c r="L109" s="8">
        <v>-0.03507337905759798</v>
      </c>
      <c r="M109" s="8">
        <v>-0.03512046689361696</v>
      </c>
      <c r="N109" s="8">
        <v>-0.03516702121346462</v>
      </c>
      <c r="O109" s="8">
        <v>-0.03521304312590878</v>
      </c>
      <c r="P109" s="8">
        <v>-0.03525853380583897</v>
      </c>
      <c r="Q109" s="8">
        <v>-0.03530349449416761</v>
      </c>
      <c r="R109" s="8">
        <v>-0.03534792649770679</v>
      </c>
      <c r="S109" s="8">
        <v>-0.03539183118905136</v>
      </c>
      <c r="T109" s="8">
        <v>-0.03543521000644496</v>
      </c>
      <c r="U109" s="8">
        <v>-0.03547806445363548</v>
      </c>
      <c r="V109" s="8">
        <v>-0.03552039609972261</v>
      </c>
      <c r="W109" s="8">
        <v>-0.03556220657900262</v>
      </c>
      <c r="X109" s="8">
        <v>-0.03560349759079564</v>
      </c>
      <c r="Y109" s="8">
        <v>-0.0356442708992681</v>
      </c>
      <c r="Z109" s="8">
        <v>-0.0356845283332472</v>
      </c>
      <c r="AA109" s="8">
        <v>-0.03572427178603128</v>
      </c>
      <c r="AB109" s="8">
        <v>-0.03576350321517587</v>
      </c>
      <c r="AC109" s="8">
        <v>-0.03580222464229621</v>
      </c>
      <c r="AD109" s="8">
        <v>-0.03584043815283842</v>
      </c>
      <c r="AE109" s="8">
        <v>-0.0358781458958557</v>
      </c>
      <c r="AF109" s="8">
        <v>-0.03591535008377846</v>
      </c>
      <c r="AG109" s="8">
        <v>-0.03595205299216318</v>
      </c>
      <c r="AH109" s="8">
        <v>-0.03598825695945038</v>
      </c>
      <c r="AI109" s="8">
        <v>-0.03602396438670467</v>
      </c>
      <c r="AJ109" s="8">
        <v>-0.03605917773734753</v>
      </c>
      <c r="AK109" s="8">
        <v>-0.03609389953689295</v>
      </c>
      <c r="AL109" s="8">
        <v>-0.03612813237266046</v>
      </c>
      <c r="AM109" s="8">
        <v>-0.0361618788934944</v>
      </c>
      <c r="AN109" s="8">
        <v>-0.03619514180947263</v>
      </c>
      <c r="AO109" s="8">
        <v>-0.03622792389160025</v>
      </c>
      <c r="AP109" s="8">
        <v>-0.03626022797151585</v>
      </c>
      <c r="AQ109" s="8">
        <v>-0.03629205694116742</v>
      </c>
      <c r="AR109" s="8">
        <v>-0.03632341375250121</v>
      </c>
      <c r="AS109" s="8">
        <v>-0.03635430141713662</v>
      </c>
      <c r="AT109" s="8">
        <v>-0.03638472300603226</v>
      </c>
    </row>
    <row r="110" spans="1:46">
      <c r="A110" s="7">
        <v>37.6</v>
      </c>
      <c r="B110" s="8">
        <v>-0.03453186213076655</v>
      </c>
      <c r="C110" s="8">
        <v>-0.0345831354619186</v>
      </c>
      <c r="D110" s="8">
        <v>-0.0346338757406599</v>
      </c>
      <c r="E110" s="8">
        <v>-0.03468408348882619</v>
      </c>
      <c r="F110" s="8">
        <v>-0.03473375929421394</v>
      </c>
      <c r="G110" s="8">
        <v>-0.03478290381056866</v>
      </c>
      <c r="H110" s="8">
        <v>-0.0348315177575671</v>
      </c>
      <c r="I110" s="8">
        <v>-0.03487960192078852</v>
      </c>
      <c r="J110" s="8">
        <v>-0.0349271571516752</v>
      </c>
      <c r="K110" s="8">
        <v>-0.03497418436748525</v>
      </c>
      <c r="L110" s="8">
        <v>-0.03502068455122789</v>
      </c>
      <c r="M110" s="8">
        <v>-0.03506665875159846</v>
      </c>
      <c r="N110" s="8">
        <v>-0.03511210808290031</v>
      </c>
      <c r="O110" s="8">
        <v>-0.03515703372495018</v>
      </c>
      <c r="P110" s="8">
        <v>-0.03520143692298881</v>
      </c>
      <c r="Q110" s="8">
        <v>-0.035245318987565</v>
      </c>
      <c r="R110" s="8">
        <v>-0.0352886812944206</v>
      </c>
      <c r="S110" s="8">
        <v>-0.03533152528436965</v>
      </c>
      <c r="T110" s="8">
        <v>-0.03537385246315487</v>
      </c>
      <c r="U110" s="8">
        <v>-0.03541566440131021</v>
      </c>
      <c r="V110" s="8">
        <v>-0.03545696273400019</v>
      </c>
      <c r="W110" s="8">
        <v>-0.03549774916086719</v>
      </c>
      <c r="X110" s="8">
        <v>-0.03553802544585025</v>
      </c>
      <c r="Y110" s="8">
        <v>-0.03557779341701419</v>
      </c>
      <c r="Z110" s="8">
        <v>-0.03561705496636023</v>
      </c>
      <c r="AA110" s="8">
        <v>-0.03565581204962313</v>
      </c>
      <c r="AB110" s="8">
        <v>-0.03569406668607726</v>
      </c>
      <c r="AC110" s="8">
        <v>-0.03573182095831946</v>
      </c>
      <c r="AD110" s="8">
        <v>-0.0357690770120449</v>
      </c>
      <c r="AE110" s="8">
        <v>-0.03580583705582789</v>
      </c>
      <c r="AF110" s="8">
        <v>-0.03584210336087956</v>
      </c>
      <c r="AG110" s="8">
        <v>-0.035877878260807</v>
      </c>
      <c r="AH110" s="8">
        <v>-0.03591316415136312</v>
      </c>
      <c r="AI110" s="8">
        <v>-0.03594796349018488</v>
      </c>
      <c r="AJ110" s="8">
        <v>-0.03598227879653457</v>
      </c>
      <c r="AK110" s="8">
        <v>-0.03601611265102385</v>
      </c>
      <c r="AL110" s="8">
        <v>-0.0360494676953305</v>
      </c>
      <c r="AM110" s="8">
        <v>-0.03608234663192356</v>
      </c>
      <c r="AN110" s="8">
        <v>-0.03611475222375411</v>
      </c>
      <c r="AO110" s="8">
        <v>-0.03614668729397188</v>
      </c>
      <c r="AP110" s="8">
        <v>-0.03617815472561574</v>
      </c>
      <c r="AQ110" s="8">
        <v>-0.03620915746128688</v>
      </c>
      <c r="AR110" s="8">
        <v>-0.03623969850285284</v>
      </c>
      <c r="AS110" s="8">
        <v>-0.03626978091110473</v>
      </c>
      <c r="AT110" s="8">
        <v>-0.03629940780543812</v>
      </c>
    </row>
    <row r="111" spans="1:46">
      <c r="A111" s="7">
        <v>37.7</v>
      </c>
      <c r="B111" s="8">
        <v>-0.03449116986941547</v>
      </c>
      <c r="C111" s="8">
        <v>-0.03454124929568607</v>
      </c>
      <c r="D111" s="8">
        <v>-0.03459080359130944</v>
      </c>
      <c r="E111" s="8">
        <v>-0.03463983335587138</v>
      </c>
      <c r="F111" s="8">
        <v>-0.03468833925424342</v>
      </c>
      <c r="G111" s="8">
        <v>-0.03473632201656294</v>
      </c>
      <c r="H111" s="8">
        <v>-0.03478378243822071</v>
      </c>
      <c r="I111" s="8">
        <v>-0.03483072137982042</v>
      </c>
      <c r="J111" s="8">
        <v>-0.03487713976713671</v>
      </c>
      <c r="K111" s="8">
        <v>-0.03492303859107047</v>
      </c>
      <c r="L111" s="8">
        <v>-0.03496841890757345</v>
      </c>
      <c r="M111" s="8">
        <v>-0.03501328183758723</v>
      </c>
      <c r="N111" s="8">
        <v>-0.03505762856695967</v>
      </c>
      <c r="O111" s="8">
        <v>-0.03510146034634402</v>
      </c>
      <c r="P111" s="8">
        <v>-0.03514477849110946</v>
      </c>
      <c r="Q111" s="8">
        <v>-0.03518758438122518</v>
      </c>
      <c r="R111" s="8">
        <v>-0.0352298794611464</v>
      </c>
      <c r="S111" s="8">
        <v>-0.03527166523967438</v>
      </c>
      <c r="T111" s="8">
        <v>-0.03531294328982746</v>
      </c>
      <c r="U111" s="8">
        <v>-0.03535371524869539</v>
      </c>
      <c r="V111" s="8">
        <v>-0.03539398281727983</v>
      </c>
      <c r="W111" s="8">
        <v>-0.03543374776033374</v>
      </c>
      <c r="X111" s="8">
        <v>-0.03547301190618306</v>
      </c>
      <c r="Y111" s="8">
        <v>-0.03551177714655154</v>
      </c>
      <c r="Z111" s="8">
        <v>-0.03555004543636962</v>
      </c>
      <c r="AA111" s="8">
        <v>-0.03558781879358008</v>
      </c>
      <c r="AB111" s="8">
        <v>-0.03562509929892386</v>
      </c>
      <c r="AC111" s="8">
        <v>-0.03566188909573533</v>
      </c>
      <c r="AD111" s="8">
        <v>-0.03569819038971609</v>
      </c>
      <c r="AE111" s="8">
        <v>-0.03573400544870751</v>
      </c>
      <c r="AF111" s="8">
        <v>-0.03576933660245452</v>
      </c>
      <c r="AG111" s="8">
        <v>-0.03580418624235761</v>
      </c>
      <c r="AH111" s="8">
        <v>-0.03583855682123058</v>
      </c>
      <c r="AI111" s="8">
        <v>-0.03587245085303011</v>
      </c>
      <c r="AJ111" s="8">
        <v>-0.0359058709125943</v>
      </c>
      <c r="AK111" s="8">
        <v>-0.03593881963537626</v>
      </c>
      <c r="AL111" s="8">
        <v>-0.03597129971715311</v>
      </c>
      <c r="AM111" s="8">
        <v>-0.03600331391374993</v>
      </c>
      <c r="AN111" s="8">
        <v>-0.03603486504073387</v>
      </c>
      <c r="AO111" s="8">
        <v>-0.03606595597313102</v>
      </c>
      <c r="AP111" s="8">
        <v>-0.03609658964510735</v>
      </c>
      <c r="AQ111" s="8">
        <v>-0.03612676904965575</v>
      </c>
      <c r="AR111" s="8">
        <v>-0.03615649723829186</v>
      </c>
      <c r="AS111" s="8">
        <v>-0.03618577732070705</v>
      </c>
      <c r="AT111" s="8">
        <v>-0.03621461246445854</v>
      </c>
    </row>
    <row r="112" spans="1:46">
      <c r="A112" s="7">
        <v>37.8</v>
      </c>
      <c r="B112" s="8">
        <v>-0.0344508901000438</v>
      </c>
      <c r="C112" s="8">
        <v>-0.03449977783065137</v>
      </c>
      <c r="D112" s="8">
        <v>-0.03454814837577515</v>
      </c>
      <c r="E112" s="8">
        <v>-0.03459600241255885</v>
      </c>
      <c r="F112" s="8">
        <v>-0.0346433406827483</v>
      </c>
      <c r="G112" s="8">
        <v>-0.03469016399268412</v>
      </c>
      <c r="H112" s="8">
        <v>-0.03473647321325864</v>
      </c>
      <c r="I112" s="8">
        <v>-0.03478226927989745</v>
      </c>
      <c r="J112" s="8">
        <v>-0.03482755319250543</v>
      </c>
      <c r="K112" s="8">
        <v>-0.03487232601541166</v>
      </c>
      <c r="L112" s="8">
        <v>-0.03491658887730224</v>
      </c>
      <c r="M112" s="8">
        <v>-0.03496034297115003</v>
      </c>
      <c r="N112" s="8">
        <v>-0.03500358955412821</v>
      </c>
      <c r="O112" s="8">
        <v>-0.035046329947507</v>
      </c>
      <c r="P112" s="8">
        <v>-0.03508856553656656</v>
      </c>
      <c r="Q112" s="8">
        <v>-0.03513029777047407</v>
      </c>
      <c r="R112" s="8">
        <v>-0.03517152816215905</v>
      </c>
      <c r="S112" s="8">
        <v>-0.03521225828819183</v>
      </c>
      <c r="T112" s="8">
        <v>-0.03525248978863615</v>
      </c>
      <c r="U112" s="8">
        <v>-0.03529222436690382</v>
      </c>
      <c r="V112" s="8">
        <v>-0.03533146378959344</v>
      </c>
      <c r="W112" s="8">
        <v>-0.03537020988633444</v>
      </c>
      <c r="X112" s="8">
        <v>-0.0354084645496016</v>
      </c>
      <c r="Y112" s="8">
        <v>-0.03544622973453571</v>
      </c>
      <c r="Z112" s="8">
        <v>-0.03548350745875624</v>
      </c>
      <c r="AA112" s="8">
        <v>-0.0355202998021575</v>
      </c>
      <c r="AB112" s="8">
        <v>-0.03555660890670787</v>
      </c>
      <c r="AC112" s="8">
        <v>-0.03559243697622953</v>
      </c>
      <c r="AD112" s="8">
        <v>-0.03562778627617682</v>
      </c>
      <c r="AE112" s="8">
        <v>-0.03566265913340452</v>
      </c>
      <c r="AF112" s="8">
        <v>-0.03569705793593662</v>
      </c>
      <c r="AG112" s="8">
        <v>-0.03573098513271518</v>
      </c>
      <c r="AH112" s="8">
        <v>-0.03576444323335153</v>
      </c>
      <c r="AI112" s="8">
        <v>-0.03579743480785815</v>
      </c>
      <c r="AJ112" s="8">
        <v>-0.03582996248639603</v>
      </c>
      <c r="AK112" s="8">
        <v>-0.03586202895898829</v>
      </c>
      <c r="AL112" s="8">
        <v>-0.03589363697524846</v>
      </c>
      <c r="AM112" s="8">
        <v>-0.03592478934409051</v>
      </c>
      <c r="AN112" s="8">
        <v>-0.03595548893342979</v>
      </c>
      <c r="AO112" s="8">
        <v>-0.03598573866989838</v>
      </c>
      <c r="AP112" s="8">
        <v>-0.03601554153851864</v>
      </c>
      <c r="AQ112" s="8">
        <v>-0.0360449005824016</v>
      </c>
      <c r="AR112" s="8">
        <v>-0.03607381890243033</v>
      </c>
      <c r="AS112" s="8">
        <v>-0.03610229965693108</v>
      </c>
      <c r="AT112" s="8">
        <v>-0.03613034606134242</v>
      </c>
    </row>
    <row r="113" spans="1:46">
      <c r="A113" s="7">
        <v>37.9</v>
      </c>
      <c r="B113" s="8">
        <v>-0.0344110289888139</v>
      </c>
      <c r="C113" s="8">
        <v>-0.0344587273016078</v>
      </c>
      <c r="D113" s="8">
        <v>-0.03450591639754066</v>
      </c>
      <c r="E113" s="8">
        <v>-0.03455259703112042</v>
      </c>
      <c r="F113" s="8">
        <v>-0.03459877002076794</v>
      </c>
      <c r="G113" s="8">
        <v>-0.03464443624881355</v>
      </c>
      <c r="H113" s="8">
        <v>-0.03468959666145501</v>
      </c>
      <c r="I113" s="8">
        <v>-0.03473425226872955</v>
      </c>
      <c r="J113" s="8">
        <v>-0.03477840414445303</v>
      </c>
      <c r="K113" s="8">
        <v>-0.03482205342617774</v>
      </c>
      <c r="L113" s="8">
        <v>-0.03486520131510353</v>
      </c>
      <c r="M113" s="8">
        <v>-0.03490784907601707</v>
      </c>
      <c r="N113" s="8">
        <v>-0.03494999803719025</v>
      </c>
      <c r="O113" s="8">
        <v>-0.03499164959029528</v>
      </c>
      <c r="P113" s="8">
        <v>-0.03503280519029239</v>
      </c>
      <c r="Q113" s="8">
        <v>-0.0350734663553137</v>
      </c>
      <c r="R113" s="8">
        <v>-0.03511363466654451</v>
      </c>
      <c r="S113" s="8">
        <v>-0.03515331176808125</v>
      </c>
      <c r="T113" s="8">
        <v>-0.03519249936679784</v>
      </c>
      <c r="U113" s="8">
        <v>-0.03523119923219227</v>
      </c>
      <c r="V113" s="8">
        <v>-0.03526941319622594</v>
      </c>
      <c r="W113" s="8">
        <v>-0.03530714315315713</v>
      </c>
      <c r="X113" s="8">
        <v>-0.03534439105936293</v>
      </c>
      <c r="Y113" s="8">
        <v>-0.03538115893316061</v>
      </c>
      <c r="Z113" s="8">
        <v>-0.03541744885460645</v>
      </c>
      <c r="AA113" s="8">
        <v>-0.03545326296530504</v>
      </c>
      <c r="AB113" s="8">
        <v>-0.03548860346819147</v>
      </c>
      <c r="AC113" s="8">
        <v>-0.03552347262732632</v>
      </c>
      <c r="AD113" s="8">
        <v>-0.0355578727676555</v>
      </c>
      <c r="AE113" s="8">
        <v>-0.03559180627479819</v>
      </c>
      <c r="AF113" s="8">
        <v>-0.0356252755947942</v>
      </c>
      <c r="AG113" s="8">
        <v>-0.03565828323386278</v>
      </c>
      <c r="AH113" s="8">
        <v>-0.03569083175814854</v>
      </c>
      <c r="AI113" s="8">
        <v>-0.03572292379346251</v>
      </c>
      <c r="AJ113" s="8">
        <v>-0.0357545620250157</v>
      </c>
      <c r="AK113" s="8">
        <v>-0.0357857491971405</v>
      </c>
      <c r="AL113" s="8">
        <v>-0.0358164881130115</v>
      </c>
      <c r="AM113" s="8">
        <v>-0.03584678163435982</v>
      </c>
      <c r="AN113" s="8">
        <v>-0.03587663268118461</v>
      </c>
      <c r="AO113" s="8">
        <v>-0.03590604423143553</v>
      </c>
      <c r="AP113" s="8">
        <v>-0.03593501932072485</v>
      </c>
      <c r="AQ113" s="8">
        <v>-0.03596356104200353</v>
      </c>
      <c r="AR113" s="8">
        <v>-0.03599167254524751</v>
      </c>
      <c r="AS113" s="8">
        <v>-0.03601935703713011</v>
      </c>
      <c r="AT113" s="8">
        <v>-0.03604661778069236</v>
      </c>
    </row>
    <row r="114" spans="1:46">
      <c r="A114" s="7">
        <v>38</v>
      </c>
      <c r="B114" s="8">
        <v>-0.03437159280567954</v>
      </c>
      <c r="C114" s="8">
        <v>-0.03441810404731634</v>
      </c>
      <c r="D114" s="8">
        <v>-0.03446411406424232</v>
      </c>
      <c r="E114" s="8">
        <v>-0.03450962368811403</v>
      </c>
      <c r="F114" s="8">
        <v>-0.03455463381382735</v>
      </c>
      <c r="G114" s="8">
        <v>-0.0345991453994916</v>
      </c>
      <c r="H114" s="8">
        <v>-0.03464315946640432</v>
      </c>
      <c r="I114" s="8">
        <v>-0.03468667709899335</v>
      </c>
      <c r="J114" s="8">
        <v>-0.03472969944477988</v>
      </c>
      <c r="K114" s="8">
        <v>-0.03477222771430988</v>
      </c>
      <c r="L114" s="8">
        <v>-0.03481426318108092</v>
      </c>
      <c r="M114" s="8">
        <v>-0.03485580718146757</v>
      </c>
      <c r="N114" s="8">
        <v>-0.0348968611146212</v>
      </c>
      <c r="O114" s="8">
        <v>-0.03493742644238083</v>
      </c>
      <c r="P114" s="8">
        <v>-0.03497750468915726</v>
      </c>
      <c r="Q114" s="8">
        <v>-0.03501709744181838</v>
      </c>
      <c r="R114" s="8">
        <v>-0.03505620634956266</v>
      </c>
      <c r="S114" s="8">
        <v>-0.03509483312378094</v>
      </c>
      <c r="T114" s="8">
        <v>-0.03513297953791792</v>
      </c>
      <c r="U114" s="8">
        <v>-0.03517064742731506</v>
      </c>
      <c r="V114" s="8">
        <v>-0.03520783868904722</v>
      </c>
      <c r="W114" s="8">
        <v>-0.03524455528176063</v>
      </c>
      <c r="X114" s="8">
        <v>-0.03528079922548919</v>
      </c>
      <c r="Y114" s="8">
        <v>-0.0353165726014705</v>
      </c>
      <c r="Z114" s="8">
        <v>-0.03535187755194826</v>
      </c>
      <c r="AA114" s="8">
        <v>-0.03538671627998013</v>
      </c>
      <c r="AB114" s="8">
        <v>-0.03542109104921742</v>
      </c>
      <c r="AC114" s="8">
        <v>-0.03545500418369087</v>
      </c>
      <c r="AD114" s="8">
        <v>-0.03548845806759005</v>
      </c>
      <c r="AE114" s="8">
        <v>-0.03552145514502705</v>
      </c>
      <c r="AF114" s="8">
        <v>-0.03555399791979781</v>
      </c>
      <c r="AG114" s="8">
        <v>-0.03558608895513408</v>
      </c>
      <c r="AH114" s="8">
        <v>-0.0356177308734452</v>
      </c>
      <c r="AI114" s="8">
        <v>-0.03564892635607357</v>
      </c>
      <c r="AJ114" s="8">
        <v>-0.03567967814300843</v>
      </c>
      <c r="AK114" s="8">
        <v>-0.03570998903261469</v>
      </c>
      <c r="AL114" s="8">
        <v>-0.03573986188136047</v>
      </c>
      <c r="AM114" s="8">
        <v>-0.03576929960352047</v>
      </c>
      <c r="AN114" s="8">
        <v>-0.03579830517088922</v>
      </c>
      <c r="AO114" s="8">
        <v>-0.0358268816124685</v>
      </c>
      <c r="AP114" s="8">
        <v>-0.03585503201417702</v>
      </c>
      <c r="AQ114" s="8">
        <v>-0.03588275951852005</v>
      </c>
      <c r="AR114" s="8">
        <v>-0.0359100673242871</v>
      </c>
      <c r="AS114" s="8">
        <v>-0.03593695868621474</v>
      </c>
      <c r="AT114" s="8">
        <v>-0.03596343691465798</v>
      </c>
    </row>
    <row r="115" spans="1:46">
      <c r="A115" s="7">
        <v>38.1</v>
      </c>
      <c r="B115" s="8">
        <v>-0.03433258792583729</v>
      </c>
      <c r="C115" s="8">
        <v>-0.03437791451196794</v>
      </c>
      <c r="D115" s="8">
        <v>-0.03442274788910673</v>
      </c>
      <c r="E115" s="8">
        <v>-0.03446708896585626</v>
      </c>
      <c r="F115" s="8">
        <v>-0.03451093871337783</v>
      </c>
      <c r="G115" s="8">
        <v>-0.03455429816534945</v>
      </c>
      <c r="H115" s="8">
        <v>-0.03459716841793927</v>
      </c>
      <c r="I115" s="8">
        <v>-0.03463955062976325</v>
      </c>
      <c r="J115" s="8">
        <v>-0.03468144602181731</v>
      </c>
      <c r="K115" s="8">
        <v>-0.03472285587742405</v>
      </c>
      <c r="L115" s="8">
        <v>-0.03476378154215283</v>
      </c>
      <c r="M115" s="8">
        <v>-0.03480422442373303</v>
      </c>
      <c r="N115" s="8">
        <v>-0.03484418599196992</v>
      </c>
      <c r="O115" s="8">
        <v>-0.03488366777863199</v>
      </c>
      <c r="P115" s="8">
        <v>-0.03492267137735041</v>
      </c>
      <c r="Q115" s="8">
        <v>-0.0349611984434862</v>
      </c>
      <c r="R115" s="8">
        <v>-0.03499925069401612</v>
      </c>
      <c r="S115" s="8">
        <v>-0.03503682990738284</v>
      </c>
      <c r="T115" s="8">
        <v>-0.03507393792335307</v>
      </c>
      <c r="U115" s="8">
        <v>-0.03511057664286739</v>
      </c>
      <c r="V115" s="8">
        <v>-0.03514674802786892</v>
      </c>
      <c r="W115" s="8">
        <v>-0.03518245410113892</v>
      </c>
      <c r="X115" s="8">
        <v>-0.03521769694611336</v>
      </c>
      <c r="Y115" s="8">
        <v>-0.03525247870669652</v>
      </c>
      <c r="Z115" s="8">
        <v>-0.03528680158706514</v>
      </c>
      <c r="AA115" s="8">
        <v>-0.03532066785146846</v>
      </c>
      <c r="AB115" s="8">
        <v>-0.03535407982401147</v>
      </c>
      <c r="AC115" s="8">
        <v>-0.03538703988844247</v>
      </c>
      <c r="AD115" s="8">
        <v>-0.03541955048791898</v>
      </c>
      <c r="AE115" s="8">
        <v>-0.03545161412478563</v>
      </c>
      <c r="AF115" s="8">
        <v>-0.03548323336032162</v>
      </c>
      <c r="AG115" s="8">
        <v>-0.03551441081450477</v>
      </c>
      <c r="AH115" s="8">
        <v>-0.03554514916574334</v>
      </c>
      <c r="AI115" s="8">
        <v>-0.03557545115062943</v>
      </c>
      <c r="AJ115" s="8">
        <v>-0.03560531956365338</v>
      </c>
      <c r="AK115" s="8">
        <v>-0.03563475725694616</v>
      </c>
      <c r="AL115" s="8">
        <v>-0.03566376713998771</v>
      </c>
      <c r="AM115" s="8">
        <v>-0.03569235217931351</v>
      </c>
      <c r="AN115" s="8">
        <v>-0.03572051539823597</v>
      </c>
      <c r="AO115" s="8">
        <v>-0.03574825987652445</v>
      </c>
      <c r="AP115" s="8">
        <v>-0.03577558875011917</v>
      </c>
      <c r="AQ115" s="8">
        <v>-0.03580250521079975</v>
      </c>
      <c r="AR115" s="8">
        <v>-0.03582901250587689</v>
      </c>
      <c r="AS115" s="8">
        <v>-0.03585511393786156</v>
      </c>
      <c r="AT115" s="8">
        <v>-0.0358808128641428</v>
      </c>
    </row>
    <row r="116" spans="1:46">
      <c r="A116" s="7">
        <v>38.2</v>
      </c>
      <c r="B116" s="8">
        <v>-0.03429402083118092</v>
      </c>
      <c r="C116" s="8">
        <v>-0.03433816524661708</v>
      </c>
      <c r="D116" s="8">
        <v>-0.03438182449240159</v>
      </c>
      <c r="E116" s="8">
        <v>-0.03442499955387426</v>
      </c>
      <c r="F116" s="8">
        <v>-0.03446769147823616</v>
      </c>
      <c r="G116" s="8">
        <v>-0.03450990137452443</v>
      </c>
      <c r="H116" s="8">
        <v>-0.03455163041356535</v>
      </c>
      <c r="I116" s="8">
        <v>-0.0345928798279246</v>
      </c>
      <c r="J116" s="8">
        <v>-0.03463365091185935</v>
      </c>
      <c r="K116" s="8">
        <v>-0.0346739450212354</v>
      </c>
      <c r="L116" s="8">
        <v>-0.0347137635734633</v>
      </c>
      <c r="M116" s="8">
        <v>-0.03475310804739919</v>
      </c>
      <c r="N116" s="8">
        <v>-0.03479197998326242</v>
      </c>
      <c r="O116" s="8">
        <v>-0.03483038098251612</v>
      </c>
      <c r="P116" s="8">
        <v>-0.0348683127077706</v>
      </c>
      <c r="Q116" s="8">
        <v>-0.03490577688264054</v>
      </c>
      <c r="R116" s="8">
        <v>-0.03494277529163235</v>
      </c>
      <c r="S116" s="8">
        <v>-0.03497930977999566</v>
      </c>
      <c r="T116" s="8">
        <v>-0.03501538225357557</v>
      </c>
      <c r="U116" s="8">
        <v>-0.03505099467865698</v>
      </c>
      <c r="V116" s="8">
        <v>-0.03508614908179588</v>
      </c>
      <c r="W116" s="8">
        <v>-0.03512084754965521</v>
      </c>
      <c r="X116" s="8">
        <v>-0.03515509222881654</v>
      </c>
      <c r="Y116" s="8">
        <v>-0.03518888532559217</v>
      </c>
      <c r="Z116" s="8">
        <v>-0.03522222910582933</v>
      </c>
      <c r="AA116" s="8">
        <v>-0.03525512589470665</v>
      </c>
      <c r="AB116" s="8">
        <v>-0.0352875780765185</v>
      </c>
      <c r="AC116" s="8">
        <v>-0.03531958809445932</v>
      </c>
      <c r="AD116" s="8">
        <v>-0.03535115845039094</v>
      </c>
      <c r="AE116" s="8">
        <v>-0.03538229170461839</v>
      </c>
      <c r="AF116" s="8">
        <v>-0.03541299047563591</v>
      </c>
      <c r="AG116" s="8">
        <v>-0.03544325743988708</v>
      </c>
      <c r="AH116" s="8">
        <v>-0.0354730953315034</v>
      </c>
      <c r="AI116" s="8">
        <v>-0.03550250694204919</v>
      </c>
      <c r="AJ116" s="8">
        <v>-0.03553149512024696</v>
      </c>
      <c r="AK116" s="8">
        <v>-0.03556006277170276</v>
      </c>
      <c r="AL116" s="8">
        <v>-0.03558821285862272</v>
      </c>
      <c r="AM116" s="8">
        <v>-0.03561594839952846</v>
      </c>
      <c r="AN116" s="8">
        <v>-0.03564327246896042</v>
      </c>
      <c r="AO116" s="8">
        <v>-0.03567018819717412</v>
      </c>
      <c r="AP116" s="8">
        <v>-0.03569669876983887</v>
      </c>
      <c r="AQ116" s="8">
        <v>-0.03572280742771596</v>
      </c>
      <c r="AR116" s="8">
        <v>-0.03574851746635126</v>
      </c>
      <c r="AS116" s="8">
        <v>-0.03577383223574202</v>
      </c>
      <c r="AT116" s="8">
        <v>-0.03579875514000719</v>
      </c>
    </row>
    <row r="117" spans="1:46">
      <c r="A117" s="7">
        <v>38.3</v>
      </c>
      <c r="B117" s="8">
        <v>-0.03425589811178327</v>
      </c>
      <c r="C117" s="8">
        <v>-0.03429886291066566</v>
      </c>
      <c r="D117" s="8">
        <v>-0.03434135060290231</v>
      </c>
      <c r="E117" s="8">
        <v>-0.03438336225035101</v>
      </c>
      <c r="F117" s="8">
        <v>-0.03442489897604126</v>
      </c>
      <c r="G117" s="8">
        <v>-0.03446596196413942</v>
      </c>
      <c r="H117" s="8">
        <v>-0.03450655245989864</v>
      </c>
      <c r="I117" s="8">
        <v>-0.03454667176962438</v>
      </c>
      <c r="J117" s="8">
        <v>-0.0345863212605881</v>
      </c>
      <c r="K117" s="8">
        <v>-0.03462550236097713</v>
      </c>
      <c r="L117" s="8">
        <v>-0.03466421655980483</v>
      </c>
      <c r="M117" s="8">
        <v>-0.03470246540681856</v>
      </c>
      <c r="N117" s="8">
        <v>-0.03474025051241156</v>
      </c>
      <c r="O117" s="8">
        <v>-0.03477757354750075</v>
      </c>
      <c r="P117" s="8">
        <v>-0.03481443624342369</v>
      </c>
      <c r="Q117" s="8">
        <v>-0.03485084039181174</v>
      </c>
      <c r="R117" s="8">
        <v>-0.03488678784445121</v>
      </c>
      <c r="S117" s="8">
        <v>-0.03492228051314328</v>
      </c>
      <c r="T117" s="8">
        <v>-0.03495732036955843</v>
      </c>
      <c r="U117" s="8">
        <v>-0.03499190944506836</v>
      </c>
      <c r="V117" s="8">
        <v>-0.03502604983059285</v>
      </c>
      <c r="W117" s="8">
        <v>-0.03505974367641294</v>
      </c>
      <c r="X117" s="8">
        <v>-0.03509299319199037</v>
      </c>
      <c r="Y117" s="8">
        <v>-0.03512580064578721</v>
      </c>
      <c r="Z117" s="8">
        <v>-0.03515816836505188</v>
      </c>
      <c r="AA117" s="8">
        <v>-0.03519009873562666</v>
      </c>
      <c r="AB117" s="8">
        <v>-0.03522159420172492</v>
      </c>
      <c r="AC117" s="8">
        <v>-0.03525265726571795</v>
      </c>
      <c r="AD117" s="8">
        <v>-0.03528329048789906</v>
      </c>
      <c r="AE117" s="8">
        <v>-0.03531349648625337</v>
      </c>
      <c r="AF117" s="8">
        <v>-0.03534327793621621</v>
      </c>
      <c r="AG117" s="8">
        <v>-0.03537263757042233</v>
      </c>
      <c r="AH117" s="8">
        <v>-0.0354015781784451</v>
      </c>
      <c r="AI117" s="8">
        <v>-0.03543010260653894</v>
      </c>
      <c r="AJ117" s="8">
        <v>-0.03545821375737148</v>
      </c>
      <c r="AK117" s="8">
        <v>-0.03548591458974108</v>
      </c>
      <c r="AL117" s="8">
        <v>-0.03551320811829939</v>
      </c>
      <c r="AM117" s="8">
        <v>-0.03554009741325999</v>
      </c>
      <c r="AN117" s="8">
        <v>-0.03556658560010319</v>
      </c>
      <c r="AO117" s="8">
        <v>-0.03559267585927905</v>
      </c>
      <c r="AP117" s="8">
        <v>-0.03561837142589504</v>
      </c>
      <c r="AQ117" s="8">
        <v>-0.03564367558940375</v>
      </c>
      <c r="AR117" s="8">
        <v>-0.03566859169328573</v>
      </c>
      <c r="AS117" s="8">
        <v>-0.03569312313472892</v>
      </c>
      <c r="AT117" s="8">
        <v>-0.03571727336429227</v>
      </c>
    </row>
    <row r="118" spans="1:46">
      <c r="A118" s="7">
        <v>38.4</v>
      </c>
      <c r="B118" s="8">
        <v>-0.03421822646736174</v>
      </c>
      <c r="C118" s="8">
        <v>-0.03426001427332785</v>
      </c>
      <c r="D118" s="8">
        <v>-0.03430133305935677</v>
      </c>
      <c r="E118" s="8">
        <v>-0.03434218396360542</v>
      </c>
      <c r="F118" s="8">
        <v>-0.03438256818470294</v>
      </c>
      <c r="G118" s="8">
        <v>-0.03442248698172214</v>
      </c>
      <c r="H118" s="8">
        <v>-0.03446194167412244</v>
      </c>
      <c r="I118" s="8">
        <v>-0.03450093364169646</v>
      </c>
      <c r="J118" s="8">
        <v>-0.03453946432451609</v>
      </c>
      <c r="K118" s="8">
        <v>-0.03457753522284186</v>
      </c>
      <c r="L118" s="8">
        <v>-0.03461514789705156</v>
      </c>
      <c r="M118" s="8">
        <v>-0.03465230396754358</v>
      </c>
      <c r="N118" s="8">
        <v>-0.03468900511463709</v>
      </c>
      <c r="O118" s="8">
        <v>-0.03472525307846119</v>
      </c>
      <c r="P118" s="8">
        <v>-0.03476104965883912</v>
      </c>
      <c r="Q118" s="8">
        <v>-0.03479639671515215</v>
      </c>
      <c r="R118" s="8">
        <v>-0.03483129616621881</v>
      </c>
      <c r="S118" s="8">
        <v>-0.03486574999013925</v>
      </c>
      <c r="T118" s="8">
        <v>-0.03489976022414858</v>
      </c>
      <c r="U118" s="8">
        <v>-0.03493332896445196</v>
      </c>
      <c r="V118" s="8">
        <v>-0.0349664583660612</v>
      </c>
      <c r="W118" s="8">
        <v>-0.03499915064261679</v>
      </c>
      <c r="X118" s="8">
        <v>-0.03503140806619563</v>
      </c>
      <c r="Y118" s="8">
        <v>-0.03506323296713632</v>
      </c>
      <c r="Z118" s="8">
        <v>-0.03509462773382453</v>
      </c>
      <c r="AA118" s="8">
        <v>-0.03512559481249226</v>
      </c>
      <c r="AB118" s="8">
        <v>-0.03515613670699728</v>
      </c>
      <c r="AC118" s="8">
        <v>-0.03518625597861167</v>
      </c>
      <c r="AD118" s="8">
        <v>-0.0352159552457831</v>
      </c>
      <c r="AE118" s="8">
        <v>-0.03524523718390107</v>
      </c>
      <c r="AF118" s="8">
        <v>-0.03527410452505784</v>
      </c>
      <c r="AG118" s="8">
        <v>-0.03530256005779542</v>
      </c>
      <c r="AH118" s="8">
        <v>-0.03533060662684449</v>
      </c>
      <c r="AI118" s="8">
        <v>-0.03535824713286821</v>
      </c>
      <c r="AJ118" s="8">
        <v>-0.03538548453218873</v>
      </c>
      <c r="AK118" s="8">
        <v>-0.0354123218365082</v>
      </c>
      <c r="AL118" s="8">
        <v>-0.03543876211263317</v>
      </c>
      <c r="AM118" s="8">
        <v>-0.03546480848217577</v>
      </c>
      <c r="AN118" s="8">
        <v>-0.035490464121267</v>
      </c>
      <c r="AO118" s="8">
        <v>-0.03551573226025297</v>
      </c>
      <c r="AP118" s="8">
        <v>-0.03554061618338124</v>
      </c>
      <c r="AQ118" s="8">
        <v>-0.03556511922849807</v>
      </c>
      <c r="AR118" s="8">
        <v>-0.03558924478673049</v>
      </c>
      <c r="AS118" s="8">
        <v>-0.03561299630214414</v>
      </c>
      <c r="AT118" s="8">
        <v>-0.03563637727143956</v>
      </c>
    </row>
    <row r="119" spans="1:46">
      <c r="A119" s="7">
        <v>38.5</v>
      </c>
      <c r="B119" s="8">
        <v>-0.03418101270878608</v>
      </c>
      <c r="C119" s="8">
        <v>-0.03422162621512328</v>
      </c>
      <c r="D119" s="8">
        <v>-0.03426177881197177</v>
      </c>
      <c r="E119" s="8">
        <v>-0.03430147171355813</v>
      </c>
      <c r="F119" s="8">
        <v>-0.0343407061938894</v>
      </c>
      <c r="G119" s="8">
        <v>-0.03437948358670617</v>
      </c>
      <c r="H119" s="8">
        <v>-0.03441780528543816</v>
      </c>
      <c r="I119" s="8">
        <v>-0.03445567274314208</v>
      </c>
      <c r="J119" s="8">
        <v>-0.03449308747243514</v>
      </c>
      <c r="K119" s="8">
        <v>-0.03453005104541838</v>
      </c>
      <c r="L119" s="8">
        <v>-0.03456656509359028</v>
      </c>
      <c r="M119" s="8">
        <v>-0.03460263130774983</v>
      </c>
      <c r="N119" s="8">
        <v>-0.03463825143789911</v>
      </c>
      <c r="O119" s="8">
        <v>-0.03467342729312328</v>
      </c>
      <c r="P119" s="8">
        <v>-0.03470816074147187</v>
      </c>
      <c r="Q119" s="8">
        <v>-0.03474245370983518</v>
      </c>
      <c r="R119" s="8">
        <v>-0.03477630818379751</v>
      </c>
      <c r="S119" s="8">
        <v>-0.03480972620749938</v>
      </c>
      <c r="T119" s="8">
        <v>-0.03484270988347617</v>
      </c>
      <c r="U119" s="8">
        <v>-0.03487526137250256</v>
      </c>
      <c r="V119" s="8">
        <v>-0.03490738289341912</v>
      </c>
      <c r="W119" s="8">
        <v>-0.034939076722954</v>
      </c>
      <c r="X119" s="8">
        <v>-0.03497034519553317</v>
      </c>
      <c r="Y119" s="8">
        <v>-0.03500119070309644</v>
      </c>
      <c r="Z119" s="8">
        <v>-0.03503161569488995</v>
      </c>
      <c r="AA119" s="8">
        <v>-0.03506162267726119</v>
      </c>
      <c r="AB119" s="8">
        <v>-0.03509121421343551</v>
      </c>
      <c r="AC119" s="8">
        <v>-0.03512039292330549</v>
      </c>
      <c r="AD119" s="8">
        <v>-0.03514916148318896</v>
      </c>
      <c r="AE119" s="8">
        <v>-0.03517752262559739</v>
      </c>
      <c r="AF119" s="8">
        <v>-0.03520547913899961</v>
      </c>
      <c r="AG119" s="8">
        <v>-0.03523303386754826</v>
      </c>
      <c r="AH119" s="8">
        <v>-0.03526018971085101</v>
      </c>
      <c r="AI119" s="8">
        <v>-0.03528694962368846</v>
      </c>
      <c r="AJ119" s="8">
        <v>-0.03531331661574022</v>
      </c>
      <c r="AK119" s="8">
        <v>-0.03533929375132629</v>
      </c>
      <c r="AL119" s="8">
        <v>-0.0353648841491065</v>
      </c>
      <c r="AM119" s="8">
        <v>-0.03539009098180372</v>
      </c>
      <c r="AN119" s="8">
        <v>-0.03541491747589269</v>
      </c>
      <c r="AO119" s="8">
        <v>-0.03543936691132039</v>
      </c>
      <c r="AP119" s="8">
        <v>-0.03546344262117636</v>
      </c>
      <c r="AQ119" s="8">
        <v>-0.0354871479914042</v>
      </c>
      <c r="AR119" s="8">
        <v>-0.03551048646045381</v>
      </c>
      <c r="AS119" s="8">
        <v>-0.03553346151898786</v>
      </c>
      <c r="AT119" s="8">
        <v>-0.03555607670953122</v>
      </c>
    </row>
    <row r="120" spans="1:46">
      <c r="A120" s="7">
        <v>38.6</v>
      </c>
      <c r="B120" s="8">
        <v>-0.03414426375956907</v>
      </c>
      <c r="C120" s="8">
        <v>-0.0341837057293688</v>
      </c>
      <c r="D120" s="8">
        <v>-0.03422269492389809</v>
      </c>
      <c r="E120" s="8">
        <v>-0.03426123263322402</v>
      </c>
      <c r="F120" s="8">
        <v>-0.03429932020649247</v>
      </c>
      <c r="G120" s="8">
        <v>-0.03433695905188081</v>
      </c>
      <c r="H120" s="8">
        <v>-0.03437415063655003</v>
      </c>
      <c r="I120" s="8">
        <v>-0.03441089648657254</v>
      </c>
      <c r="J120" s="8">
        <v>-0.03444719818687858</v>
      </c>
      <c r="K120" s="8">
        <v>-0.03448305738115529</v>
      </c>
      <c r="L120" s="8">
        <v>-0.0345184757717746</v>
      </c>
      <c r="M120" s="8">
        <v>-0.03455345511968951</v>
      </c>
      <c r="N120" s="8">
        <v>-0.03458799724432567</v>
      </c>
      <c r="O120" s="8">
        <v>-0.03462210402346812</v>
      </c>
      <c r="P120" s="8">
        <v>-0.03465577739314583</v>
      </c>
      <c r="Q120" s="8">
        <v>-0.03468901934748451</v>
      </c>
      <c r="R120" s="8">
        <v>-0.03472183193857745</v>
      </c>
      <c r="S120" s="8">
        <v>-0.03475421727633936</v>
      </c>
      <c r="T120" s="8">
        <v>-0.03478617752834481</v>
      </c>
      <c r="U120" s="8">
        <v>-0.03481771491966512</v>
      </c>
      <c r="V120" s="8">
        <v>-0.03484883173269715</v>
      </c>
      <c r="W120" s="8">
        <v>-0.0348795303069803</v>
      </c>
      <c r="X120" s="8">
        <v>-0.03490981303902281</v>
      </c>
      <c r="Y120" s="8">
        <v>-0.03493968238208609</v>
      </c>
      <c r="Z120" s="8">
        <v>-0.03496914084599716</v>
      </c>
      <c r="AA120" s="8">
        <v>-0.03499819099693937</v>
      </c>
      <c r="AB120" s="8">
        <v>-0.03502683545722114</v>
      </c>
      <c r="AC120" s="8">
        <v>-0.03505507690507024</v>
      </c>
      <c r="AD120" s="8">
        <v>-0.03508291807439292</v>
      </c>
      <c r="AE120" s="8">
        <v>-0.03511036175453661</v>
      </c>
      <c r="AF120" s="8">
        <v>-0.03513741079004333</v>
      </c>
      <c r="AG120" s="8">
        <v>-0.03516406808040493</v>
      </c>
      <c r="AH120" s="8">
        <v>-0.03519033657979946</v>
      </c>
      <c r="AI120" s="8">
        <v>-0.03521621929683079</v>
      </c>
      <c r="AJ120" s="8">
        <v>-0.03524171929425073</v>
      </c>
      <c r="AK120" s="8">
        <v>-0.03526683968868767</v>
      </c>
      <c r="AL120" s="8">
        <v>-0.03529158365036515</v>
      </c>
      <c r="AM120" s="8">
        <v>-0.0353159544028049</v>
      </c>
      <c r="AN120" s="8">
        <v>-0.03533995522253548</v>
      </c>
      <c r="AO120" s="8">
        <v>-0.0353635894387974</v>
      </c>
      <c r="AP120" s="8">
        <v>-0.03538686043321917</v>
      </c>
      <c r="AQ120" s="8">
        <v>-0.03540977163952839</v>
      </c>
      <c r="AR120" s="8">
        <v>-0.0354323265432054</v>
      </c>
      <c r="AS120" s="8">
        <v>-0.03545452868118702</v>
      </c>
      <c r="AT120" s="8">
        <v>-0.03547638164151934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T120"/>
  <sheetViews>
    <sheetView workbookViewId="0">
      <pane xSplit="1" topLeftCell="B1" activePane="topRight" state="frozen"/>
      <selection pane="topRight"/>
    </sheetView>
  </sheetViews>
  <sheetFormatPr defaultRowHeight="15"/>
  <cols>
    <col min="1" max="46" width="9.7109375" customWidth="1"/>
  </cols>
  <sheetData>
    <row r="1" spans="1:46">
      <c r="A1" s="7" t="s">
        <v>2</v>
      </c>
    </row>
    <row r="2" spans="1:46">
      <c r="B2" s="7">
        <v>125.5</v>
      </c>
      <c r="C2" s="7">
        <v>125.6</v>
      </c>
      <c r="D2" s="7">
        <v>125.7</v>
      </c>
      <c r="E2" s="7">
        <v>125.8</v>
      </c>
      <c r="F2" s="7">
        <v>125.9</v>
      </c>
      <c r="G2" s="7">
        <v>126</v>
      </c>
      <c r="H2" s="7">
        <v>126.1</v>
      </c>
      <c r="I2" s="7">
        <v>126.2</v>
      </c>
      <c r="J2" s="7">
        <v>126.3</v>
      </c>
      <c r="K2" s="7">
        <v>126.4</v>
      </c>
      <c r="L2" s="7">
        <v>126.5</v>
      </c>
      <c r="M2" s="7">
        <v>126.6</v>
      </c>
      <c r="N2" s="7">
        <v>126.7</v>
      </c>
      <c r="O2" s="7">
        <v>126.8</v>
      </c>
      <c r="P2" s="7">
        <v>126.9</v>
      </c>
      <c r="Q2" s="7">
        <v>127</v>
      </c>
      <c r="R2" s="7">
        <v>127.1</v>
      </c>
      <c r="S2" s="7">
        <v>127.2</v>
      </c>
      <c r="T2" s="7">
        <v>127.3</v>
      </c>
      <c r="U2" s="7">
        <v>127.4</v>
      </c>
      <c r="V2" s="7">
        <v>127.5</v>
      </c>
      <c r="W2" s="7">
        <v>127.6</v>
      </c>
      <c r="X2" s="7">
        <v>127.7</v>
      </c>
      <c r="Y2" s="7">
        <v>127.8</v>
      </c>
      <c r="Z2" s="7">
        <v>127.9</v>
      </c>
      <c r="AA2" s="7">
        <v>128</v>
      </c>
      <c r="AB2" s="7">
        <v>128.1</v>
      </c>
      <c r="AC2" s="7">
        <v>128.2</v>
      </c>
      <c r="AD2" s="7">
        <v>128.3</v>
      </c>
      <c r="AE2" s="7">
        <v>128.4</v>
      </c>
      <c r="AF2" s="7">
        <v>128.5</v>
      </c>
      <c r="AG2" s="7">
        <v>128.6</v>
      </c>
      <c r="AH2" s="7">
        <v>128.7</v>
      </c>
      <c r="AI2" s="7">
        <v>128.8</v>
      </c>
      <c r="AJ2" s="7">
        <v>128.9</v>
      </c>
      <c r="AK2" s="7">
        <v>129</v>
      </c>
      <c r="AL2" s="7">
        <v>129.1</v>
      </c>
      <c r="AM2" s="7">
        <v>129.2</v>
      </c>
      <c r="AN2" s="7">
        <v>129.3</v>
      </c>
      <c r="AO2" s="7">
        <v>129.4</v>
      </c>
      <c r="AP2" s="7">
        <v>129.5</v>
      </c>
      <c r="AQ2" s="7">
        <v>129.6</v>
      </c>
      <c r="AR2" s="7">
        <v>129.7</v>
      </c>
      <c r="AS2" s="7">
        <v>129.8</v>
      </c>
      <c r="AT2" s="7">
        <v>129.9</v>
      </c>
    </row>
    <row r="3" spans="1:46">
      <c r="A3" s="7">
        <v>33</v>
      </c>
      <c r="B3" s="8">
        <v>49.02235653999202</v>
      </c>
      <c r="C3" s="8">
        <v>49.00109066568646</v>
      </c>
      <c r="D3" s="8">
        <v>48.97978219722773</v>
      </c>
      <c r="E3" s="8">
        <v>48.95843195174835</v>
      </c>
      <c r="F3" s="8">
        <v>48.93704074983005</v>
      </c>
      <c r="G3" s="8">
        <v>48.91560941541312</v>
      </c>
      <c r="H3" s="8">
        <v>48.89413877570617</v>
      </c>
      <c r="I3" s="8">
        <v>48.87262966109544</v>
      </c>
      <c r="J3" s="8">
        <v>48.85108290505407</v>
      </c>
      <c r="K3" s="8">
        <v>48.82949934405143</v>
      </c>
      <c r="L3" s="8">
        <v>48.80787981746227</v>
      </c>
      <c r="M3" s="8">
        <v>48.78622516747601</v>
      </c>
      <c r="N3" s="8">
        <v>48.76453623900571</v>
      </c>
      <c r="O3" s="8">
        <v>48.7428138795974</v>
      </c>
      <c r="P3" s="8">
        <v>48.72105893933922</v>
      </c>
      <c r="Q3" s="8">
        <v>48.69927227077068</v>
      </c>
      <c r="R3" s="8">
        <v>48.67745472879198</v>
      </c>
      <c r="S3" s="8">
        <v>48.65560717057328</v>
      </c>
      <c r="T3" s="8">
        <v>48.63373045546442</v>
      </c>
      <c r="U3" s="8">
        <v>48.61182544490439</v>
      </c>
      <c r="V3" s="8">
        <v>48.58989300233108</v>
      </c>
      <c r="W3" s="8">
        <v>48.56793399309123</v>
      </c>
      <c r="X3" s="8">
        <v>48.54594928435045</v>
      </c>
      <c r="Y3" s="8">
        <v>48.52393974500361</v>
      </c>
      <c r="Z3" s="8">
        <v>48.50190624558517</v>
      </c>
      <c r="AA3" s="8">
        <v>48.47984965818004</v>
      </c>
      <c r="AB3" s="8">
        <v>48.45777085633448</v>
      </c>
      <c r="AC3" s="8">
        <v>48.43567071496724</v>
      </c>
      <c r="AD3" s="8">
        <v>48.41355011028107</v>
      </c>
      <c r="AE3" s="8">
        <v>48.3914099196747</v>
      </c>
      <c r="AF3" s="8">
        <v>48.36925102165466</v>
      </c>
      <c r="AG3" s="8">
        <v>48.34707429574789</v>
      </c>
      <c r="AH3" s="8">
        <v>48.32488062241438</v>
      </c>
      <c r="AI3" s="8">
        <v>48.30267088296053</v>
      </c>
      <c r="AJ3" s="8">
        <v>48.28044595945231</v>
      </c>
      <c r="AK3" s="8">
        <v>48.25820673462955</v>
      </c>
      <c r="AL3" s="8">
        <v>48.23595409181988</v>
      </c>
      <c r="AM3" s="8">
        <v>48.21368891485378</v>
      </c>
      <c r="AN3" s="8">
        <v>48.19141208797948</v>
      </c>
      <c r="AO3" s="8">
        <v>48.16912449577876</v>
      </c>
      <c r="AP3" s="8">
        <v>48.14682702308298</v>
      </c>
      <c r="AQ3" s="8">
        <v>48.12452055488965</v>
      </c>
      <c r="AR3" s="8">
        <v>48.10220597627946</v>
      </c>
      <c r="AS3" s="8">
        <v>48.07988417233395</v>
      </c>
      <c r="AT3" s="8">
        <v>48.05755602805358</v>
      </c>
    </row>
    <row r="4" spans="1:46">
      <c r="A4" s="7">
        <v>33.1</v>
      </c>
      <c r="B4" s="8">
        <v>49.1592996853118</v>
      </c>
      <c r="C4" s="8">
        <v>49.13803797452363</v>
      </c>
      <c r="D4" s="8">
        <v>49.11673373580643</v>
      </c>
      <c r="E4" s="8">
        <v>49.09538778274687</v>
      </c>
      <c r="F4" s="8">
        <v>49.07400093235973</v>
      </c>
      <c r="G4" s="8">
        <v>49.05257400499797</v>
      </c>
      <c r="H4" s="8">
        <v>49.03110782426325</v>
      </c>
      <c r="I4" s="8">
        <v>49.00960321691581</v>
      </c>
      <c r="J4" s="8">
        <v>48.98806101278465</v>
      </c>
      <c r="K4" s="8">
        <v>48.96648204467743</v>
      </c>
      <c r="L4" s="8">
        <v>48.94486714829048</v>
      </c>
      <c r="M4" s="8">
        <v>48.92321716211858</v>
      </c>
      <c r="N4" s="8">
        <v>48.90153292736482</v>
      </c>
      <c r="O4" s="8">
        <v>48.87981528785067</v>
      </c>
      <c r="P4" s="8">
        <v>48.85806508992573</v>
      </c>
      <c r="Q4" s="8">
        <v>48.8362831823777</v>
      </c>
      <c r="R4" s="8">
        <v>48.81447041634252</v>
      </c>
      <c r="S4" s="8">
        <v>48.79262764521434</v>
      </c>
      <c r="T4" s="8">
        <v>48.77075572455586</v>
      </c>
      <c r="U4" s="8">
        <v>48.74885551200848</v>
      </c>
      <c r="V4" s="8">
        <v>48.726927867203</v>
      </c>
      <c r="W4" s="8">
        <v>48.70497365167007</v>
      </c>
      <c r="X4" s="8">
        <v>48.68299372875097</v>
      </c>
      <c r="Y4" s="8">
        <v>48.66098896350876</v>
      </c>
      <c r="Z4" s="8">
        <v>48.6389602226393</v>
      </c>
      <c r="AA4" s="8">
        <v>48.61690837438267</v>
      </c>
      <c r="AB4" s="8">
        <v>48.59483428843498</v>
      </c>
      <c r="AC4" s="8">
        <v>48.57273883586011</v>
      </c>
      <c r="AD4" s="8">
        <v>48.55062288900204</v>
      </c>
      <c r="AE4" s="8">
        <v>48.52848732139721</v>
      </c>
      <c r="AF4" s="8">
        <v>48.50633300768735</v>
      </c>
      <c r="AG4" s="8">
        <v>48.4841608235327</v>
      </c>
      <c r="AH4" s="8">
        <v>48.46197164552528</v>
      </c>
      <c r="AI4" s="8">
        <v>48.43976635110286</v>
      </c>
      <c r="AJ4" s="8">
        <v>48.41754581846307</v>
      </c>
      <c r="AK4" s="8">
        <v>48.39531092647801</v>
      </c>
      <c r="AL4" s="8">
        <v>48.37306255460921</v>
      </c>
      <c r="AM4" s="8">
        <v>48.35080158282295</v>
      </c>
      <c r="AN4" s="8">
        <v>48.32852889150627</v>
      </c>
      <c r="AO4" s="8">
        <v>48.30624536138312</v>
      </c>
      <c r="AP4" s="8">
        <v>48.28395187343109</v>
      </c>
      <c r="AQ4" s="8">
        <v>48.2616493087987</v>
      </c>
      <c r="AR4" s="8">
        <v>48.23933854872309</v>
      </c>
      <c r="AS4" s="8">
        <v>48.21702047444818</v>
      </c>
      <c r="AT4" s="8">
        <v>48.19469596714352</v>
      </c>
    </row>
    <row r="5" spans="1:46">
      <c r="A5" s="7">
        <v>33.2</v>
      </c>
      <c r="B5" s="8">
        <v>49.29585977819983</v>
      </c>
      <c r="C5" s="8">
        <v>49.27460232229294</v>
      </c>
      <c r="D5" s="8">
        <v>49.25330240505022</v>
      </c>
      <c r="E5" s="8">
        <v>49.23196083653406</v>
      </c>
      <c r="F5" s="8">
        <v>49.21057843021396</v>
      </c>
      <c r="G5" s="8">
        <v>49.18915600287726</v>
      </c>
      <c r="H5" s="8">
        <v>49.16769437454026</v>
      </c>
      <c r="I5" s="8">
        <v>49.14619436835902</v>
      </c>
      <c r="J5" s="8">
        <v>49.12465681054013</v>
      </c>
      <c r="K5" s="8">
        <v>49.10308253025124</v>
      </c>
      <c r="L5" s="8">
        <v>49.08147235953188</v>
      </c>
      <c r="M5" s="8">
        <v>49.05982713320394</v>
      </c>
      <c r="N5" s="8">
        <v>49.03814768878229</v>
      </c>
      <c r="O5" s="8">
        <v>49.0164348663854</v>
      </c>
      <c r="P5" s="8">
        <v>48.99468950864593</v>
      </c>
      <c r="Q5" s="8">
        <v>48.97291246062147</v>
      </c>
      <c r="R5" s="8">
        <v>48.95110456970519</v>
      </c>
      <c r="S5" s="8">
        <v>48.9292666855367</v>
      </c>
      <c r="T5" s="8">
        <v>48.90739965991296</v>
      </c>
      <c r="U5" s="8">
        <v>48.88550434669934</v>
      </c>
      <c r="V5" s="8">
        <v>48.86358160174078</v>
      </c>
      <c r="W5" s="8">
        <v>48.84163228277311</v>
      </c>
      <c r="X5" s="8">
        <v>48.81965724933455</v>
      </c>
      <c r="Y5" s="8">
        <v>48.79765736267739</v>
      </c>
      <c r="Z5" s="8">
        <v>48.7756334856799</v>
      </c>
      <c r="AA5" s="8">
        <v>48.75358648275834</v>
      </c>
      <c r="AB5" s="8">
        <v>48.73151721977954</v>
      </c>
      <c r="AC5" s="8">
        <v>48.70942656397332</v>
      </c>
      <c r="AD5" s="8">
        <v>48.68731538384535</v>
      </c>
      <c r="AE5" s="8">
        <v>48.66518454909045</v>
      </c>
      <c r="AF5" s="8">
        <v>48.64303493050607</v>
      </c>
      <c r="AG5" s="8">
        <v>48.6208673999059</v>
      </c>
      <c r="AH5" s="8">
        <v>48.59868283003424</v>
      </c>
      <c r="AI5" s="8">
        <v>48.57648209448038</v>
      </c>
      <c r="AJ5" s="8">
        <v>48.55426606759342</v>
      </c>
      <c r="AK5" s="8">
        <v>48.53203562439759</v>
      </c>
      <c r="AL5" s="8">
        <v>48.50979164050786</v>
      </c>
      <c r="AM5" s="8">
        <v>48.48753499204601</v>
      </c>
      <c r="AN5" s="8">
        <v>48.46526655555709</v>
      </c>
      <c r="AO5" s="8">
        <v>48.44298720792643</v>
      </c>
      <c r="AP5" s="8">
        <v>48.42069782629693</v>
      </c>
      <c r="AQ5" s="8">
        <v>48.39839928798696</v>
      </c>
      <c r="AR5" s="8">
        <v>48.37609247040878</v>
      </c>
      <c r="AS5" s="8">
        <v>48.3537782509872</v>
      </c>
      <c r="AT5" s="8">
        <v>48.33145750707928</v>
      </c>
    </row>
    <row r="6" spans="1:46">
      <c r="A6" s="7">
        <v>33.3</v>
      </c>
      <c r="B6" s="8">
        <v>49.43203794037929</v>
      </c>
      <c r="C6" s="8">
        <v>49.41078483080677</v>
      </c>
      <c r="D6" s="8">
        <v>49.38948932686154</v>
      </c>
      <c r="E6" s="8">
        <v>49.36815223510335</v>
      </c>
      <c r="F6" s="8">
        <v>49.34677436547783</v>
      </c>
      <c r="G6" s="8">
        <v>49.32535653122828</v>
      </c>
      <c r="H6" s="8">
        <v>49.30389954880729</v>
      </c>
      <c r="I6" s="8">
        <v>49.28240423778828</v>
      </c>
      <c r="J6" s="8">
        <v>49.26087142077692</v>
      </c>
      <c r="K6" s="8">
        <v>49.23930192332249</v>
      </c>
      <c r="L6" s="8">
        <v>49.21769657382936</v>
      </c>
      <c r="M6" s="8">
        <v>49.19605620346803</v>
      </c>
      <c r="N6" s="8">
        <v>49.17438164608671</v>
      </c>
      <c r="O6" s="8">
        <v>49.15267373812236</v>
      </c>
      <c r="P6" s="8">
        <v>49.1309333185123</v>
      </c>
      <c r="Q6" s="8">
        <v>49.10916122860535</v>
      </c>
      <c r="R6" s="8">
        <v>49.08735831207341</v>
      </c>
      <c r="S6" s="8">
        <v>49.06552541482289</v>
      </c>
      <c r="T6" s="8">
        <v>49.04366338490642</v>
      </c>
      <c r="U6" s="8">
        <v>49.02177307243453</v>
      </c>
      <c r="V6" s="8">
        <v>48.99985532948758</v>
      </c>
      <c r="W6" s="8">
        <v>48.97791101002774</v>
      </c>
      <c r="X6" s="8">
        <v>48.95594096981117</v>
      </c>
      <c r="Y6" s="8">
        <v>48.93394606630043</v>
      </c>
      <c r="Z6" s="8">
        <v>48.91192715857714</v>
      </c>
      <c r="AA6" s="8">
        <v>48.88988510725459</v>
      </c>
      <c r="AB6" s="8">
        <v>48.86782077439108</v>
      </c>
      <c r="AC6" s="8">
        <v>48.84573502340292</v>
      </c>
      <c r="AD6" s="8">
        <v>48.82362871897816</v>
      </c>
      <c r="AE6" s="8">
        <v>48.80150272699037</v>
      </c>
      <c r="AF6" s="8">
        <v>48.779357914413</v>
      </c>
      <c r="AG6" s="8">
        <v>48.75719514923355</v>
      </c>
      <c r="AH6" s="8">
        <v>48.73501530036854</v>
      </c>
      <c r="AI6" s="8">
        <v>48.7128192375788</v>
      </c>
      <c r="AJ6" s="8">
        <v>48.69060783138473</v>
      </c>
      <c r="AK6" s="8">
        <v>48.66838195298241</v>
      </c>
      <c r="AL6" s="8">
        <v>48.64614247415983</v>
      </c>
      <c r="AM6" s="8">
        <v>48.62389026721355</v>
      </c>
      <c r="AN6" s="8">
        <v>48.60162620486603</v>
      </c>
      <c r="AO6" s="8">
        <v>48.57935116018303</v>
      </c>
      <c r="AP6" s="8">
        <v>48.55706600649167</v>
      </c>
      <c r="AQ6" s="8">
        <v>48.53477161729896</v>
      </c>
      <c r="AR6" s="8">
        <v>48.51246886621088</v>
      </c>
      <c r="AS6" s="8">
        <v>48.49015862685171</v>
      </c>
      <c r="AT6" s="8">
        <v>48.46784177278406</v>
      </c>
    </row>
    <row r="7" spans="1:46">
      <c r="A7" s="7">
        <v>33.4</v>
      </c>
      <c r="B7" s="8">
        <v>49.56783529876572</v>
      </c>
      <c r="C7" s="8">
        <v>49.54658662707748</v>
      </c>
      <c r="D7" s="8">
        <v>49.52529562835062</v>
      </c>
      <c r="E7" s="8">
        <v>49.50396310566358</v>
      </c>
      <c r="F7" s="8">
        <v>49.48258986545964</v>
      </c>
      <c r="G7" s="8">
        <v>49.46117671745939</v>
      </c>
      <c r="H7" s="8">
        <v>49.43972447457319</v>
      </c>
      <c r="I7" s="8">
        <v>49.41823395281321</v>
      </c>
      <c r="J7" s="8">
        <v>49.39670597120573</v>
      </c>
      <c r="K7" s="8">
        <v>49.37514135170314</v>
      </c>
      <c r="L7" s="8">
        <v>49.35354091909593</v>
      </c>
      <c r="M7" s="8">
        <v>49.3319055009248</v>
      </c>
      <c r="N7" s="8">
        <v>49.31023592739263</v>
      </c>
      <c r="O7" s="8">
        <v>49.28853303127641</v>
      </c>
      <c r="P7" s="8">
        <v>49.26679764783931</v>
      </c>
      <c r="Q7" s="8">
        <v>49.24503061474285</v>
      </c>
      <c r="R7" s="8">
        <v>49.22323277195888</v>
      </c>
      <c r="S7" s="8">
        <v>49.20140496168192</v>
      </c>
      <c r="T7" s="8">
        <v>49.17954802824147</v>
      </c>
      <c r="U7" s="8">
        <v>49.15766281801438</v>
      </c>
      <c r="V7" s="8">
        <v>49.13575017933752</v>
      </c>
      <c r="W7" s="8">
        <v>49.11381096242037</v>
      </c>
      <c r="X7" s="8">
        <v>49.09184601925811</v>
      </c>
      <c r="Y7" s="8">
        <v>49.06985620354443</v>
      </c>
      <c r="Z7" s="8">
        <v>49.04784237058507</v>
      </c>
      <c r="AA7" s="8">
        <v>49.02580537721111</v>
      </c>
      <c r="AB7" s="8">
        <v>49.0037460816929</v>
      </c>
      <c r="AC7" s="8">
        <v>48.98166534365383</v>
      </c>
      <c r="AD7" s="8">
        <v>48.95956402398473</v>
      </c>
      <c r="AE7" s="8">
        <v>48.93744298475839</v>
      </c>
      <c r="AF7" s="8">
        <v>48.9153030891443</v>
      </c>
      <c r="AG7" s="8">
        <v>48.89314520132394</v>
      </c>
      <c r="AH7" s="8">
        <v>48.87097018640615</v>
      </c>
      <c r="AI7" s="8">
        <v>48.84877891034299</v>
      </c>
      <c r="AJ7" s="8">
        <v>48.82657223984599</v>
      </c>
      <c r="AK7" s="8">
        <v>48.80435104230267</v>
      </c>
      <c r="AL7" s="8">
        <v>48.78211618569343</v>
      </c>
      <c r="AM7" s="8">
        <v>48.75986853850907</v>
      </c>
      <c r="AN7" s="8">
        <v>48.73760896966853</v>
      </c>
      <c r="AO7" s="8">
        <v>48.71533834843698</v>
      </c>
      <c r="AP7" s="8">
        <v>48.69305754434469</v>
      </c>
      <c r="AQ7" s="8">
        <v>48.67076742710604</v>
      </c>
      <c r="AR7" s="8">
        <v>48.64846886653916</v>
      </c>
      <c r="AS7" s="8">
        <v>48.62616273248612</v>
      </c>
      <c r="AT7" s="8">
        <v>48.60384989473341</v>
      </c>
    </row>
    <row r="8" spans="1:46">
      <c r="A8" s="7">
        <v>33.5</v>
      </c>
      <c r="B8" s="8">
        <v>49.70325298532799</v>
      </c>
      <c r="C8" s="8">
        <v>49.68200884317798</v>
      </c>
      <c r="D8" s="8">
        <v>49.6607224416956</v>
      </c>
      <c r="E8" s="8">
        <v>49.63939458049907</v>
      </c>
      <c r="F8" s="8">
        <v>49.61802606255058</v>
      </c>
      <c r="G8" s="8">
        <v>49.59661769406939</v>
      </c>
      <c r="H8" s="8">
        <v>49.57517028444482</v>
      </c>
      <c r="I8" s="8">
        <v>49.55368464614918</v>
      </c>
      <c r="J8" s="8">
        <v>49.53216159465067</v>
      </c>
      <c r="K8" s="8">
        <v>49.510601948326</v>
      </c>
      <c r="L8" s="8">
        <v>49.48900652837333</v>
      </c>
      <c r="M8" s="8">
        <v>49.46737615872468</v>
      </c>
      <c r="N8" s="8">
        <v>49.44571166595895</v>
      </c>
      <c r="O8" s="8">
        <v>49.42401387921433</v>
      </c>
      <c r="P8" s="8">
        <v>49.40228363010132</v>
      </c>
      <c r="Q8" s="8">
        <v>49.38052175261511</v>
      </c>
      <c r="R8" s="8">
        <v>49.35872908304884</v>
      </c>
      <c r="S8" s="8">
        <v>49.33690645990617</v>
      </c>
      <c r="T8" s="8">
        <v>49.31505472381465</v>
      </c>
      <c r="U8" s="8">
        <v>49.2931747174384</v>
      </c>
      <c r="V8" s="8">
        <v>49.27126728539181</v>
      </c>
      <c r="W8" s="8">
        <v>49.24933327415266</v>
      </c>
      <c r="X8" s="8">
        <v>49.22737353197586</v>
      </c>
      <c r="Y8" s="8">
        <v>49.20538890880708</v>
      </c>
      <c r="Z8" s="8">
        <v>49.18338025619693</v>
      </c>
      <c r="AA8" s="8">
        <v>49.16134842721483</v>
      </c>
      <c r="AB8" s="8">
        <v>49.1392942763637</v>
      </c>
      <c r="AC8" s="8">
        <v>49.11721865949444</v>
      </c>
      <c r="AD8" s="8">
        <v>49.09512243372105</v>
      </c>
      <c r="AE8" s="8">
        <v>49.07300645733563</v>
      </c>
      <c r="AF8" s="8">
        <v>49.050871589724</v>
      </c>
      <c r="AG8" s="8">
        <v>49.02871869128152</v>
      </c>
      <c r="AH8" s="8">
        <v>49.00654862332917</v>
      </c>
      <c r="AI8" s="8">
        <v>48.98436224803019</v>
      </c>
      <c r="AJ8" s="8">
        <v>48.96216042830677</v>
      </c>
      <c r="AK8" s="8">
        <v>48.93994402775736</v>
      </c>
      <c r="AL8" s="8">
        <v>48.91771391057419</v>
      </c>
      <c r="AM8" s="8">
        <v>48.89547094146146</v>
      </c>
      <c r="AN8" s="8">
        <v>48.87321598555361</v>
      </c>
      <c r="AO8" s="8">
        <v>48.85094990833432</v>
      </c>
      <c r="AP8" s="8">
        <v>48.82867357555562</v>
      </c>
      <c r="AQ8" s="8">
        <v>48.80638785315789</v>
      </c>
      <c r="AR8" s="8">
        <v>48.78409360718997</v>
      </c>
      <c r="AS8" s="8">
        <v>48.76179170372988</v>
      </c>
      <c r="AT8" s="8">
        <v>48.73948300880607</v>
      </c>
    </row>
    <row r="9" spans="1:46">
      <c r="A9" s="7">
        <v>33.6</v>
      </c>
      <c r="B9" s="8">
        <v>49.83829213694989</v>
      </c>
      <c r="C9" s="8">
        <v>49.81705261610357</v>
      </c>
      <c r="D9" s="8">
        <v>49.79577090400418</v>
      </c>
      <c r="E9" s="8">
        <v>49.77444779683091</v>
      </c>
      <c r="F9" s="8">
        <v>49.75308409408604</v>
      </c>
      <c r="G9" s="8">
        <v>49.73168059850856</v>
      </c>
      <c r="H9" s="8">
        <v>49.71023811598795</v>
      </c>
      <c r="I9" s="8">
        <v>49.68875745547783</v>
      </c>
      <c r="J9" s="8">
        <v>49.66723942890949</v>
      </c>
      <c r="K9" s="8">
        <v>49.64568485110524</v>
      </c>
      <c r="L9" s="8">
        <v>49.6240945396919</v>
      </c>
      <c r="M9" s="8">
        <v>49.60246931501423</v>
      </c>
      <c r="N9" s="8">
        <v>49.58081000004812</v>
      </c>
      <c r="O9" s="8">
        <v>49.55911742031429</v>
      </c>
      <c r="P9" s="8">
        <v>49.53739240379143</v>
      </c>
      <c r="Q9" s="8">
        <v>49.51563578082971</v>
      </c>
      <c r="R9" s="8">
        <v>49.49384838406453</v>
      </c>
      <c r="S9" s="8">
        <v>49.47203104832979</v>
      </c>
      <c r="T9" s="8">
        <v>49.45018461057185</v>
      </c>
      <c r="U9" s="8">
        <v>49.42830990976325</v>
      </c>
      <c r="V9" s="8">
        <v>49.40640778681661</v>
      </c>
      <c r="W9" s="8">
        <v>49.38447908449886</v>
      </c>
      <c r="X9" s="8">
        <v>49.36252464734537</v>
      </c>
      <c r="Y9" s="8">
        <v>49.34054532157448</v>
      </c>
      <c r="Z9" s="8">
        <v>49.3185419550021</v>
      </c>
      <c r="AA9" s="8">
        <v>49.29651539695662</v>
      </c>
      <c r="AB9" s="8">
        <v>49.27446649819392</v>
      </c>
      <c r="AC9" s="8">
        <v>49.25239611081287</v>
      </c>
      <c r="AD9" s="8">
        <v>49.23030508817057</v>
      </c>
      <c r="AE9" s="8">
        <v>49.20819428479874</v>
      </c>
      <c r="AF9" s="8">
        <v>49.18606455631951</v>
      </c>
      <c r="AG9" s="8">
        <v>49.16391675936195</v>
      </c>
      <c r="AH9" s="8">
        <v>49.1417517514792</v>
      </c>
      <c r="AI9" s="8">
        <v>49.11957039106505</v>
      </c>
      <c r="AJ9" s="8">
        <v>49.09737353727198</v>
      </c>
      <c r="AK9" s="8">
        <v>49.07516204992881</v>
      </c>
      <c r="AL9" s="8">
        <v>49.05293678945884</v>
      </c>
      <c r="AM9" s="8">
        <v>49.03069861679884</v>
      </c>
      <c r="AN9" s="8">
        <v>49.00844839331776</v>
      </c>
      <c r="AO9" s="8">
        <v>48.98618698073646</v>
      </c>
      <c r="AP9" s="8">
        <v>48.96391524104757</v>
      </c>
      <c r="AQ9" s="8">
        <v>48.9416340364359</v>
      </c>
      <c r="AR9" s="8">
        <v>48.91934422919934</v>
      </c>
      <c r="AS9" s="8">
        <v>48.89704668167004</v>
      </c>
      <c r="AT9" s="8">
        <v>48.87474225613656</v>
      </c>
    </row>
    <row r="10" spans="1:46">
      <c r="A10" s="7">
        <v>33.7</v>
      </c>
      <c r="B10" s="8">
        <v>49.97295389529423</v>
      </c>
      <c r="C10" s="8">
        <v>49.95171908763542</v>
      </c>
      <c r="D10" s="8">
        <v>49.93044215717708</v>
      </c>
      <c r="E10" s="8">
        <v>49.90912389668037</v>
      </c>
      <c r="F10" s="8">
        <v>49.88776510220859</v>
      </c>
      <c r="G10" s="8">
        <v>49.86636657304143</v>
      </c>
      <c r="H10" s="8">
        <v>49.84492911158969</v>
      </c>
      <c r="I10" s="8">
        <v>49.8234535233093</v>
      </c>
      <c r="J10" s="8">
        <v>49.80194061661572</v>
      </c>
      <c r="K10" s="8">
        <v>49.78039120279782</v>
      </c>
      <c r="L10" s="8">
        <v>49.75880609593229</v>
      </c>
      <c r="M10" s="8">
        <v>49.73718611279745</v>
      </c>
      <c r="N10" s="8">
        <v>49.7155320727875</v>
      </c>
      <c r="O10" s="8">
        <v>49.69384479782646</v>
      </c>
      <c r="P10" s="8">
        <v>49.67212511228231</v>
      </c>
      <c r="Q10" s="8">
        <v>49.65037384288122</v>
      </c>
      <c r="R10" s="8">
        <v>49.62859181862165</v>
      </c>
      <c r="S10" s="8">
        <v>49.60677987068864</v>
      </c>
      <c r="T10" s="8">
        <v>49.58493883236837</v>
      </c>
      <c r="U10" s="8">
        <v>49.56306953896235</v>
      </c>
      <c r="V10" s="8">
        <v>49.54117282770237</v>
      </c>
      <c r="W10" s="8">
        <v>49.51924953766504</v>
      </c>
      <c r="X10" s="8">
        <v>49.49730050968696</v>
      </c>
      <c r="Y10" s="8">
        <v>49.47532658627947</v>
      </c>
      <c r="Z10" s="8">
        <v>49.45332861154451</v>
      </c>
      <c r="AA10" s="8">
        <v>49.43130743108961</v>
      </c>
      <c r="AB10" s="8">
        <v>49.40926389194404</v>
      </c>
      <c r="AC10" s="8">
        <v>49.3871988424746</v>
      </c>
      <c r="AD10" s="8">
        <v>49.36511313230199</v>
      </c>
      <c r="AE10" s="8">
        <v>49.34300761221728</v>
      </c>
      <c r="AF10" s="8">
        <v>49.32088313409891</v>
      </c>
      <c r="AG10" s="8">
        <v>49.29874055082953</v>
      </c>
      <c r="AH10" s="8">
        <v>49.2765807162138</v>
      </c>
      <c r="AI10" s="8">
        <v>49.25440448489601</v>
      </c>
      <c r="AJ10" s="8">
        <v>49.2322127122782</v>
      </c>
      <c r="AK10" s="8">
        <v>49.21000625443881</v>
      </c>
      <c r="AL10" s="8">
        <v>49.18778596805151</v>
      </c>
      <c r="AM10" s="8">
        <v>49.16555271030453</v>
      </c>
      <c r="AN10" s="8">
        <v>49.14330733882026</v>
      </c>
      <c r="AO10" s="8">
        <v>49.12105071157551</v>
      </c>
      <c r="AP10" s="8">
        <v>49.0987836868221</v>
      </c>
      <c r="AQ10" s="8">
        <v>49.07650712300772</v>
      </c>
      <c r="AR10" s="8">
        <v>49.05422187869745</v>
      </c>
      <c r="AS10" s="8">
        <v>49.03192881249587</v>
      </c>
      <c r="AT10" s="8">
        <v>49.00962878296938</v>
      </c>
    </row>
    <row r="11" spans="1:46">
      <c r="A11" s="7">
        <v>33.8</v>
      </c>
      <c r="B11" s="8">
        <v>50.10723940666784</v>
      </c>
      <c r="C11" s="8">
        <v>50.08600940420544</v>
      </c>
      <c r="D11" s="8">
        <v>50.06473734777252</v>
      </c>
      <c r="E11" s="8">
        <v>50.04342402673299</v>
      </c>
      <c r="F11" s="8">
        <v>50.02207023373189</v>
      </c>
      <c r="G11" s="8">
        <v>50.00067676461068</v>
      </c>
      <c r="H11" s="8">
        <v>49.97924441832229</v>
      </c>
      <c r="I11" s="8">
        <v>49.95777399684584</v>
      </c>
      <c r="J11" s="8">
        <v>49.93626630510187</v>
      </c>
      <c r="K11" s="8">
        <v>49.91472215086686</v>
      </c>
      <c r="L11" s="8">
        <v>49.89314234468814</v>
      </c>
      <c r="M11" s="8">
        <v>49.87152769979873</v>
      </c>
      <c r="N11" s="8">
        <v>49.8498790320317</v>
      </c>
      <c r="O11" s="8">
        <v>49.8281971597355</v>
      </c>
      <c r="P11" s="8">
        <v>49.80648290368832</v>
      </c>
      <c r="Q11" s="8">
        <v>49.78473708701294</v>
      </c>
      <c r="R11" s="8">
        <v>49.76296053509184</v>
      </c>
      <c r="S11" s="8">
        <v>49.74115407548198</v>
      </c>
      <c r="T11" s="8">
        <v>49.71931853782991</v>
      </c>
      <c r="U11" s="8">
        <v>49.69745475378695</v>
      </c>
      <c r="V11" s="8">
        <v>49.67556355692461</v>
      </c>
      <c r="W11" s="8">
        <v>49.65364578264982</v>
      </c>
      <c r="X11" s="8">
        <v>49.63170226812068</v>
      </c>
      <c r="Y11" s="8">
        <v>49.60973385216227</v>
      </c>
      <c r="Z11" s="8">
        <v>49.5877413751826</v>
      </c>
      <c r="AA11" s="8">
        <v>49.56572567908887</v>
      </c>
      <c r="AB11" s="8">
        <v>49.54368760720371</v>
      </c>
      <c r="AC11" s="8">
        <v>49.52162800418213</v>
      </c>
      <c r="AD11" s="8">
        <v>49.49954771592827</v>
      </c>
      <c r="AE11" s="8">
        <v>49.47744758951261</v>
      </c>
      <c r="AF11" s="8">
        <v>49.45532847308952</v>
      </c>
      <c r="AG11" s="8">
        <v>49.43319121581502</v>
      </c>
      <c r="AH11" s="8">
        <v>49.41103666776498</v>
      </c>
      <c r="AI11" s="8">
        <v>49.38886567985339</v>
      </c>
      <c r="AJ11" s="8">
        <v>49.36667910375137</v>
      </c>
      <c r="AK11" s="8">
        <v>49.34447779180616</v>
      </c>
      <c r="AL11" s="8">
        <v>49.32226259696079</v>
      </c>
      <c r="AM11" s="8">
        <v>49.30003437267393</v>
      </c>
      <c r="AN11" s="8">
        <v>49.27779397284021</v>
      </c>
      <c r="AO11" s="8">
        <v>49.25554225171111</v>
      </c>
      <c r="AP11" s="8">
        <v>49.23328006381594</v>
      </c>
      <c r="AQ11" s="8">
        <v>49.21100826388371</v>
      </c>
      <c r="AR11" s="8">
        <v>49.18872770676498</v>
      </c>
      <c r="AS11" s="8">
        <v>49.16643924735461</v>
      </c>
      <c r="AT11" s="8">
        <v>49.14414374051475</v>
      </c>
    </row>
    <row r="12" spans="1:46">
      <c r="A12" s="7">
        <v>33.9</v>
      </c>
      <c r="B12" s="8">
        <v>50.24114982188814</v>
      </c>
      <c r="C12" s="8">
        <v>50.21992471676293</v>
      </c>
      <c r="D12" s="8">
        <v>50.19865762687267</v>
      </c>
      <c r="E12" s="8">
        <v>50.17734933820481</v>
      </c>
      <c r="F12" s="8">
        <v>50.15600064000695</v>
      </c>
      <c r="G12" s="8">
        <v>50.13461232470296</v>
      </c>
      <c r="H12" s="8">
        <v>50.1131851878086</v>
      </c>
      <c r="I12" s="8">
        <v>50.09172002784707</v>
      </c>
      <c r="J12" s="8">
        <v>50.07021764626478</v>
      </c>
      <c r="K12" s="8">
        <v>50.0486788473465</v>
      </c>
      <c r="L12" s="8">
        <v>50.02710443813115</v>
      </c>
      <c r="M12" s="8">
        <v>50.00549522832694</v>
      </c>
      <c r="N12" s="8">
        <v>49.98385203022701</v>
      </c>
      <c r="O12" s="8">
        <v>49.96217565862474</v>
      </c>
      <c r="P12" s="8">
        <v>49.94046693072922</v>
      </c>
      <c r="Q12" s="8">
        <v>49.91872666608067</v>
      </c>
      <c r="R12" s="8">
        <v>49.89695568646619</v>
      </c>
      <c r="S12" s="8">
        <v>49.87515481583534</v>
      </c>
      <c r="T12" s="8">
        <v>49.85332488021569</v>
      </c>
      <c r="U12" s="8">
        <v>49.83146670762887</v>
      </c>
      <c r="V12" s="8">
        <v>49.80958112800653</v>
      </c>
      <c r="W12" s="8">
        <v>49.78766897310639</v>
      </c>
      <c r="X12" s="8">
        <v>49.76573107642855</v>
      </c>
      <c r="Y12" s="8">
        <v>49.74376827313198</v>
      </c>
      <c r="Z12" s="8">
        <v>49.72178139995113</v>
      </c>
      <c r="AA12" s="8">
        <v>49.6997712951128</v>
      </c>
      <c r="AB12" s="8">
        <v>49.67773879825332</v>
      </c>
      <c r="AC12" s="8">
        <v>49.65568475033576</v>
      </c>
      <c r="AD12" s="8">
        <v>49.63360999356755</v>
      </c>
      <c r="AE12" s="8">
        <v>49.6115153713184</v>
      </c>
      <c r="AF12" s="8">
        <v>49.5894017280384</v>
      </c>
      <c r="AG12" s="8">
        <v>49.56726990917645</v>
      </c>
      <c r="AH12" s="8">
        <v>49.545120761099</v>
      </c>
      <c r="AI12" s="8">
        <v>49.52295513100926</v>
      </c>
      <c r="AJ12" s="8">
        <v>49.50077386686651</v>
      </c>
      <c r="AK12" s="8">
        <v>49.47857781730603</v>
      </c>
      <c r="AL12" s="8">
        <v>49.45636783155904</v>
      </c>
      <c r="AM12" s="8">
        <v>49.43414475937363</v>
      </c>
      <c r="AN12" s="8">
        <v>49.4119094509353</v>
      </c>
      <c r="AO12" s="8">
        <v>49.38966275678868</v>
      </c>
      <c r="AP12" s="8">
        <v>49.36740552775912</v>
      </c>
      <c r="AQ12" s="8">
        <v>49.34513861487509</v>
      </c>
      <c r="AR12" s="8">
        <v>49.32286286929075</v>
      </c>
      <c r="AS12" s="8">
        <v>49.30057914220914</v>
      </c>
      <c r="AT12" s="8">
        <v>49.27828828480598</v>
      </c>
    </row>
    <row r="13" spans="1:46">
      <c r="A13" s="7">
        <v>34</v>
      </c>
      <c r="B13" s="8">
        <v>50.37468629615127</v>
      </c>
      <c r="C13" s="8">
        <v>50.35346618064203</v>
      </c>
      <c r="D13" s="8">
        <v>50.33220414995115</v>
      </c>
      <c r="E13" s="8">
        <v>50.31090098670985</v>
      </c>
      <c r="F13" s="8">
        <v>50.2895574767891</v>
      </c>
      <c r="G13" s="8">
        <v>50.26817440921567</v>
      </c>
      <c r="H13" s="8">
        <v>50.24675257608884</v>
      </c>
      <c r="I13" s="8">
        <v>50.22529277249657</v>
      </c>
      <c r="J13" s="8">
        <v>50.20379579643161</v>
      </c>
      <c r="K13" s="8">
        <v>50.18226244870792</v>
      </c>
      <c r="L13" s="8">
        <v>50.16069353287645</v>
      </c>
      <c r="M13" s="8">
        <v>50.13908985514149</v>
      </c>
      <c r="N13" s="8">
        <v>50.11745222427672</v>
      </c>
      <c r="O13" s="8">
        <v>50.09578145154107</v>
      </c>
      <c r="P13" s="8">
        <v>50.07407835059519</v>
      </c>
      <c r="Q13" s="8">
        <v>50.05234373741739</v>
      </c>
      <c r="R13" s="8">
        <v>50.03057843021989</v>
      </c>
      <c r="S13" s="8">
        <v>50.00878324936524</v>
      </c>
      <c r="T13" s="8">
        <v>49.98695901728266</v>
      </c>
      <c r="U13" s="8">
        <v>49.96510655838442</v>
      </c>
      <c r="V13" s="8">
        <v>49.94322669898274</v>
      </c>
      <c r="W13" s="8">
        <v>49.92132026720643</v>
      </c>
      <c r="X13" s="8">
        <v>49.89938809291783</v>
      </c>
      <c r="Y13" s="8">
        <v>49.87743100762997</v>
      </c>
      <c r="Z13" s="8">
        <v>49.85544984442384</v>
      </c>
      <c r="AA13" s="8">
        <v>49.83344543786604</v>
      </c>
      <c r="AB13" s="8">
        <v>49.81141862392636</v>
      </c>
      <c r="AC13" s="8">
        <v>49.78937023989588</v>
      </c>
      <c r="AD13" s="8">
        <v>49.76730112430513</v>
      </c>
      <c r="AE13" s="8">
        <v>49.74521211684269</v>
      </c>
      <c r="AF13" s="8">
        <v>49.72310405827394</v>
      </c>
      <c r="AG13" s="8">
        <v>49.70097779036007</v>
      </c>
      <c r="AH13" s="8">
        <v>49.67883415577766</v>
      </c>
      <c r="AI13" s="8">
        <v>49.65667399803824</v>
      </c>
      <c r="AJ13" s="8">
        <v>49.63449816140845</v>
      </c>
      <c r="AK13" s="8">
        <v>49.61230749083048</v>
      </c>
      <c r="AL13" s="8">
        <v>49.59010283184286</v>
      </c>
      <c r="AM13" s="8">
        <v>49.56788503050156</v>
      </c>
      <c r="AN13" s="8">
        <v>49.54565493330168</v>
      </c>
      <c r="AO13" s="8">
        <v>49.5234133870995</v>
      </c>
      <c r="AP13" s="8">
        <v>49.50116123903465</v>
      </c>
      <c r="AQ13" s="8">
        <v>49.47889933645325</v>
      </c>
      <c r="AR13" s="8">
        <v>49.45662852683098</v>
      </c>
      <c r="AS13" s="8">
        <v>49.43434965769702</v>
      </c>
      <c r="AT13" s="8">
        <v>49.41206357655826</v>
      </c>
    </row>
    <row r="14" spans="1:46">
      <c r="A14" s="7">
        <v>34.1</v>
      </c>
      <c r="B14" s="8">
        <v>50.5078499889017</v>
      </c>
      <c r="C14" s="8">
        <v>50.48663495543163</v>
      </c>
      <c r="D14" s="8">
        <v>50.46537807674219</v>
      </c>
      <c r="E14" s="8">
        <v>50.44408013212913</v>
      </c>
      <c r="F14" s="8">
        <v>50.42274190410691</v>
      </c>
      <c r="G14" s="8">
        <v>50.40136417832581</v>
      </c>
      <c r="H14" s="8">
        <v>50.37994774348915</v>
      </c>
      <c r="I14" s="8">
        <v>50.35849339127002</v>
      </c>
      <c r="J14" s="8">
        <v>50.33700191622827</v>
      </c>
      <c r="K14" s="8">
        <v>50.31547411572732</v>
      </c>
      <c r="L14" s="8">
        <v>50.29391078985086</v>
      </c>
      <c r="M14" s="8">
        <v>50.27231274131972</v>
      </c>
      <c r="N14" s="8">
        <v>50.25068077540848</v>
      </c>
      <c r="O14" s="8">
        <v>50.22901569986239</v>
      </c>
      <c r="P14" s="8">
        <v>50.207318324814</v>
      </c>
      <c r="Q14" s="8">
        <v>50.18558946270014</v>
      </c>
      <c r="R14" s="8">
        <v>50.16382992817855</v>
      </c>
      <c r="S14" s="8">
        <v>50.14204053804532</v>
      </c>
      <c r="T14" s="8">
        <v>50.12022211115145</v>
      </c>
      <c r="U14" s="8">
        <v>50.09837546832031</v>
      </c>
      <c r="V14" s="8">
        <v>50.07650143226492</v>
      </c>
      <c r="W14" s="8">
        <v>50.0546008275053</v>
      </c>
      <c r="X14" s="8">
        <v>50.03267448028618</v>
      </c>
      <c r="Y14" s="8">
        <v>50.0107232184948</v>
      </c>
      <c r="Z14" s="8">
        <v>49.98874787157864</v>
      </c>
      <c r="AA14" s="8">
        <v>49.96674927046398</v>
      </c>
      <c r="AB14" s="8">
        <v>49.94472824747393</v>
      </c>
      <c r="AC14" s="8">
        <v>49.92268563624734</v>
      </c>
      <c r="AD14" s="8">
        <v>49.90062227165755</v>
      </c>
      <c r="AE14" s="8">
        <v>49.87853898973152</v>
      </c>
      <c r="AF14" s="8">
        <v>49.8564366275694</v>
      </c>
      <c r="AG14" s="8">
        <v>49.8343160232641</v>
      </c>
      <c r="AH14" s="8">
        <v>49.81217801582154</v>
      </c>
      <c r="AI14" s="8">
        <v>49.79002344508067</v>
      </c>
      <c r="AJ14" s="8">
        <v>49.76785315163457</v>
      </c>
      <c r="AK14" s="8">
        <v>49.74566797675122</v>
      </c>
      <c r="AL14" s="8">
        <v>49.72346876229518</v>
      </c>
      <c r="AM14" s="8">
        <v>49.70125635064907</v>
      </c>
      <c r="AN14" s="8">
        <v>49.67903158463604</v>
      </c>
      <c r="AO14" s="8">
        <v>49.65679530744224</v>
      </c>
      <c r="AP14" s="8">
        <v>49.63454836253997</v>
      </c>
      <c r="AQ14" s="8">
        <v>49.61229159361101</v>
      </c>
      <c r="AR14" s="8">
        <v>49.5900258444705</v>
      </c>
      <c r="AS14" s="8">
        <v>49.56775195899144</v>
      </c>
      <c r="AT14" s="8">
        <v>49.54547078102948</v>
      </c>
    </row>
    <row r="15" spans="1:46">
      <c r="A15" s="7">
        <v>34.2</v>
      </c>
      <c r="B15" s="8">
        <v>50.64064206370321</v>
      </c>
      <c r="C15" s="8">
        <v>50.61943220484576</v>
      </c>
      <c r="D15" s="8">
        <v>50.59818057111156</v>
      </c>
      <c r="E15" s="8">
        <v>50.57688793848096</v>
      </c>
      <c r="F15" s="8">
        <v>50.55555508613235</v>
      </c>
      <c r="G15" s="8">
        <v>50.53418279635991</v>
      </c>
      <c r="H15" s="8">
        <v>50.51277185449126</v>
      </c>
      <c r="I15" s="8">
        <v>50.49132304880506</v>
      </c>
      <c r="J15" s="8">
        <v>50.46983717044853</v>
      </c>
      <c r="K15" s="8">
        <v>50.44831501335506</v>
      </c>
      <c r="L15" s="8">
        <v>50.42675737416146</v>
      </c>
      <c r="M15" s="8">
        <v>50.40516505212538</v>
      </c>
      <c r="N15" s="8">
        <v>50.38353884904295</v>
      </c>
      <c r="O15" s="8">
        <v>50.36187956916578</v>
      </c>
      <c r="P15" s="8">
        <v>50.34018801911885</v>
      </c>
      <c r="Q15" s="8">
        <v>50.31846500781773</v>
      </c>
      <c r="R15" s="8">
        <v>50.29671134638618</v>
      </c>
      <c r="S15" s="8">
        <v>50.27492784807386</v>
      </c>
      <c r="T15" s="8">
        <v>50.25311532817389</v>
      </c>
      <c r="U15" s="8">
        <v>50.23127460394087</v>
      </c>
      <c r="V15" s="8">
        <v>50.20940649450873</v>
      </c>
      <c r="W15" s="8">
        <v>50.18751182080886</v>
      </c>
      <c r="X15" s="8">
        <v>50.16559140548839</v>
      </c>
      <c r="Y15" s="8">
        <v>50.14364607282857</v>
      </c>
      <c r="Z15" s="8">
        <v>50.1216766486634</v>
      </c>
      <c r="AA15" s="8">
        <v>50.09968396029856</v>
      </c>
      <c r="AB15" s="8">
        <v>50.07766883643029</v>
      </c>
      <c r="AC15" s="8">
        <v>50.05563210706483</v>
      </c>
      <c r="AD15" s="8">
        <v>50.03357460343778</v>
      </c>
      <c r="AE15" s="8">
        <v>50.01149715793404</v>
      </c>
      <c r="AF15" s="8">
        <v>49.98940060400792</v>
      </c>
      <c r="AG15" s="8">
        <v>49.96728577610322</v>
      </c>
      <c r="AH15" s="8">
        <v>49.9451535095743</v>
      </c>
      <c r="AI15" s="8">
        <v>49.9230046406067</v>
      </c>
      <c r="AJ15" s="8">
        <v>49.90084000613882</v>
      </c>
      <c r="AK15" s="8">
        <v>49.87866044378327</v>
      </c>
      <c r="AL15" s="8">
        <v>49.85646679174916</v>
      </c>
      <c r="AM15" s="8">
        <v>49.83425988876441</v>
      </c>
      <c r="AN15" s="8">
        <v>49.81204057399859</v>
      </c>
      <c r="AO15" s="8">
        <v>49.7898096869861</v>
      </c>
      <c r="AP15" s="8">
        <v>49.76756806754987</v>
      </c>
      <c r="AQ15" s="8">
        <v>49.74531655572532</v>
      </c>
      <c r="AR15" s="8">
        <v>49.72305599168495</v>
      </c>
      <c r="AS15" s="8">
        <v>49.70078721566325</v>
      </c>
      <c r="AT15" s="8">
        <v>49.67851106788208</v>
      </c>
    </row>
    <row r="16" spans="1:46">
      <c r="A16" s="7">
        <v>34.3</v>
      </c>
      <c r="B16" s="8">
        <v>50.77306368811153</v>
      </c>
      <c r="C16" s="8">
        <v>50.75185909659626</v>
      </c>
      <c r="D16" s="8">
        <v>50.73061280092834</v>
      </c>
      <c r="E16" s="8">
        <v>50.709325573793</v>
      </c>
      <c r="F16" s="8">
        <v>50.68799819105272</v>
      </c>
      <c r="G16" s="8">
        <v>50.66663143166562</v>
      </c>
      <c r="H16" s="8">
        <v>50.64522607760399</v>
      </c>
      <c r="I16" s="8">
        <v>50.62378291377219</v>
      </c>
      <c r="J16" s="8">
        <v>50.60230272792519</v>
      </c>
      <c r="K16" s="8">
        <v>50.58078631058654</v>
      </c>
      <c r="L16" s="8">
        <v>50.5592344549664</v>
      </c>
      <c r="M16" s="8">
        <v>50.53764795687958</v>
      </c>
      <c r="N16" s="8">
        <v>50.51602761466378</v>
      </c>
      <c r="O16" s="8">
        <v>50.49437422909751</v>
      </c>
      <c r="P16" s="8">
        <v>50.4726886033183</v>
      </c>
      <c r="Q16" s="8">
        <v>50.45097154274063</v>
      </c>
      <c r="R16" s="8">
        <v>50.42922385497439</v>
      </c>
      <c r="S16" s="8">
        <v>50.40744634974295</v>
      </c>
      <c r="T16" s="8">
        <v>50.38563983880178</v>
      </c>
      <c r="U16" s="8">
        <v>50.36380513585667</v>
      </c>
      <c r="V16" s="8">
        <v>50.34194305648246</v>
      </c>
      <c r="W16" s="8">
        <v>50.32005441804187</v>
      </c>
      <c r="X16" s="8">
        <v>50.29814003960433</v>
      </c>
      <c r="Y16" s="8">
        <v>50.27620074186491</v>
      </c>
      <c r="Z16" s="8">
        <v>50.25423734706389</v>
      </c>
      <c r="AA16" s="8">
        <v>50.23225067890606</v>
      </c>
      <c r="AB16" s="8">
        <v>50.21024156248039</v>
      </c>
      <c r="AC16" s="8">
        <v>50.18821082417999</v>
      </c>
      <c r="AD16" s="8">
        <v>50.16615929162228</v>
      </c>
      <c r="AE16" s="8">
        <v>50.14408779356937</v>
      </c>
      <c r="AF16" s="8">
        <v>50.12199715984889</v>
      </c>
      <c r="AG16" s="8">
        <v>50.09988822127485</v>
      </c>
      <c r="AH16" s="8">
        <v>50.07776180956901</v>
      </c>
      <c r="AI16" s="8">
        <v>50.05561875728245</v>
      </c>
      <c r="AJ16" s="8">
        <v>50.0334598977176</v>
      </c>
      <c r="AK16" s="8">
        <v>50.01128606485049</v>
      </c>
      <c r="AL16" s="8">
        <v>49.9890980932534</v>
      </c>
      <c r="AM16" s="8">
        <v>49.96689681801787</v>
      </c>
      <c r="AN16" s="8">
        <v>49.9446830746783</v>
      </c>
      <c r="AO16" s="8">
        <v>49.92245769913544</v>
      </c>
      <c r="AP16" s="8">
        <v>49.90022152758087</v>
      </c>
      <c r="AQ16" s="8">
        <v>49.87797539642163</v>
      </c>
      <c r="AR16" s="8">
        <v>49.85572014220519</v>
      </c>
      <c r="AS16" s="8">
        <v>49.83345660154505</v>
      </c>
      <c r="AT16" s="8">
        <v>49.81118561104694</v>
      </c>
    </row>
    <row r="17" spans="1:46">
      <c r="A17" s="7">
        <v>34.4</v>
      </c>
      <c r="B17" s="8">
        <v>50.90511603354812</v>
      </c>
      <c r="C17" s="8">
        <v>50.88391680226627</v>
      </c>
      <c r="D17" s="8">
        <v>50.86267593793876</v>
      </c>
      <c r="E17" s="8">
        <v>50.84139420997565</v>
      </c>
      <c r="F17" s="8">
        <v>50.82007239094356</v>
      </c>
      <c r="G17" s="8">
        <v>50.79871125648469</v>
      </c>
      <c r="H17" s="8">
        <v>50.77731158523589</v>
      </c>
      <c r="I17" s="8">
        <v>50.75587415874757</v>
      </c>
      <c r="J17" s="8">
        <v>50.73439976140243</v>
      </c>
      <c r="K17" s="8">
        <v>50.71288918033427</v>
      </c>
      <c r="L17" s="8">
        <v>50.69134320534675</v>
      </c>
      <c r="M17" s="8">
        <v>50.669762628832</v>
      </c>
      <c r="N17" s="8">
        <v>50.64814824568951</v>
      </c>
      <c r="O17" s="8">
        <v>50.62650085324464</v>
      </c>
      <c r="P17" s="8">
        <v>50.60482125116751</v>
      </c>
      <c r="Q17" s="8">
        <v>50.58311024139172</v>
      </c>
      <c r="R17" s="8">
        <v>50.56136862803324</v>
      </c>
      <c r="S17" s="8">
        <v>50.53959721730929</v>
      </c>
      <c r="T17" s="8">
        <v>50.51779681745754</v>
      </c>
      <c r="U17" s="8">
        <v>50.49596823865485</v>
      </c>
      <c r="V17" s="8">
        <v>50.47411229293704</v>
      </c>
      <c r="W17" s="8">
        <v>50.45222979411781</v>
      </c>
      <c r="X17" s="8">
        <v>50.43032155770861</v>
      </c>
      <c r="Y17" s="8">
        <v>50.40838840083833</v>
      </c>
      <c r="Z17" s="8">
        <v>50.38643114217294</v>
      </c>
      <c r="AA17" s="8">
        <v>50.36445060183599</v>
      </c>
      <c r="AB17" s="8">
        <v>50.34244760132857</v>
      </c>
      <c r="AC17" s="8">
        <v>50.32042296345021</v>
      </c>
      <c r="AD17" s="8">
        <v>50.29837751221937</v>
      </c>
      <c r="AE17" s="8">
        <v>50.27631207279462</v>
      </c>
      <c r="AF17" s="8">
        <v>50.25422747139616</v>
      </c>
      <c r="AG17" s="8">
        <v>50.23212453522709</v>
      </c>
      <c r="AH17" s="8">
        <v>50.21000409239559</v>
      </c>
      <c r="AI17" s="8">
        <v>50.18786697183711</v>
      </c>
      <c r="AJ17" s="8">
        <v>50.16571400323681</v>
      </c>
      <c r="AK17" s="8">
        <v>50.14354601695273</v>
      </c>
      <c r="AL17" s="8">
        <v>50.12136384393876</v>
      </c>
      <c r="AM17" s="8">
        <v>50.09916831566849</v>
      </c>
      <c r="AN17" s="8">
        <v>50.07696026405915</v>
      </c>
      <c r="AO17" s="8">
        <v>50.05474052139606</v>
      </c>
      <c r="AP17" s="8">
        <v>50.03250992025746</v>
      </c>
      <c r="AQ17" s="8">
        <v>50.01026929343963</v>
      </c>
      <c r="AR17" s="8">
        <v>49.98801947388269</v>
      </c>
      <c r="AS17" s="8">
        <v>49.96576129459682</v>
      </c>
      <c r="AT17" s="8">
        <v>49.94349558858855</v>
      </c>
    </row>
    <row r="18" spans="1:46">
      <c r="A18" s="7">
        <v>34.5</v>
      </c>
      <c r="B18" s="8">
        <v>51.03680027517562</v>
      </c>
      <c r="C18" s="8">
        <v>51.01560649718554</v>
      </c>
      <c r="D18" s="8">
        <v>50.99437115764105</v>
      </c>
      <c r="E18" s="8">
        <v>50.97309502269681</v>
      </c>
      <c r="F18" s="8">
        <v>50.9517788616435</v>
      </c>
      <c r="G18" s="8">
        <v>50.93042344682734</v>
      </c>
      <c r="H18" s="8">
        <v>50.90902955356976</v>
      </c>
      <c r="I18" s="8">
        <v>50.88759796008701</v>
      </c>
      <c r="J18" s="8">
        <v>50.86612944740959</v>
      </c>
      <c r="K18" s="8">
        <v>50.84462479930161</v>
      </c>
      <c r="L18" s="8">
        <v>50.82308480218015</v>
      </c>
      <c r="M18" s="8">
        <v>50.80151024503468</v>
      </c>
      <c r="N18" s="8">
        <v>50.77990191934642</v>
      </c>
      <c r="O18" s="8">
        <v>50.75826061900758</v>
      </c>
      <c r="P18" s="8">
        <v>50.73658714024088</v>
      </c>
      <c r="Q18" s="8">
        <v>50.71488228151892</v>
      </c>
      <c r="R18" s="8">
        <v>50.69314684348373</v>
      </c>
      <c r="S18" s="8">
        <v>50.67138162886622</v>
      </c>
      <c r="T18" s="8">
        <v>50.64958744240595</v>
      </c>
      <c r="U18" s="8">
        <v>50.62776509077094</v>
      </c>
      <c r="V18" s="8">
        <v>50.60591538247745</v>
      </c>
      <c r="W18" s="8">
        <v>50.58403912781012</v>
      </c>
      <c r="X18" s="8">
        <v>50.56213713874202</v>
      </c>
      <c r="Y18" s="8">
        <v>50.54021022885527</v>
      </c>
      <c r="Z18" s="8">
        <v>50.51825921326121</v>
      </c>
      <c r="AA18" s="8">
        <v>50.49628490852155</v>
      </c>
      <c r="AB18" s="8">
        <v>50.474288132569</v>
      </c>
      <c r="AC18" s="8">
        <v>50.45226970462854</v>
      </c>
      <c r="AD18" s="8">
        <v>50.43023044513912</v>
      </c>
      <c r="AE18" s="8">
        <v>50.40817117567488</v>
      </c>
      <c r="AF18" s="8">
        <v>50.38609271886745</v>
      </c>
      <c r="AG18" s="8">
        <v>50.36399589832811</v>
      </c>
      <c r="AH18" s="8">
        <v>50.34188153857021</v>
      </c>
      <c r="AI18" s="8">
        <v>50.31975046493223</v>
      </c>
      <c r="AJ18" s="8">
        <v>50.29760350350082</v>
      </c>
      <c r="AK18" s="8">
        <v>50.27544148103432</v>
      </c>
      <c r="AL18" s="8">
        <v>50.2532652248868</v>
      </c>
      <c r="AM18" s="8">
        <v>50.23107556293194</v>
      </c>
      <c r="AN18" s="8">
        <v>50.20887332348813</v>
      </c>
      <c r="AO18" s="8">
        <v>50.1866593352431</v>
      </c>
      <c r="AP18" s="8">
        <v>50.16443442717949</v>
      </c>
      <c r="AQ18" s="8">
        <v>50.14219942850067</v>
      </c>
      <c r="AR18" s="8">
        <v>50.11995516855697</v>
      </c>
      <c r="AS18" s="8">
        <v>50.09770247677242</v>
      </c>
      <c r="AT18" s="8">
        <v>50.07544218257188</v>
      </c>
    </row>
    <row r="19" spans="1:46">
      <c r="A19" s="7">
        <v>34.6</v>
      </c>
      <c r="B19" s="8">
        <v>51.16811759177475</v>
      </c>
      <c r="C19" s="8">
        <v>51.1469293603072</v>
      </c>
      <c r="D19" s="8">
        <v>51.12569963916201</v>
      </c>
      <c r="E19" s="8">
        <v>51.10442919125829</v>
      </c>
      <c r="F19" s="8">
        <v>51.08311878263034</v>
      </c>
      <c r="G19" s="8">
        <v>51.06176918234834</v>
      </c>
      <c r="H19" s="8">
        <v>51.04038116243807</v>
      </c>
      <c r="I19" s="8">
        <v>51.01895549780152</v>
      </c>
      <c r="J19" s="8">
        <v>50.99749296613671</v>
      </c>
      <c r="K19" s="8">
        <v>50.97599434785797</v>
      </c>
      <c r="L19" s="8">
        <v>50.95446042601572</v>
      </c>
      <c r="M19" s="8">
        <v>50.93289198621657</v>
      </c>
      <c r="N19" s="8">
        <v>50.9112898165433</v>
      </c>
      <c r="O19" s="8">
        <v>50.88965470747488</v>
      </c>
      <c r="P19" s="8">
        <v>50.86798745180644</v>
      </c>
      <c r="Q19" s="8">
        <v>50.84628884456937</v>
      </c>
      <c r="R19" s="8">
        <v>50.82455968295149</v>
      </c>
      <c r="S19" s="8">
        <v>50.80280076621717</v>
      </c>
      <c r="T19" s="8">
        <v>50.78101289562776</v>
      </c>
      <c r="U19" s="8">
        <v>50.75919687436188</v>
      </c>
      <c r="V19" s="8">
        <v>50.73735350743604</v>
      </c>
      <c r="W19" s="8">
        <v>50.71548360162522</v>
      </c>
      <c r="X19" s="8">
        <v>50.69358796538381</v>
      </c>
      <c r="Y19" s="8">
        <v>50.67166740876647</v>
      </c>
      <c r="Z19" s="8">
        <v>50.64972274334954</v>
      </c>
      <c r="AA19" s="8">
        <v>50.62775478215195</v>
      </c>
      <c r="AB19" s="8">
        <v>50.6057643395574</v>
      </c>
      <c r="AC19" s="8">
        <v>50.58375223123573</v>
      </c>
      <c r="AD19" s="8">
        <v>50.56171927406506</v>
      </c>
      <c r="AE19" s="8">
        <v>50.53966628605435</v>
      </c>
      <c r="AF19" s="8">
        <v>50.5175940862656</v>
      </c>
      <c r="AG19" s="8">
        <v>50.49550349473693</v>
      </c>
      <c r="AH19" s="8">
        <v>50.47339533240575</v>
      </c>
      <c r="AI19" s="8">
        <v>50.45127042103209</v>
      </c>
      <c r="AJ19" s="8">
        <v>50.42912958312257</v>
      </c>
      <c r="AK19" s="8">
        <v>50.40697364185434</v>
      </c>
      <c r="AL19" s="8">
        <v>50.38480342099965</v>
      </c>
      <c r="AM19" s="8">
        <v>50.36261974485072</v>
      </c>
      <c r="AN19" s="8">
        <v>50.34042343814487</v>
      </c>
      <c r="AO19" s="8">
        <v>50.3182153259902</v>
      </c>
      <c r="AP19" s="8">
        <v>50.29599623379156</v>
      </c>
      <c r="AQ19" s="8">
        <v>50.27376698717688</v>
      </c>
      <c r="AR19" s="8">
        <v>50.25152841192418</v>
      </c>
      <c r="AS19" s="8">
        <v>50.22928133388871</v>
      </c>
      <c r="AT19" s="8">
        <v>50.20702657893073</v>
      </c>
    </row>
    <row r="20" spans="1:46">
      <c r="A20" s="7">
        <v>34.7</v>
      </c>
      <c r="B20" s="8">
        <v>51.29906916562247</v>
      </c>
      <c r="C20" s="8">
        <v>51.27788657408562</v>
      </c>
      <c r="D20" s="8">
        <v>51.25666256513483</v>
      </c>
      <c r="E20" s="8">
        <v>51.23539789847324</v>
      </c>
      <c r="F20" s="8">
        <v>51.21409333689854</v>
      </c>
      <c r="G20" s="8">
        <v>51.19274964622426</v>
      </c>
      <c r="H20" s="8">
        <v>51.17136759520035</v>
      </c>
      <c r="I20" s="8">
        <v>51.14994795543421</v>
      </c>
      <c r="J20" s="8">
        <v>51.1284915013112</v>
      </c>
      <c r="K20" s="8">
        <v>51.10699900991545</v>
      </c>
      <c r="L20" s="8">
        <v>51.08547126095049</v>
      </c>
      <c r="M20" s="8">
        <v>51.06390903665976</v>
      </c>
      <c r="N20" s="8">
        <v>51.04231312174745</v>
      </c>
      <c r="O20" s="8">
        <v>51.02068430329886</v>
      </c>
      <c r="P20" s="8">
        <v>50.99902337070128</v>
      </c>
      <c r="Q20" s="8">
        <v>50.97733111556457</v>
      </c>
      <c r="R20" s="8">
        <v>50.95560833164205</v>
      </c>
      <c r="S20" s="8">
        <v>50.93385581475113</v>
      </c>
      <c r="T20" s="8">
        <v>50.9120743626945</v>
      </c>
      <c r="U20" s="8">
        <v>50.89026477518099</v>
      </c>
      <c r="V20" s="8">
        <v>50.86842785374679</v>
      </c>
      <c r="W20" s="8">
        <v>50.84656440167682</v>
      </c>
      <c r="X20" s="8">
        <v>50.82467522392603</v>
      </c>
      <c r="Y20" s="8">
        <v>50.80276112704119</v>
      </c>
      <c r="Z20" s="8">
        <v>50.7808229190825</v>
      </c>
      <c r="AA20" s="8">
        <v>50.75886140954585</v>
      </c>
      <c r="AB20" s="8">
        <v>50.73687740928477</v>
      </c>
      <c r="AC20" s="8">
        <v>50.71487173043295</v>
      </c>
      <c r="AD20" s="8">
        <v>50.69284518632698</v>
      </c>
      <c r="AE20" s="8">
        <v>50.67079859142923</v>
      </c>
      <c r="AF20" s="8">
        <v>50.64873276125099</v>
      </c>
      <c r="AG20" s="8">
        <v>50.62664851227597</v>
      </c>
      <c r="AH20" s="8">
        <v>50.6045466618842</v>
      </c>
      <c r="AI20" s="8">
        <v>50.58242802827574</v>
      </c>
      <c r="AJ20" s="8">
        <v>50.56029343039558</v>
      </c>
      <c r="AK20" s="8">
        <v>50.53814368785797</v>
      </c>
      <c r="AL20" s="8">
        <v>50.51597962087159</v>
      </c>
      <c r="AM20" s="8">
        <v>50.49380205016504</v>
      </c>
      <c r="AN20" s="8">
        <v>50.47161179691262</v>
      </c>
      <c r="AO20" s="8">
        <v>50.44940968266056</v>
      </c>
      <c r="AP20" s="8">
        <v>50.42719652925348</v>
      </c>
      <c r="AQ20" s="8">
        <v>50.40497315876149</v>
      </c>
      <c r="AR20" s="8">
        <v>50.38274039340758</v>
      </c>
      <c r="AS20" s="8">
        <v>50.36049905549545</v>
      </c>
      <c r="AT20" s="8">
        <v>50.33824996733777</v>
      </c>
    </row>
    <row r="21" spans="1:46">
      <c r="A21" s="7">
        <v>34.8</v>
      </c>
      <c r="B21" s="8">
        <v>51.42965618237175</v>
      </c>
      <c r="C21" s="8">
        <v>51.40847932435606</v>
      </c>
      <c r="D21" s="8">
        <v>51.38726112157852</v>
      </c>
      <c r="E21" s="8">
        <v>51.36600233054565</v>
      </c>
      <c r="F21" s="8">
        <v>51.34470371083808</v>
      </c>
      <c r="G21" s="8">
        <v>51.32336602503227</v>
      </c>
      <c r="H21" s="8">
        <v>51.3019900386218</v>
      </c>
      <c r="I21" s="8">
        <v>51.28057651993897</v>
      </c>
      <c r="J21" s="8">
        <v>51.25912624007614</v>
      </c>
      <c r="K21" s="8">
        <v>51.23763997280683</v>
      </c>
      <c r="L21" s="8">
        <v>51.21611849450725</v>
      </c>
      <c r="M21" s="8">
        <v>51.19456258407733</v>
      </c>
      <c r="N21" s="8">
        <v>51.17297302286215</v>
      </c>
      <c r="O21" s="8">
        <v>51.15135059457301</v>
      </c>
      <c r="P21" s="8">
        <v>51.1296960852089</v>
      </c>
      <c r="Q21" s="8">
        <v>51.10801028297774</v>
      </c>
      <c r="R21" s="8">
        <v>51.08629397821774</v>
      </c>
      <c r="S21" s="8">
        <v>51.06454796331901</v>
      </c>
      <c r="T21" s="8">
        <v>51.04277303264494</v>
      </c>
      <c r="U21" s="8">
        <v>51.02096998245404</v>
      </c>
      <c r="V21" s="8">
        <v>50.99913961082159</v>
      </c>
      <c r="W21" s="8">
        <v>50.97728271756169</v>
      </c>
      <c r="X21" s="8">
        <v>50.95540010414923</v>
      </c>
      <c r="Y21" s="8">
        <v>50.93349257364217</v>
      </c>
      <c r="Z21" s="8">
        <v>50.91156093060407</v>
      </c>
      <c r="AA21" s="8">
        <v>50.88960598102647</v>
      </c>
      <c r="AB21" s="8">
        <v>50.86762853225191</v>
      </c>
      <c r="AC21" s="8">
        <v>50.845629392897</v>
      </c>
      <c r="AD21" s="8">
        <v>50.82360937277548</v>
      </c>
      <c r="AE21" s="8">
        <v>50.80156928282204</v>
      </c>
      <c r="AF21" s="8">
        <v>50.77950993501589</v>
      </c>
      <c r="AG21" s="8">
        <v>50.75743214230501</v>
      </c>
      <c r="AH21" s="8">
        <v>50.73533671853033</v>
      </c>
      <c r="AI21" s="8">
        <v>50.71322447835061</v>
      </c>
      <c r="AJ21" s="8">
        <v>50.69109623716739</v>
      </c>
      <c r="AK21" s="8">
        <v>50.66895281105005</v>
      </c>
      <c r="AL21" s="8">
        <v>50.6467950166619</v>
      </c>
      <c r="AM21" s="8">
        <v>50.62462367118586</v>
      </c>
      <c r="AN21" s="8">
        <v>50.602439592251</v>
      </c>
      <c r="AO21" s="8">
        <v>50.58024359785927</v>
      </c>
      <c r="AP21" s="8">
        <v>50.55803650631275</v>
      </c>
      <c r="AQ21" s="8">
        <v>50.53581913614098</v>
      </c>
      <c r="AR21" s="8">
        <v>50.51359230602928</v>
      </c>
      <c r="AS21" s="8">
        <v>50.49135683474685</v>
      </c>
      <c r="AT21" s="8">
        <v>50.46911354107583</v>
      </c>
    </row>
    <row r="22" spans="1:46">
      <c r="A22" s="7">
        <v>34.9</v>
      </c>
      <c r="B22" s="8">
        <v>51.55987983093266</v>
      </c>
      <c r="C22" s="8">
        <v>51.53870880021563</v>
      </c>
      <c r="D22" s="8">
        <v>51.51749649777863</v>
      </c>
      <c r="E22" s="8">
        <v>51.49624367695083</v>
      </c>
      <c r="F22" s="8">
        <v>51.47495109411516</v>
      </c>
      <c r="G22" s="8">
        <v>51.4536195086304</v>
      </c>
      <c r="H22" s="8">
        <v>51.43224968275314</v>
      </c>
      <c r="I22" s="8">
        <v>51.41084238156015</v>
      </c>
      <c r="J22" s="8">
        <v>51.38939837286998</v>
      </c>
      <c r="K22" s="8">
        <v>51.36791842716521</v>
      </c>
      <c r="L22" s="8">
        <v>51.34640331751403</v>
      </c>
      <c r="M22" s="8">
        <v>51.32485381949243</v>
      </c>
      <c r="N22" s="8">
        <v>51.30327071110574</v>
      </c>
      <c r="O22" s="8">
        <v>51.28165477271084</v>
      </c>
      <c r="P22" s="8">
        <v>51.26000678693779</v>
      </c>
      <c r="Q22" s="8">
        <v>51.23832753861195</v>
      </c>
      <c r="R22" s="8">
        <v>51.21661781467591</v>
      </c>
      <c r="S22" s="8">
        <v>51.19487840411171</v>
      </c>
      <c r="T22" s="8">
        <v>51.17311009786295</v>
      </c>
      <c r="U22" s="8">
        <v>51.15131368875701</v>
      </c>
      <c r="V22" s="8">
        <v>51.12948997142752</v>
      </c>
      <c r="W22" s="8">
        <v>51.10763974223703</v>
      </c>
      <c r="X22" s="8">
        <v>51.08576379919948</v>
      </c>
      <c r="Y22" s="8">
        <v>51.06386294190321</v>
      </c>
      <c r="Z22" s="8">
        <v>51.04193797143394</v>
      </c>
      <c r="AA22" s="8">
        <v>51.01998969029809</v>
      </c>
      <c r="AB22" s="8">
        <v>50.99801890234614</v>
      </c>
      <c r="AC22" s="8">
        <v>50.97602641269621</v>
      </c>
      <c r="AD22" s="8">
        <v>50.95401302765812</v>
      </c>
      <c r="AE22" s="8">
        <v>50.93197955465752</v>
      </c>
      <c r="AF22" s="8">
        <v>50.90992680216009</v>
      </c>
      <c r="AG22" s="8">
        <v>50.88785557959652</v>
      </c>
      <c r="AH22" s="8">
        <v>50.86576669728718</v>
      </c>
      <c r="AI22" s="8">
        <v>50.84366096636767</v>
      </c>
      <c r="AJ22" s="8">
        <v>50.82153919871421</v>
      </c>
      <c r="AK22" s="8">
        <v>50.79940220686959</v>
      </c>
      <c r="AL22" s="8">
        <v>50.77725080396956</v>
      </c>
      <c r="AM22" s="8">
        <v>50.75508580366917</v>
      </c>
      <c r="AN22" s="8">
        <v>50.73290802006999</v>
      </c>
      <c r="AO22" s="8">
        <v>50.71071826764736</v>
      </c>
      <c r="AP22" s="8">
        <v>50.68851736117809</v>
      </c>
      <c r="AQ22" s="8">
        <v>50.66630611566868</v>
      </c>
      <c r="AR22" s="8">
        <v>50.64408534628375</v>
      </c>
      <c r="AS22" s="8">
        <v>50.62185586827516</v>
      </c>
      <c r="AT22" s="8">
        <v>50.59961849691129</v>
      </c>
    </row>
    <row r="23" spans="1:46">
      <c r="A23" s="7">
        <v>35</v>
      </c>
      <c r="B23" s="8">
        <v>51.68974130335466</v>
      </c>
      <c r="C23" s="8">
        <v>51.66857619390539</v>
      </c>
      <c r="D23" s="8">
        <v>51.64736988616914</v>
      </c>
      <c r="E23" s="8">
        <v>51.62612313031715</v>
      </c>
      <c r="F23" s="8">
        <v>51.60483667955367</v>
      </c>
      <c r="G23" s="8">
        <v>51.58351129003907</v>
      </c>
      <c r="H23" s="8">
        <v>51.56214772081226</v>
      </c>
      <c r="I23" s="8">
        <v>51.54074673371369</v>
      </c>
      <c r="J23" s="8">
        <v>51.51930909330756</v>
      </c>
      <c r="K23" s="8">
        <v>51.49783556680462</v>
      </c>
      <c r="L23" s="8">
        <v>51.47632692398463</v>
      </c>
      <c r="M23" s="8">
        <v>51.4547839371187</v>
      </c>
      <c r="N23" s="8">
        <v>51.43320738089197</v>
      </c>
      <c r="O23" s="8">
        <v>51.41159803232601</v>
      </c>
      <c r="P23" s="8">
        <v>51.38995667070132</v>
      </c>
      <c r="Q23" s="8">
        <v>51.36828407748006</v>
      </c>
      <c r="R23" s="8">
        <v>51.34658103622849</v>
      </c>
      <c r="S23" s="8">
        <v>51.32484833253972</v>
      </c>
      <c r="T23" s="8">
        <v>51.3030867539568</v>
      </c>
      <c r="U23" s="8">
        <v>51.28129708989515</v>
      </c>
      <c r="V23" s="8">
        <v>51.25948013156596</v>
      </c>
      <c r="W23" s="8">
        <v>51.23763667189919</v>
      </c>
      <c r="X23" s="8">
        <v>51.21576750546697</v>
      </c>
      <c r="Y23" s="8">
        <v>51.19387342840695</v>
      </c>
      <c r="Z23" s="8">
        <v>51.17195523834602</v>
      </c>
      <c r="AA23" s="8">
        <v>51.15001373432427</v>
      </c>
      <c r="AB23" s="8">
        <v>51.12804971671878</v>
      </c>
      <c r="AC23" s="8">
        <v>51.10606398716811</v>
      </c>
      <c r="AD23" s="8">
        <v>51.08405734849671</v>
      </c>
      <c r="AE23" s="8">
        <v>51.06203060463962</v>
      </c>
      <c r="AF23" s="8">
        <v>51.03998456056772</v>
      </c>
      <c r="AG23" s="8">
        <v>51.01792002221255</v>
      </c>
      <c r="AH23" s="8">
        <v>50.99583779639234</v>
      </c>
      <c r="AI23" s="8">
        <v>50.9737386907376</v>
      </c>
      <c r="AJ23" s="8">
        <v>50.95162351361744</v>
      </c>
      <c r="AK23" s="8">
        <v>50.92949307406591</v>
      </c>
      <c r="AL23" s="8">
        <v>50.90734818170895</v>
      </c>
      <c r="AM23" s="8">
        <v>50.88518964669169</v>
      </c>
      <c r="AN23" s="8">
        <v>50.86301827960568</v>
      </c>
      <c r="AO23" s="8">
        <v>50.84083489141711</v>
      </c>
      <c r="AP23" s="8">
        <v>50.81864029339497</v>
      </c>
      <c r="AQ23" s="8">
        <v>50.79643529703975</v>
      </c>
      <c r="AR23" s="8">
        <v>50.77422071401263</v>
      </c>
      <c r="AS23" s="8">
        <v>50.75199735606495</v>
      </c>
      <c r="AT23" s="8">
        <v>50.72976603496818</v>
      </c>
    </row>
    <row r="24" spans="1:46">
      <c r="A24" s="7">
        <v>35.1</v>
      </c>
      <c r="B24" s="8">
        <v>51.8192417947109</v>
      </c>
      <c r="C24" s="8">
        <v>51.79808270069436</v>
      </c>
      <c r="D24" s="8">
        <v>51.77688248221667</v>
      </c>
      <c r="E24" s="8">
        <v>51.75564188630983</v>
      </c>
      <c r="F24" s="8">
        <v>51.73436166301877</v>
      </c>
      <c r="G24" s="8">
        <v>51.71304256532441</v>
      </c>
      <c r="H24" s="8">
        <v>51.69168534906722</v>
      </c>
      <c r="I24" s="8">
        <v>51.67029077287035</v>
      </c>
      <c r="J24" s="8">
        <v>51.64885959806288</v>
      </c>
      <c r="K24" s="8">
        <v>51.62739258860302</v>
      </c>
      <c r="L24" s="8">
        <v>51.60589051100106</v>
      </c>
      <c r="M24" s="8">
        <v>51.58435413424267</v>
      </c>
      <c r="N24" s="8">
        <v>51.56278422971182</v>
      </c>
      <c r="O24" s="8">
        <v>51.54118157111408</v>
      </c>
      <c r="P24" s="8">
        <v>51.51954693439954</v>
      </c>
      <c r="Q24" s="8">
        <v>51.49788109768624</v>
      </c>
      <c r="R24" s="8">
        <v>51.47618484118327</v>
      </c>
      <c r="S24" s="8">
        <v>51.45445894711408</v>
      </c>
      <c r="T24" s="8">
        <v>51.43270419964004</v>
      </c>
      <c r="U24" s="8">
        <v>51.41092138478377</v>
      </c>
      <c r="V24" s="8">
        <v>51.38911129035303</v>
      </c>
      <c r="W24" s="8">
        <v>51.36727470586415</v>
      </c>
      <c r="X24" s="8">
        <v>51.34541242246627</v>
      </c>
      <c r="Y24" s="8">
        <v>51.32352523286533</v>
      </c>
      <c r="Z24" s="8">
        <v>51.30161393124813</v>
      </c>
      <c r="AA24" s="8">
        <v>51.27967931320717</v>
      </c>
      <c r="AB24" s="8">
        <v>51.2577221756649</v>
      </c>
      <c r="AC24" s="8">
        <v>51.23574331679876</v>
      </c>
      <c r="AD24" s="8">
        <v>51.21374353596644</v>
      </c>
      <c r="AE24" s="8">
        <v>51.19172363363091</v>
      </c>
      <c r="AF24" s="8">
        <v>51.16968441128629</v>
      </c>
      <c r="AG24" s="8">
        <v>51.14762667138359</v>
      </c>
      <c r="AH24" s="8">
        <v>51.12555121725681</v>
      </c>
      <c r="AI24" s="8">
        <v>51.10345885304956</v>
      </c>
      <c r="AJ24" s="8">
        <v>51.08135038364172</v>
      </c>
      <c r="AK24" s="8">
        <v>51.05922661457648</v>
      </c>
      <c r="AL24" s="8">
        <v>51.03708835198789</v>
      </c>
      <c r="AM24" s="8">
        <v>51.01493640252846</v>
      </c>
      <c r="AN24" s="8">
        <v>50.99277157329745</v>
      </c>
      <c r="AO24" s="8">
        <v>50.97059467176926</v>
      </c>
      <c r="AP24" s="8">
        <v>50.94840650572221</v>
      </c>
      <c r="AQ24" s="8">
        <v>50.92620788316803</v>
      </c>
      <c r="AR24" s="8">
        <v>50.90399961228134</v>
      </c>
      <c r="AS24" s="8">
        <v>50.88178250132979</v>
      </c>
      <c r="AT24" s="8">
        <v>50.85955735860463</v>
      </c>
    </row>
    <row r="25" spans="1:46">
      <c r="A25" s="7">
        <v>35.2</v>
      </c>
      <c r="B25" s="8">
        <v>51.94838250298308</v>
      </c>
      <c r="C25" s="8">
        <v>51.92722951876447</v>
      </c>
      <c r="D25" s="8">
        <v>51.9060354843046</v>
      </c>
      <c r="E25" s="8">
        <v>51.88480114351539</v>
      </c>
      <c r="F25" s="8">
        <v>51.86352724330109</v>
      </c>
      <c r="G25" s="8">
        <v>51.84221453348238</v>
      </c>
      <c r="H25" s="8">
        <v>51.82086376672009</v>
      </c>
      <c r="I25" s="8">
        <v>51.79947569843924</v>
      </c>
      <c r="J25" s="8">
        <v>51.77805108675276</v>
      </c>
      <c r="K25" s="8">
        <v>51.75659069238532</v>
      </c>
      <c r="L25" s="8">
        <v>51.73509527859694</v>
      </c>
      <c r="M25" s="8">
        <v>51.71356561110674</v>
      </c>
      <c r="N25" s="8">
        <v>51.69200245801679</v>
      </c>
      <c r="O25" s="8">
        <v>51.67040658973549</v>
      </c>
      <c r="P25" s="8">
        <v>51.64877877890172</v>
      </c>
      <c r="Q25" s="8">
        <v>51.62711980030841</v>
      </c>
      <c r="R25" s="8">
        <v>51.6054304308264</v>
      </c>
      <c r="S25" s="8">
        <v>51.58371144932856</v>
      </c>
      <c r="T25" s="8">
        <v>51.56196363661353</v>
      </c>
      <c r="U25" s="8">
        <v>51.54018777533006</v>
      </c>
      <c r="V25" s="8">
        <v>51.51838464990122</v>
      </c>
      <c r="W25" s="8">
        <v>51.49655504644873</v>
      </c>
      <c r="X25" s="8">
        <v>51.47469975271758</v>
      </c>
      <c r="Y25" s="8">
        <v>51.45281955800046</v>
      </c>
      <c r="Z25" s="8">
        <v>51.43091525306306</v>
      </c>
      <c r="AA25" s="8">
        <v>51.40898763006867</v>
      </c>
      <c r="AB25" s="8">
        <v>51.38703748250379</v>
      </c>
      <c r="AC25" s="8">
        <v>51.36506560510321</v>
      </c>
      <c r="AD25" s="8">
        <v>51.34307279377624</v>
      </c>
      <c r="AE25" s="8">
        <v>51.32105984553215</v>
      </c>
      <c r="AF25" s="8">
        <v>51.2990275584065</v>
      </c>
      <c r="AG25" s="8">
        <v>51.27697673138784</v>
      </c>
      <c r="AH25" s="8">
        <v>51.25490816434411</v>
      </c>
      <c r="AI25" s="8">
        <v>51.23282265794999</v>
      </c>
      <c r="AJ25" s="8">
        <v>51.2107210136139</v>
      </c>
      <c r="AK25" s="8">
        <v>51.18860403340599</v>
      </c>
      <c r="AL25" s="8">
        <v>51.16647251998601</v>
      </c>
      <c r="AM25" s="8">
        <v>51.14432727653143</v>
      </c>
      <c r="AN25" s="8">
        <v>51.12216910666656</v>
      </c>
      <c r="AO25" s="8">
        <v>51.09999881439124</v>
      </c>
      <c r="AP25" s="8">
        <v>51.07781720401041</v>
      </c>
      <c r="AQ25" s="8">
        <v>51.0556250800639</v>
      </c>
      <c r="AR25" s="8">
        <v>51.03342324725674</v>
      </c>
      <c r="AS25" s="8">
        <v>51.01121251038964</v>
      </c>
      <c r="AT25" s="8">
        <v>50.98899367429026</v>
      </c>
    </row>
    <row r="26" spans="1:46">
      <c r="A26" s="7">
        <v>35.3</v>
      </c>
      <c r="B26" s="8">
        <v>52.07716462894831</v>
      </c>
      <c r="C26" s="8">
        <v>52.05601784909705</v>
      </c>
      <c r="D26" s="8">
        <v>52.03483009362004</v>
      </c>
      <c r="E26" s="8">
        <v>52.01360210332795</v>
      </c>
      <c r="F26" s="8">
        <v>51.99233462200315</v>
      </c>
      <c r="G26" s="8">
        <v>51.97102839632482</v>
      </c>
      <c r="H26" s="8">
        <v>51.94968417579307</v>
      </c>
      <c r="I26" s="8">
        <v>51.9283027126537</v>
      </c>
      <c r="J26" s="8">
        <v>51.90688476182242</v>
      </c>
      <c r="K26" s="8">
        <v>51.88543108080918</v>
      </c>
      <c r="L26" s="8">
        <v>51.86394242964268</v>
      </c>
      <c r="M26" s="8">
        <v>51.84241957079452</v>
      </c>
      <c r="N26" s="8">
        <v>51.82086326910354</v>
      </c>
      <c r="O26" s="8">
        <v>51.79927429170024</v>
      </c>
      <c r="P26" s="8">
        <v>51.77765340793101</v>
      </c>
      <c r="Q26" s="8">
        <v>51.75600138928257</v>
      </c>
      <c r="R26" s="8">
        <v>51.7343190093065</v>
      </c>
      <c r="S26" s="8">
        <v>51.71260704354378</v>
      </c>
      <c r="T26" s="8">
        <v>51.69086626944927</v>
      </c>
      <c r="U26" s="8">
        <v>51.66909746631667</v>
      </c>
      <c r="V26" s="8">
        <v>51.64730141520307</v>
      </c>
      <c r="W26" s="8">
        <v>51.62547889885433</v>
      </c>
      <c r="X26" s="8">
        <v>51.60363070162974</v>
      </c>
      <c r="Y26" s="8">
        <v>51.58175760942778</v>
      </c>
      <c r="Z26" s="8">
        <v>51.55986040961118</v>
      </c>
      <c r="AA26" s="8">
        <v>51.53793989093279</v>
      </c>
      <c r="AB26" s="8">
        <v>51.5159968434614</v>
      </c>
      <c r="AC26" s="8">
        <v>51.49403205850778</v>
      </c>
      <c r="AD26" s="8">
        <v>51.47204632855084</v>
      </c>
      <c r="AE26" s="8">
        <v>51.4500404471644</v>
      </c>
      <c r="AF26" s="8">
        <v>51.42801520894384</v>
      </c>
      <c r="AG26" s="8">
        <v>51.40597140943311</v>
      </c>
      <c r="AH26" s="8">
        <v>51.38390984505208</v>
      </c>
      <c r="AI26" s="8">
        <v>51.36183131302416</v>
      </c>
      <c r="AJ26" s="8">
        <v>51.33973661130436</v>
      </c>
      <c r="AK26" s="8">
        <v>51.31762653850728</v>
      </c>
      <c r="AL26" s="8">
        <v>51.2955018938358</v>
      </c>
      <c r="AM26" s="8">
        <v>51.27336347700995</v>
      </c>
      <c r="AN26" s="8">
        <v>51.25121208819629</v>
      </c>
      <c r="AO26" s="8">
        <v>51.22904852793732</v>
      </c>
      <c r="AP26" s="8">
        <v>51.20687359708157</v>
      </c>
      <c r="AQ26" s="8">
        <v>51.18468809671408</v>
      </c>
      <c r="AR26" s="8">
        <v>51.16249282808685</v>
      </c>
      <c r="AS26" s="8">
        <v>51.14028859255047</v>
      </c>
      <c r="AT26" s="8">
        <v>51.11807619148532</v>
      </c>
    </row>
    <row r="27" spans="1:46">
      <c r="A27" s="7">
        <v>35.4</v>
      </c>
      <c r="B27" s="8">
        <v>52.20558937606722</v>
      </c>
      <c r="C27" s="8">
        <v>52.18444889536083</v>
      </c>
      <c r="D27" s="8">
        <v>52.16326751404144</v>
      </c>
      <c r="E27" s="8">
        <v>52.14204596983691</v>
      </c>
      <c r="F27" s="8">
        <v>52.12078500342657</v>
      </c>
      <c r="G27" s="8">
        <v>52.09948535836672</v>
      </c>
      <c r="H27" s="8">
        <v>52.07814778101555</v>
      </c>
      <c r="I27" s="8">
        <v>52.05677302045827</v>
      </c>
      <c r="J27" s="8">
        <v>52.0353618284321</v>
      </c>
      <c r="K27" s="8">
        <v>52.01391495925132</v>
      </c>
      <c r="L27" s="8">
        <v>51.99243316973185</v>
      </c>
      <c r="M27" s="8">
        <v>51.97091721911664</v>
      </c>
      <c r="N27" s="8">
        <v>51.94936786900019</v>
      </c>
      <c r="O27" s="8">
        <v>51.92778588325376</v>
      </c>
      <c r="P27" s="8">
        <v>51.90617202795005</v>
      </c>
      <c r="Q27" s="8">
        <v>51.88452707128849</v>
      </c>
      <c r="R27" s="8">
        <v>51.86285178351999</v>
      </c>
      <c r="S27" s="8">
        <v>51.84114693687241</v>
      </c>
      <c r="T27" s="8">
        <v>51.81941330547561</v>
      </c>
      <c r="U27" s="8">
        <v>51.79765166528674</v>
      </c>
      <c r="V27" s="8">
        <v>51.77586279401575</v>
      </c>
      <c r="W27" s="8">
        <v>51.75404747105104</v>
      </c>
      <c r="X27" s="8">
        <v>51.73220647738501</v>
      </c>
      <c r="Y27" s="8">
        <v>51.71034059554007</v>
      </c>
      <c r="Z27" s="8">
        <v>51.68845060949469</v>
      </c>
      <c r="AA27" s="8">
        <v>51.66653730460962</v>
      </c>
      <c r="AB27" s="8">
        <v>51.64460146755423</v>
      </c>
      <c r="AC27" s="8">
        <v>51.62264388623333</v>
      </c>
      <c r="AD27" s="8">
        <v>51.60066534971399</v>
      </c>
      <c r="AE27" s="8">
        <v>51.57866664815243</v>
      </c>
      <c r="AF27" s="8">
        <v>51.55664857272182</v>
      </c>
      <c r="AG27" s="8">
        <v>51.53461191553952</v>
      </c>
      <c r="AH27" s="8">
        <v>51.51255746959508</v>
      </c>
      <c r="AI27" s="8">
        <v>51.49048602867862</v>
      </c>
      <c r="AJ27" s="8">
        <v>51.46839838730911</v>
      </c>
      <c r="AK27" s="8">
        <v>51.44629534066321</v>
      </c>
      <c r="AL27" s="8">
        <v>51.42417768450439</v>
      </c>
      <c r="AM27" s="8">
        <v>51.40204621511257</v>
      </c>
      <c r="AN27" s="8">
        <v>51.37990172921373</v>
      </c>
      <c r="AO27" s="8">
        <v>51.35774502391008</v>
      </c>
      <c r="AP27" s="8">
        <v>51.3355768966108</v>
      </c>
      <c r="AQ27" s="8">
        <v>51.31339814496269</v>
      </c>
      <c r="AR27" s="8">
        <v>51.29120956678177</v>
      </c>
      <c r="AS27" s="8">
        <v>51.26901195998477</v>
      </c>
      <c r="AT27" s="8">
        <v>51.24680612252142</v>
      </c>
    </row>
    <row r="28" spans="1:46">
      <c r="A28" s="7">
        <v>35.5</v>
      </c>
      <c r="B28" s="8">
        <v>52.33365795037312</v>
      </c>
      <c r="C28" s="8">
        <v>52.31252386380098</v>
      </c>
      <c r="D28" s="8">
        <v>52.29134895202732</v>
      </c>
      <c r="E28" s="8">
        <v>52.27013394971561</v>
      </c>
      <c r="F28" s="8">
        <v>52.24887959446073</v>
      </c>
      <c r="G28" s="8">
        <v>52.22758662671464</v>
      </c>
      <c r="H28" s="8">
        <v>52.20625578971216</v>
      </c>
      <c r="I28" s="8">
        <v>52.18488782939662</v>
      </c>
      <c r="J28" s="8">
        <v>52.16348349434536</v>
      </c>
      <c r="K28" s="8">
        <v>52.14204353569544</v>
      </c>
      <c r="L28" s="8">
        <v>52.12056870706895</v>
      </c>
      <c r="M28" s="8">
        <v>52.09905976449867</v>
      </c>
      <c r="N28" s="8">
        <v>52.07751746635356</v>
      </c>
      <c r="O28" s="8">
        <v>52.05594257326413</v>
      </c>
      <c r="P28" s="8">
        <v>52.03433584804822</v>
      </c>
      <c r="Q28" s="8">
        <v>52.01269805563641</v>
      </c>
      <c r="R28" s="8">
        <v>51.99102996299783</v>
      </c>
      <c r="S28" s="8">
        <v>51.96933233906568</v>
      </c>
      <c r="T28" s="8">
        <v>51.94760595466335</v>
      </c>
      <c r="U28" s="8">
        <v>51.92585158243007</v>
      </c>
      <c r="V28" s="8">
        <v>51.90406999674709</v>
      </c>
      <c r="W28" s="8">
        <v>51.88226197366384</v>
      </c>
      <c r="X28" s="8">
        <v>51.86042829082428</v>
      </c>
      <c r="Y28" s="8">
        <v>51.83856972739314</v>
      </c>
      <c r="Z28" s="8">
        <v>51.8166870639829</v>
      </c>
      <c r="AA28" s="8">
        <v>51.79478108258048</v>
      </c>
      <c r="AB28" s="8">
        <v>51.77285256647409</v>
      </c>
      <c r="AC28" s="8">
        <v>51.75090230018061</v>
      </c>
      <c r="AD28" s="8">
        <v>51.72893106937324</v>
      </c>
      <c r="AE28" s="8">
        <v>51.70693966080886</v>
      </c>
      <c r="AF28" s="8">
        <v>51.68492886225609</v>
      </c>
      <c r="AG28" s="8">
        <v>51.66289946242359</v>
      </c>
      <c r="AH28" s="8">
        <v>51.64085225088846</v>
      </c>
      <c r="AI28" s="8">
        <v>51.61878801802488</v>
      </c>
      <c r="AJ28" s="8">
        <v>51.59670755493346</v>
      </c>
      <c r="AK28" s="8">
        <v>51.57461165337033</v>
      </c>
      <c r="AL28" s="8">
        <v>51.55250110567697</v>
      </c>
      <c r="AM28" s="8">
        <v>51.53037670471023</v>
      </c>
      <c r="AN28" s="8">
        <v>51.50823924377264</v>
      </c>
      <c r="AO28" s="8">
        <v>51.4860895165432</v>
      </c>
      <c r="AP28" s="8">
        <v>51.46392831700843</v>
      </c>
      <c r="AQ28" s="8">
        <v>51.44175643939383</v>
      </c>
      <c r="AR28" s="8">
        <v>51.41957467809584</v>
      </c>
      <c r="AS28" s="8">
        <v>51.3973838276139</v>
      </c>
      <c r="AT28" s="8">
        <v>51.37518468248336</v>
      </c>
    </row>
    <row r="29" spans="1:46">
      <c r="A29" s="7">
        <v>35.6</v>
      </c>
      <c r="B29" s="8">
        <v>52.46137156036297</v>
      </c>
      <c r="C29" s="8">
        <v>52.44024396312994</v>
      </c>
      <c r="D29" s="8">
        <v>52.41907561650709</v>
      </c>
      <c r="E29" s="8">
        <v>52.39786725211196</v>
      </c>
      <c r="F29" s="8">
        <v>52.37661960447321</v>
      </c>
      <c r="G29" s="8">
        <v>52.35533341095698</v>
      </c>
      <c r="H29" s="8">
        <v>52.33400941169315</v>
      </c>
      <c r="I29" s="8">
        <v>52.31264834950163</v>
      </c>
      <c r="J29" s="8">
        <v>52.29125096981842</v>
      </c>
      <c r="K29" s="8">
        <v>52.2698180206219</v>
      </c>
      <c r="L29" s="8">
        <v>52.24835025235878</v>
      </c>
      <c r="M29" s="8">
        <v>52.22684841787024</v>
      </c>
      <c r="N29" s="8">
        <v>52.20531327231816</v>
      </c>
      <c r="O29" s="8">
        <v>52.18374557311108</v>
      </c>
      <c r="P29" s="8">
        <v>52.16214607983022</v>
      </c>
      <c r="Q29" s="8">
        <v>52.140515554156</v>
      </c>
      <c r="R29" s="8">
        <v>52.11885475979408</v>
      </c>
      <c r="S29" s="8">
        <v>52.09716446240168</v>
      </c>
      <c r="T29" s="8">
        <v>52.0754454295141</v>
      </c>
      <c r="U29" s="8">
        <v>52.05369843047104</v>
      </c>
      <c r="V29" s="8">
        <v>52.03192423634348</v>
      </c>
      <c r="W29" s="8">
        <v>52.01012361986022</v>
      </c>
      <c r="X29" s="8">
        <v>51.98829735533492</v>
      </c>
      <c r="Y29" s="8">
        <v>51.96644621859317</v>
      </c>
      <c r="Z29" s="8">
        <v>51.94457098689944</v>
      </c>
      <c r="AA29" s="8">
        <v>51.92267243888497</v>
      </c>
      <c r="AB29" s="8">
        <v>51.9007513544749</v>
      </c>
      <c r="AC29" s="8">
        <v>51.87880851481641</v>
      </c>
      <c r="AD29" s="8">
        <v>51.85684470220652</v>
      </c>
      <c r="AE29" s="8">
        <v>51.83486070002065</v>
      </c>
      <c r="AF29" s="8">
        <v>51.81285729264081</v>
      </c>
      <c r="AG29" s="8">
        <v>51.79083526538455</v>
      </c>
      <c r="AH29" s="8">
        <v>51.76879540443399</v>
      </c>
      <c r="AI29" s="8">
        <v>51.74673849676517</v>
      </c>
      <c r="AJ29" s="8">
        <v>51.72466533007761</v>
      </c>
      <c r="AK29" s="8">
        <v>51.70257669272426</v>
      </c>
      <c r="AL29" s="8">
        <v>51.68047337364182</v>
      </c>
      <c r="AM29" s="8">
        <v>51.65835616228112</v>
      </c>
      <c r="AN29" s="8">
        <v>51.63622584853836</v>
      </c>
      <c r="AO29" s="8">
        <v>51.61408322268603</v>
      </c>
      <c r="AP29" s="8">
        <v>51.59192907530496</v>
      </c>
      <c r="AQ29" s="8">
        <v>51.56976419721578</v>
      </c>
      <c r="AR29" s="8">
        <v>51.5475893794119</v>
      </c>
      <c r="AS29" s="8">
        <v>51.52540541299192</v>
      </c>
      <c r="AT29" s="8">
        <v>51.50321308909295</v>
      </c>
    </row>
    <row r="30" spans="1:46">
      <c r="A30" s="7">
        <v>35.7</v>
      </c>
      <c r="B30" s="8">
        <v>52.58873141688927</v>
      </c>
      <c r="C30" s="8">
        <v>52.56761040441919</v>
      </c>
      <c r="D30" s="8">
        <v>52.5464487187727</v>
      </c>
      <c r="E30" s="8">
        <v>52.52524708853976</v>
      </c>
      <c r="F30" s="8">
        <v>52.50400624520103</v>
      </c>
      <c r="G30" s="8">
        <v>52.4827269230551</v>
      </c>
      <c r="H30" s="8">
        <v>52.46140985914521</v>
      </c>
      <c r="I30" s="8">
        <v>52.4400557931862</v>
      </c>
      <c r="J30" s="8">
        <v>52.41866546749117</v>
      </c>
      <c r="K30" s="8">
        <v>52.39723962689811</v>
      </c>
      <c r="L30" s="8">
        <v>52.37577901869678</v>
      </c>
      <c r="M30" s="8">
        <v>52.35428439255525</v>
      </c>
      <c r="N30" s="8">
        <v>52.3327565004466</v>
      </c>
      <c r="O30" s="8">
        <v>52.31119609657571</v>
      </c>
      <c r="P30" s="8">
        <v>52.28960393730584</v>
      </c>
      <c r="Q30" s="8">
        <v>52.26798078108553</v>
      </c>
      <c r="R30" s="8">
        <v>52.24632738837529</v>
      </c>
      <c r="S30" s="8">
        <v>52.22464452157473</v>
      </c>
      <c r="T30" s="8">
        <v>52.2029329449493</v>
      </c>
      <c r="U30" s="8">
        <v>52.18119342455761</v>
      </c>
      <c r="V30" s="8">
        <v>52.15942672817854</v>
      </c>
      <c r="W30" s="8">
        <v>52.13763362523855</v>
      </c>
      <c r="X30" s="8">
        <v>52.11581488673921</v>
      </c>
      <c r="Y30" s="8">
        <v>52.09397128518479</v>
      </c>
      <c r="Z30" s="8">
        <v>52.07210359451021</v>
      </c>
      <c r="AA30" s="8">
        <v>52.05021259000889</v>
      </c>
      <c r="AB30" s="8">
        <v>52.02829904826093</v>
      </c>
      <c r="AC30" s="8">
        <v>52.00636374706146</v>
      </c>
      <c r="AD30" s="8">
        <v>51.98440746534952</v>
      </c>
      <c r="AE30" s="8">
        <v>51.96243098313651</v>
      </c>
      <c r="AF30" s="8">
        <v>51.94043508143561</v>
      </c>
      <c r="AG30" s="8">
        <v>51.91842054219086</v>
      </c>
      <c r="AH30" s="8">
        <v>51.89638814820695</v>
      </c>
      <c r="AI30" s="8">
        <v>51.87433868307912</v>
      </c>
      <c r="AJ30" s="8">
        <v>51.85227293112308</v>
      </c>
      <c r="AK30" s="8">
        <v>51.83019167730591</v>
      </c>
      <c r="AL30" s="8">
        <v>51.80809570717646</v>
      </c>
      <c r="AM30" s="8">
        <v>51.78598580679678</v>
      </c>
      <c r="AN30" s="8">
        <v>51.76386276267343</v>
      </c>
      <c r="AO30" s="8">
        <v>51.74172736168943</v>
      </c>
      <c r="AP30" s="8">
        <v>51.71958039103617</v>
      </c>
      <c r="AQ30" s="8">
        <v>51.69742263814632</v>
      </c>
      <c r="AR30" s="8">
        <v>51.67525489062648</v>
      </c>
      <c r="AS30" s="8">
        <v>51.65307793619062</v>
      </c>
      <c r="AT30" s="8">
        <v>51.63089256259385</v>
      </c>
    </row>
    <row r="31" spans="1:46">
      <c r="A31" s="7">
        <v>35.8</v>
      </c>
      <c r="B31" s="8">
        <v>52.71573873305365</v>
      </c>
      <c r="C31" s="8">
        <v>52.69462440099252</v>
      </c>
      <c r="D31" s="8">
        <v>52.67346947237186</v>
      </c>
      <c r="E31" s="8">
        <v>52.65227467277187</v>
      </c>
      <c r="F31" s="8">
        <v>52.63104073064356</v>
      </c>
      <c r="G31" s="8">
        <v>52.60976837723602</v>
      </c>
      <c r="H31" s="8">
        <v>52.58845834652409</v>
      </c>
      <c r="I31" s="8">
        <v>52.56711137513578</v>
      </c>
      <c r="J31" s="8">
        <v>52.54572820227934</v>
      </c>
      <c r="K31" s="8">
        <v>52.52430956967082</v>
      </c>
      <c r="L31" s="8">
        <v>52.50285622146122</v>
      </c>
      <c r="M31" s="8">
        <v>52.48136890416369</v>
      </c>
      <c r="N31" s="8">
        <v>52.45984836658097</v>
      </c>
      <c r="O31" s="8">
        <v>52.43829535973246</v>
      </c>
      <c r="P31" s="8">
        <v>52.41671063678164</v>
      </c>
      <c r="Q31" s="8">
        <v>52.39509495296343</v>
      </c>
      <c r="R31" s="8">
        <v>52.37344906551157</v>
      </c>
      <c r="S31" s="8">
        <v>52.35177373358619</v>
      </c>
      <c r="T31" s="8">
        <v>52.33006971820116</v>
      </c>
      <c r="U31" s="8">
        <v>52.30833778215207</v>
      </c>
      <c r="V31" s="8">
        <v>52.28657868994387</v>
      </c>
      <c r="W31" s="8">
        <v>52.26479320771875</v>
      </c>
      <c r="X31" s="8">
        <v>52.24298210318422</v>
      </c>
      <c r="Y31" s="8">
        <v>52.22114614554149</v>
      </c>
      <c r="Z31" s="8">
        <v>52.19928610541356</v>
      </c>
      <c r="AA31" s="8">
        <v>52.17740275477409</v>
      </c>
      <c r="AB31" s="8">
        <v>52.15549686687588</v>
      </c>
      <c r="AC31" s="8">
        <v>52.13356921617999</v>
      </c>
      <c r="AD31" s="8">
        <v>52.11162057828489</v>
      </c>
      <c r="AE31" s="8">
        <v>52.08965172985587</v>
      </c>
      <c r="AF31" s="8">
        <v>52.06766344855468</v>
      </c>
      <c r="AG31" s="8">
        <v>52.04565651296939</v>
      </c>
      <c r="AH31" s="8">
        <v>52.02363170254464</v>
      </c>
      <c r="AI31" s="8">
        <v>52.00158979751203</v>
      </c>
      <c r="AJ31" s="8">
        <v>51.97953157882096</v>
      </c>
      <c r="AK31" s="8">
        <v>51.95745782806947</v>
      </c>
      <c r="AL31" s="8">
        <v>51.93536932743576</v>
      </c>
      <c r="AM31" s="8">
        <v>51.91326685960989</v>
      </c>
      <c r="AN31" s="8">
        <v>51.89115120772561</v>
      </c>
      <c r="AO31" s="8">
        <v>51.86902315529299</v>
      </c>
      <c r="AP31" s="8">
        <v>51.8468834861308</v>
      </c>
      <c r="AQ31" s="8">
        <v>51.82473298429992</v>
      </c>
      <c r="AR31" s="8">
        <v>51.80257243403662</v>
      </c>
      <c r="AS31" s="8">
        <v>51.78040261968635</v>
      </c>
      <c r="AT31" s="8">
        <v>51.75822432563827</v>
      </c>
    </row>
    <row r="32" spans="1:46">
      <c r="A32" s="7">
        <v>35.9</v>
      </c>
      <c r="B32" s="8">
        <v>52.84239472410152</v>
      </c>
      <c r="C32" s="8">
        <v>52.82128716832073</v>
      </c>
      <c r="D32" s="8">
        <v>52.80013909300227</v>
      </c>
      <c r="E32" s="8">
        <v>52.77895122073453</v>
      </c>
      <c r="F32" s="8">
        <v>52.75772427695674</v>
      </c>
      <c r="G32" s="8">
        <v>52.73645898988664</v>
      </c>
      <c r="H32" s="8">
        <v>52.71515609044864</v>
      </c>
      <c r="I32" s="8">
        <v>52.69381631220196</v>
      </c>
      <c r="J32" s="8">
        <v>52.67244039126822</v>
      </c>
      <c r="K32" s="8">
        <v>52.65102906625958</v>
      </c>
      <c r="L32" s="8">
        <v>52.62958307820636</v>
      </c>
      <c r="M32" s="8">
        <v>52.60810317048504</v>
      </c>
      <c r="N32" s="8">
        <v>52.58659008874605</v>
      </c>
      <c r="O32" s="8">
        <v>52.56504458084152</v>
      </c>
      <c r="P32" s="8">
        <v>52.54346739675332</v>
      </c>
      <c r="Q32" s="8">
        <v>52.52185928852083</v>
      </c>
      <c r="R32" s="8">
        <v>52.50022101016911</v>
      </c>
      <c r="S32" s="8">
        <v>52.47855331763686</v>
      </c>
      <c r="T32" s="8">
        <v>52.45685696870456</v>
      </c>
      <c r="U32" s="8">
        <v>52.43513272292278</v>
      </c>
      <c r="V32" s="8">
        <v>52.41338134154054</v>
      </c>
      <c r="W32" s="8">
        <v>52.39160358743373</v>
      </c>
      <c r="X32" s="8">
        <v>52.36980022503376</v>
      </c>
      <c r="Y32" s="8">
        <v>52.34797202025657</v>
      </c>
      <c r="Z32" s="8">
        <v>52.32611974043121</v>
      </c>
      <c r="AA32" s="8">
        <v>52.30424415422922</v>
      </c>
      <c r="AB32" s="8">
        <v>52.28234603159395</v>
      </c>
      <c r="AC32" s="8">
        <v>52.26042614366995</v>
      </c>
      <c r="AD32" s="8">
        <v>52.23848526273282</v>
      </c>
      <c r="AE32" s="8">
        <v>52.21652416211917</v>
      </c>
      <c r="AF32" s="8">
        <v>52.19454361615679</v>
      </c>
      <c r="AG32" s="8">
        <v>52.17254440009516</v>
      </c>
      <c r="AH32" s="8">
        <v>52.15052729003613</v>
      </c>
      <c r="AI32" s="8">
        <v>52.12849306286488</v>
      </c>
      <c r="AJ32" s="8">
        <v>52.10644249618147</v>
      </c>
      <c r="AK32" s="8">
        <v>52.08437636823204</v>
      </c>
      <c r="AL32" s="8">
        <v>52.06229545784105</v>
      </c>
      <c r="AM32" s="8">
        <v>52.0402005443432</v>
      </c>
      <c r="AN32" s="8">
        <v>52.01809240751627</v>
      </c>
      <c r="AO32" s="8">
        <v>51.99597182751389</v>
      </c>
      <c r="AP32" s="8">
        <v>51.9738395847987</v>
      </c>
      <c r="AQ32" s="8">
        <v>51.95169646007611</v>
      </c>
      <c r="AR32" s="8">
        <v>51.92954323422818</v>
      </c>
      <c r="AS32" s="8">
        <v>51.90738068824808</v>
      </c>
      <c r="AT32" s="8">
        <v>51.88520960317475</v>
      </c>
    </row>
    <row r="33" spans="1:46">
      <c r="A33" s="7">
        <v>36</v>
      </c>
      <c r="B33" s="8">
        <v>52.96870060731811</v>
      </c>
      <c r="C33" s="8">
        <v>52.9475999239176</v>
      </c>
      <c r="D33" s="8">
        <v>52.92645879840766</v>
      </c>
      <c r="E33" s="8">
        <v>52.90527795040298</v>
      </c>
      <c r="F33" s="8">
        <v>52.88405810234865</v>
      </c>
      <c r="G33" s="8">
        <v>52.86279997944895</v>
      </c>
      <c r="H33" s="8">
        <v>52.84150430959586</v>
      </c>
      <c r="I33" s="8">
        <v>52.82017182329772</v>
      </c>
      <c r="J33" s="8">
        <v>52.7988032536075</v>
      </c>
      <c r="K33" s="8">
        <v>52.77739933605141</v>
      </c>
      <c r="L33" s="8">
        <v>52.75596080855719</v>
      </c>
      <c r="M33" s="8">
        <v>52.73448841138256</v>
      </c>
      <c r="N33" s="8">
        <v>52.71298288704366</v>
      </c>
      <c r="O33" s="8">
        <v>52.69144498024339</v>
      </c>
      <c r="P33" s="8">
        <v>52.66987543779994</v>
      </c>
      <c r="Q33" s="8">
        <v>52.64827500857529</v>
      </c>
      <c r="R33" s="8">
        <v>52.62664444340376</v>
      </c>
      <c r="S33" s="8">
        <v>52.60498449502056</v>
      </c>
      <c r="T33" s="8">
        <v>52.58329591799072</v>
      </c>
      <c r="U33" s="8">
        <v>52.56157946863769</v>
      </c>
      <c r="V33" s="8">
        <v>52.53983590497242</v>
      </c>
      <c r="W33" s="8">
        <v>52.5180659866224</v>
      </c>
      <c r="X33" s="8">
        <v>52.49627047476085</v>
      </c>
      <c r="Y33" s="8">
        <v>52.474450132036</v>
      </c>
      <c r="Z33" s="8">
        <v>52.45260572250078</v>
      </c>
      <c r="AA33" s="8">
        <v>52.43073801154233</v>
      </c>
      <c r="AB33" s="8">
        <v>52.40884776581202</v>
      </c>
      <c r="AC33" s="8">
        <v>52.38693575315551</v>
      </c>
      <c r="AD33" s="8">
        <v>52.36500274254297</v>
      </c>
      <c r="AE33" s="8">
        <v>52.34304950399977</v>
      </c>
      <c r="AF33" s="8">
        <v>52.32107680853705</v>
      </c>
      <c r="AG33" s="8">
        <v>52.29908542808293</v>
      </c>
      <c r="AH33" s="8">
        <v>52.27707613541362</v>
      </c>
      <c r="AI33" s="8">
        <v>52.25504970408512</v>
      </c>
      <c r="AJ33" s="8">
        <v>52.23300690836496</v>
      </c>
      <c r="AK33" s="8">
        <v>52.21094852316435</v>
      </c>
      <c r="AL33" s="8">
        <v>52.18887532397068</v>
      </c>
      <c r="AM33" s="8">
        <v>52.16678808678018</v>
      </c>
      <c r="AN33" s="8">
        <v>52.14468758803111</v>
      </c>
      <c r="AO33" s="8">
        <v>52.12257460453719</v>
      </c>
      <c r="AP33" s="8">
        <v>52.10044991342117</v>
      </c>
      <c r="AQ33" s="8">
        <v>52.07831429204931</v>
      </c>
      <c r="AR33" s="8">
        <v>52.05616851796559</v>
      </c>
      <c r="AS33" s="8">
        <v>52.03401336882681</v>
      </c>
      <c r="AT33" s="8">
        <v>52.01184962233771</v>
      </c>
    </row>
    <row r="34" spans="1:46">
      <c r="A34" s="7">
        <v>36.1</v>
      </c>
      <c r="B34" s="8">
        <v>53.09465760192583</v>
      </c>
      <c r="C34" s="8">
        <v>53.07356388723683</v>
      </c>
      <c r="D34" s="8">
        <v>53.05242980827485</v>
      </c>
      <c r="E34" s="8">
        <v>53.03125608169831</v>
      </c>
      <c r="F34" s="8">
        <v>53.01004342697613</v>
      </c>
      <c r="G34" s="8">
        <v>52.98879256631673</v>
      </c>
      <c r="H34" s="8">
        <v>52.9675042245975</v>
      </c>
      <c r="I34" s="8">
        <v>52.94617912929373</v>
      </c>
      <c r="J34" s="8">
        <v>52.92481801040756</v>
      </c>
      <c r="K34" s="8">
        <v>52.90342160039706</v>
      </c>
      <c r="L34" s="8">
        <v>52.88199063410527</v>
      </c>
      <c r="M34" s="8">
        <v>52.86052584868908</v>
      </c>
      <c r="N34" s="8">
        <v>52.83902798354815</v>
      </c>
      <c r="O34" s="8">
        <v>52.81749778025414</v>
      </c>
      <c r="P34" s="8">
        <v>52.7959359824794</v>
      </c>
      <c r="Q34" s="8">
        <v>52.77434333592631</v>
      </c>
      <c r="R34" s="8">
        <v>52.75272058825628</v>
      </c>
      <c r="S34" s="8">
        <v>52.73106848901901</v>
      </c>
      <c r="T34" s="8">
        <v>52.70938778958176</v>
      </c>
      <c r="U34" s="8">
        <v>52.68767924305877</v>
      </c>
      <c r="V34" s="8">
        <v>52.66594360424065</v>
      </c>
      <c r="W34" s="8">
        <v>52.6441816295242</v>
      </c>
      <c r="X34" s="8">
        <v>52.62239407684205</v>
      </c>
      <c r="Y34" s="8">
        <v>52.6005817055925</v>
      </c>
      <c r="Z34" s="8">
        <v>52.57874527656988</v>
      </c>
      <c r="AA34" s="8">
        <v>52.55688555189447</v>
      </c>
      <c r="AB34" s="8">
        <v>52.53500329494324</v>
      </c>
      <c r="AC34" s="8">
        <v>52.51309927028027</v>
      </c>
      <c r="AD34" s="8">
        <v>52.49117424358776</v>
      </c>
      <c r="AE34" s="8">
        <v>52.469228981597</v>
      </c>
      <c r="AF34" s="8">
        <v>52.4472642520198</v>
      </c>
      <c r="AG34" s="8">
        <v>52.42528082348002</v>
      </c>
      <c r="AH34" s="8">
        <v>52.40327946544531</v>
      </c>
      <c r="AI34" s="8">
        <v>52.38126094815939</v>
      </c>
      <c r="AJ34" s="8">
        <v>52.35922604257421</v>
      </c>
      <c r="AK34" s="8">
        <v>52.33717552028281</v>
      </c>
      <c r="AL34" s="8">
        <v>52.31511015345223</v>
      </c>
      <c r="AM34" s="8">
        <v>52.2930307147568</v>
      </c>
      <c r="AN34" s="8">
        <v>52.27093797731171</v>
      </c>
      <c r="AO34" s="8">
        <v>52.2488327146071</v>
      </c>
      <c r="AP34" s="8">
        <v>52.22671570044221</v>
      </c>
      <c r="AQ34" s="8">
        <v>52.20458770886019</v>
      </c>
      <c r="AR34" s="8">
        <v>52.18244951408298</v>
      </c>
      <c r="AS34" s="8">
        <v>52.16030189044685</v>
      </c>
      <c r="AT34" s="8">
        <v>52.13814561233814</v>
      </c>
    </row>
    <row r="35" spans="1:46">
      <c r="A35" s="7">
        <v>36.2</v>
      </c>
      <c r="B35" s="8">
        <v>53.22026692898305</v>
      </c>
      <c r="C35" s="8">
        <v>53.19918027957092</v>
      </c>
      <c r="D35" s="8">
        <v>53.17805334413196</v>
      </c>
      <c r="E35" s="8">
        <v>53.15688683638593</v>
      </c>
      <c r="F35" s="8">
        <v>53.13568147284303</v>
      </c>
      <c r="G35" s="8">
        <v>53.11443797273362</v>
      </c>
      <c r="H35" s="8">
        <v>53.09315705793805</v>
      </c>
      <c r="I35" s="8">
        <v>53.07183945291618</v>
      </c>
      <c r="J35" s="8">
        <v>53.05048588463707</v>
      </c>
      <c r="K35" s="8">
        <v>53.02909708250841</v>
      </c>
      <c r="L35" s="8">
        <v>53.00767377830627</v>
      </c>
      <c r="M35" s="8">
        <v>52.9862167061044</v>
      </c>
      <c r="N35" s="8">
        <v>52.96472660220388</v>
      </c>
      <c r="O35" s="8">
        <v>52.94320420506264</v>
      </c>
      <c r="P35" s="8">
        <v>52.92165025522507</v>
      </c>
      <c r="Q35" s="8">
        <v>52.90006549525169</v>
      </c>
      <c r="R35" s="8">
        <v>52.87845066964881</v>
      </c>
      <c r="S35" s="8">
        <v>52.85680652479824</v>
      </c>
      <c r="T35" s="8">
        <v>52.83513380888717</v>
      </c>
      <c r="U35" s="8">
        <v>52.81343327183825</v>
      </c>
      <c r="V35" s="8">
        <v>52.79170566523955</v>
      </c>
      <c r="W35" s="8">
        <v>52.7699517422746</v>
      </c>
      <c r="X35" s="8">
        <v>52.7481722576531</v>
      </c>
      <c r="Y35" s="8">
        <v>52.72636796754097</v>
      </c>
      <c r="Z35" s="8">
        <v>52.70453962949132</v>
      </c>
      <c r="AA35" s="8">
        <v>52.68268800237511</v>
      </c>
      <c r="AB35" s="8">
        <v>52.66081384631211</v>
      </c>
      <c r="AC35" s="8">
        <v>52.63891792260231</v>
      </c>
      <c r="AD35" s="8">
        <v>52.61700099365699</v>
      </c>
      <c r="AE35" s="8">
        <v>52.59506382293078</v>
      </c>
      <c r="AF35" s="8">
        <v>52.57310717485309</v>
      </c>
      <c r="AG35" s="8">
        <v>52.55113181476055</v>
      </c>
      <c r="AH35" s="8">
        <v>52.52913850882931</v>
      </c>
      <c r="AI35" s="8">
        <v>52.50712802400746</v>
      </c>
      <c r="AJ35" s="8">
        <v>52.48510112794841</v>
      </c>
      <c r="AK35" s="8">
        <v>52.46305858894353</v>
      </c>
      <c r="AL35" s="8">
        <v>52.44100117585614</v>
      </c>
      <c r="AM35" s="8">
        <v>52.41892965805507</v>
      </c>
      <c r="AN35" s="8">
        <v>52.39684480534887</v>
      </c>
      <c r="AO35" s="8">
        <v>52.37474738792048</v>
      </c>
      <c r="AP35" s="8">
        <v>52.35263817626161</v>
      </c>
      <c r="AQ35" s="8">
        <v>52.33051794110842</v>
      </c>
      <c r="AR35" s="8">
        <v>52.30838745337672</v>
      </c>
      <c r="AS35" s="8">
        <v>52.28624748409805</v>
      </c>
      <c r="AT35" s="8">
        <v>52.2640988043559</v>
      </c>
    </row>
    <row r="36" spans="1:46">
      <c r="A36" s="7">
        <v>36.3</v>
      </c>
      <c r="B36" s="8">
        <v>53.3455298112839</v>
      </c>
      <c r="C36" s="8">
        <v>53.32445032395078</v>
      </c>
      <c r="D36" s="8">
        <v>53.30333062924836</v>
      </c>
      <c r="E36" s="8">
        <v>53.28217143797501</v>
      </c>
      <c r="F36" s="8">
        <v>53.2609734636998</v>
      </c>
      <c r="G36" s="8">
        <v>53.23973742269241</v>
      </c>
      <c r="H36" s="8">
        <v>53.21846403385369</v>
      </c>
      <c r="I36" s="8">
        <v>53.19715401864572</v>
      </c>
      <c r="J36" s="8">
        <v>53.17580810102192</v>
      </c>
      <c r="K36" s="8">
        <v>53.15442700735734</v>
      </c>
      <c r="L36" s="8">
        <v>53.13301146637852</v>
      </c>
      <c r="M36" s="8">
        <v>53.11156220909372</v>
      </c>
      <c r="N36" s="8">
        <v>53.09007996872307</v>
      </c>
      <c r="O36" s="8">
        <v>53.06856548062846</v>
      </c>
      <c r="P36" s="8">
        <v>53.04701948224398</v>
      </c>
      <c r="Q36" s="8">
        <v>53.02544271300581</v>
      </c>
      <c r="R36" s="8">
        <v>53.00383591428272</v>
      </c>
      <c r="S36" s="8">
        <v>52.98219982930624</v>
      </c>
      <c r="T36" s="8">
        <v>52.96053520310121</v>
      </c>
      <c r="U36" s="8">
        <v>52.9388427824161</v>
      </c>
      <c r="V36" s="8">
        <v>52.91712331565385</v>
      </c>
      <c r="W36" s="8">
        <v>52.89537755280244</v>
      </c>
      <c r="X36" s="8">
        <v>52.87360624536594</v>
      </c>
      <c r="Y36" s="8">
        <v>52.85181014629529</v>
      </c>
      <c r="Z36" s="8">
        <v>52.82999000991983</v>
      </c>
      <c r="AA36" s="8">
        <v>52.80814659187833</v>
      </c>
      <c r="AB36" s="8">
        <v>52.78628064905084</v>
      </c>
      <c r="AC36" s="8">
        <v>52.76439293949024</v>
      </c>
      <c r="AD36" s="8">
        <v>52.74248422235421</v>
      </c>
      <c r="AE36" s="8">
        <v>52.7205552578375</v>
      </c>
      <c r="AF36" s="8">
        <v>52.6986068071044</v>
      </c>
      <c r="AG36" s="8">
        <v>52.67663963222115</v>
      </c>
      <c r="AH36" s="8">
        <v>52.6546544960891</v>
      </c>
      <c r="AI36" s="8">
        <v>52.63265216237775</v>
      </c>
      <c r="AJ36" s="8">
        <v>52.61063339545819</v>
      </c>
      <c r="AK36" s="8">
        <v>52.58859896033704</v>
      </c>
      <c r="AL36" s="8">
        <v>52.56654962259023</v>
      </c>
      <c r="AM36" s="8">
        <v>52.54448614829758</v>
      </c>
      <c r="AN36" s="8">
        <v>52.52240930397724</v>
      </c>
      <c r="AO36" s="8">
        <v>52.5003198565209</v>
      </c>
      <c r="AP36" s="8">
        <v>52.4782185731291</v>
      </c>
      <c r="AQ36" s="8">
        <v>52.45610622124676</v>
      </c>
      <c r="AR36" s="8">
        <v>52.43398356849942</v>
      </c>
      <c r="AS36" s="8">
        <v>52.41185138262964</v>
      </c>
      <c r="AT36" s="8">
        <v>52.38971043143363</v>
      </c>
    </row>
    <row r="37" spans="1:46">
      <c r="A37" s="7">
        <v>36.4</v>
      </c>
      <c r="B37" s="8">
        <v>53.47044747325961</v>
      </c>
      <c r="C37" s="8">
        <v>53.44937524504698</v>
      </c>
      <c r="D37" s="8">
        <v>53.42826288853541</v>
      </c>
      <c r="E37" s="8">
        <v>53.40711111161939</v>
      </c>
      <c r="F37" s="8">
        <v>53.38592062494395</v>
      </c>
      <c r="G37" s="8">
        <v>53.36469214183562</v>
      </c>
      <c r="H37" s="8">
        <v>53.34342637823305</v>
      </c>
      <c r="I37" s="8">
        <v>53.32212405261789</v>
      </c>
      <c r="J37" s="8">
        <v>53.30078588594554</v>
      </c>
      <c r="K37" s="8">
        <v>53.27941260157561</v>
      </c>
      <c r="L37" s="8">
        <v>53.25800492520281</v>
      </c>
      <c r="M37" s="8">
        <v>53.23656358478738</v>
      </c>
      <c r="N37" s="8">
        <v>53.21508931048589</v>
      </c>
      <c r="O37" s="8">
        <v>53.19358283458178</v>
      </c>
      <c r="P37" s="8">
        <v>53.17204489141617</v>
      </c>
      <c r="Q37" s="8">
        <v>53.15047621731859</v>
      </c>
      <c r="R37" s="8">
        <v>53.12887755053761</v>
      </c>
      <c r="S37" s="8">
        <v>53.10724963117207</v>
      </c>
      <c r="T37" s="8">
        <v>53.08559320110172</v>
      </c>
      <c r="U37" s="8">
        <v>53.06390900391842</v>
      </c>
      <c r="V37" s="8">
        <v>53.04219778485741</v>
      </c>
      <c r="W37" s="8">
        <v>53.02046029072829</v>
      </c>
      <c r="X37" s="8">
        <v>52.99869726984689</v>
      </c>
      <c r="Y37" s="8">
        <v>52.97690947196656</v>
      </c>
      <c r="Z37" s="8">
        <v>52.95509764820996</v>
      </c>
      <c r="AA37" s="8">
        <v>52.93326255100104</v>
      </c>
      <c r="AB37" s="8">
        <v>52.91140493399705</v>
      </c>
      <c r="AC37" s="8">
        <v>52.88952555202096</v>
      </c>
      <c r="AD37" s="8">
        <v>52.8676251609938</v>
      </c>
      <c r="AE37" s="8">
        <v>52.84570451786755</v>
      </c>
      <c r="AF37" s="8">
        <v>52.82376438055801</v>
      </c>
      <c r="AG37" s="8">
        <v>52.80180550787795</v>
      </c>
      <c r="AH37" s="8">
        <v>52.77982865947064</v>
      </c>
      <c r="AI37" s="8">
        <v>52.75783459574355</v>
      </c>
      <c r="AJ37" s="8">
        <v>52.73582407780229</v>
      </c>
      <c r="AK37" s="8">
        <v>52.71379786738488</v>
      </c>
      <c r="AL37" s="8">
        <v>52.69175672679639</v>
      </c>
      <c r="AM37" s="8">
        <v>52.66970141884376</v>
      </c>
      <c r="AN37" s="8">
        <v>52.64763270677097</v>
      </c>
      <c r="AO37" s="8">
        <v>52.62555135419473</v>
      </c>
      <c r="AP37" s="8">
        <v>52.60345812504005</v>
      </c>
      <c r="AQ37" s="8">
        <v>52.58135378347657</v>
      </c>
      <c r="AR37" s="8">
        <v>52.5592390938554</v>
      </c>
      <c r="AS37" s="8">
        <v>52.53711482064549</v>
      </c>
      <c r="AT37" s="8">
        <v>52.51498172837144</v>
      </c>
    </row>
    <row r="38" spans="1:46">
      <c r="A38" s="7">
        <v>36.5</v>
      </c>
      <c r="B38" s="8">
        <v>53.59502114088094</v>
      </c>
      <c r="C38" s="8">
        <v>53.57395626907192</v>
      </c>
      <c r="D38" s="8">
        <v>53.55285134844893</v>
      </c>
      <c r="E38" s="8">
        <v>53.5317070840196</v>
      </c>
      <c r="F38" s="8">
        <v>53.51052418352232</v>
      </c>
      <c r="G38" s="8">
        <v>53.48930335735737</v>
      </c>
      <c r="H38" s="8">
        <v>53.46804531851866</v>
      </c>
      <c r="I38" s="8">
        <v>53.44675078252472</v>
      </c>
      <c r="J38" s="8">
        <v>53.4254204673501</v>
      </c>
      <c r="K38" s="8">
        <v>53.40405509335647</v>
      </c>
      <c r="L38" s="8">
        <v>53.38265538322394</v>
      </c>
      <c r="M38" s="8">
        <v>53.36122206188205</v>
      </c>
      <c r="N38" s="8">
        <v>53.33975585644124</v>
      </c>
      <c r="O38" s="8">
        <v>53.31825749612388</v>
      </c>
      <c r="P38" s="8">
        <v>53.29672771219551</v>
      </c>
      <c r="Q38" s="8">
        <v>53.27516723789621</v>
      </c>
      <c r="R38" s="8">
        <v>53.253576808372</v>
      </c>
      <c r="S38" s="8">
        <v>53.23195716060603</v>
      </c>
      <c r="T38" s="8">
        <v>53.21030903335048</v>
      </c>
      <c r="U38" s="8">
        <v>53.18863316705786</v>
      </c>
      <c r="V38" s="8">
        <v>53.16693030381283</v>
      </c>
      <c r="W38" s="8">
        <v>53.14520118726416</v>
      </c>
      <c r="X38" s="8">
        <v>53.12344656255646</v>
      </c>
      <c r="Y38" s="8">
        <v>53.10166717626255</v>
      </c>
      <c r="Z38" s="8">
        <v>53.0798637763157</v>
      </c>
      <c r="AA38" s="8">
        <v>53.05803711194197</v>
      </c>
      <c r="AB38" s="8">
        <v>53.0361879335929</v>
      </c>
      <c r="AC38" s="8">
        <v>53.01431699287851</v>
      </c>
      <c r="AD38" s="8">
        <v>52.99242504250006</v>
      </c>
      <c r="AE38" s="8">
        <v>52.97051283618362</v>
      </c>
      <c r="AF38" s="8">
        <v>52.94858112861321</v>
      </c>
      <c r="AG38" s="8">
        <v>52.92663067536484</v>
      </c>
      <c r="AH38" s="8">
        <v>52.90466223284039</v>
      </c>
      <c r="AI38" s="8">
        <v>52.88267655820177</v>
      </c>
      <c r="AJ38" s="8">
        <v>52.86067440930543</v>
      </c>
      <c r="AK38" s="8">
        <v>52.83865654463731</v>
      </c>
      <c r="AL38" s="8">
        <v>52.81662372324784</v>
      </c>
      <c r="AM38" s="8">
        <v>52.7945767046873</v>
      </c>
      <c r="AN38" s="8">
        <v>52.77251624894159</v>
      </c>
      <c r="AO38" s="8">
        <v>52.75044311636817</v>
      </c>
      <c r="AP38" s="8">
        <v>52.72835806763257</v>
      </c>
      <c r="AQ38" s="8">
        <v>52.70626186364495</v>
      </c>
      <c r="AR38" s="8">
        <v>52.68415526549733</v>
      </c>
      <c r="AS38" s="8">
        <v>52.66203903440083</v>
      </c>
      <c r="AT38" s="8">
        <v>52.63991393162371</v>
      </c>
    </row>
    <row r="39" spans="1:46">
      <c r="A39" s="7">
        <v>36.6</v>
      </c>
      <c r="B39" s="8">
        <v>53.71925204156189</v>
      </c>
      <c r="C39" s="8">
        <v>53.69819462368358</v>
      </c>
      <c r="D39" s="8">
        <v>53.67709723689253</v>
      </c>
      <c r="E39" s="8">
        <v>53.65596058332646</v>
      </c>
      <c r="F39" s="8">
        <v>53.634785367834</v>
      </c>
      <c r="G39" s="8">
        <v>53.61357229790655</v>
      </c>
      <c r="H39" s="8">
        <v>53.59232208361025</v>
      </c>
      <c r="I39" s="8">
        <v>53.57103543751765</v>
      </c>
      <c r="J39" s="8">
        <v>53.54971307463965</v>
      </c>
      <c r="K39" s="8">
        <v>53.52835571235717</v>
      </c>
      <c r="L39" s="8">
        <v>53.50696407035293</v>
      </c>
      <c r="M39" s="8">
        <v>53.48553887054309</v>
      </c>
      <c r="N39" s="8">
        <v>53.46408083700914</v>
      </c>
      <c r="O39" s="8">
        <v>53.44259069592955</v>
      </c>
      <c r="P39" s="8">
        <v>53.42106917551158</v>
      </c>
      <c r="Q39" s="8">
        <v>53.39951700592317</v>
      </c>
      <c r="R39" s="8">
        <v>53.37793491922475</v>
      </c>
      <c r="S39" s="8">
        <v>53.35632364930132</v>
      </c>
      <c r="T39" s="8">
        <v>53.33468393179452</v>
      </c>
      <c r="U39" s="8">
        <v>53.31301650403469</v>
      </c>
      <c r="V39" s="8">
        <v>53.29132210497316</v>
      </c>
      <c r="W39" s="8">
        <v>53.26960147511469</v>
      </c>
      <c r="X39" s="8">
        <v>53.24785535645002</v>
      </c>
      <c r="Y39" s="8">
        <v>53.2260844923885</v>
      </c>
      <c r="Z39" s="8">
        <v>53.20428962769081</v>
      </c>
      <c r="AA39" s="8">
        <v>53.18247150840219</v>
      </c>
      <c r="AB39" s="8">
        <v>53.16063088178542</v>
      </c>
      <c r="AC39" s="8">
        <v>53.13876849625432</v>
      </c>
      <c r="AD39" s="8">
        <v>53.11688510130718</v>
      </c>
      <c r="AE39" s="8">
        <v>53.09498144746082</v>
      </c>
      <c r="AF39" s="8">
        <v>53.07305828618431</v>
      </c>
      <c r="AG39" s="8">
        <v>53.05111636983336</v>
      </c>
      <c r="AH39" s="8">
        <v>53.0291564515849</v>
      </c>
      <c r="AI39" s="8">
        <v>53.00717928537173</v>
      </c>
      <c r="AJ39" s="8">
        <v>52.9851856258176</v>
      </c>
      <c r="AK39" s="8">
        <v>52.96317622817259</v>
      </c>
      <c r="AL39" s="8">
        <v>52.94115184824855</v>
      </c>
      <c r="AM39" s="8">
        <v>52.91911324235517</v>
      </c>
      <c r="AN39" s="8">
        <v>52.89706116723619</v>
      </c>
      <c r="AO39" s="8">
        <v>52.87499638000586</v>
      </c>
      <c r="AP39" s="8">
        <v>52.85291963808585</v>
      </c>
      <c r="AQ39" s="8">
        <v>52.83083169914254</v>
      </c>
      <c r="AR39" s="8">
        <v>52.80873332102439</v>
      </c>
      <c r="AS39" s="8">
        <v>52.78662526170011</v>
      </c>
      <c r="AT39" s="8">
        <v>52.7645082791968</v>
      </c>
    </row>
    <row r="40" spans="1:46">
      <c r="A40" s="7">
        <v>36.7</v>
      </c>
      <c r="B40" s="8">
        <v>53.84314140406472</v>
      </c>
      <c r="C40" s="8">
        <v>53.82209153789057</v>
      </c>
      <c r="D40" s="8">
        <v>53.80100178312254</v>
      </c>
      <c r="E40" s="8">
        <v>53.77987283904548</v>
      </c>
      <c r="F40" s="8">
        <v>53.75870540763527</v>
      </c>
      <c r="G40" s="8">
        <v>53.73750019349127</v>
      </c>
      <c r="H40" s="8">
        <v>53.71625790376883</v>
      </c>
      <c r="I40" s="8">
        <v>53.69497924811164</v>
      </c>
      <c r="J40" s="8">
        <v>53.6736649385839</v>
      </c>
      <c r="K40" s="8">
        <v>53.65231568960295</v>
      </c>
      <c r="L40" s="8">
        <v>53.63093221787114</v>
      </c>
      <c r="M40" s="8">
        <v>53.60951524230833</v>
      </c>
      <c r="N40" s="8">
        <v>53.58806548398419</v>
      </c>
      <c r="O40" s="8">
        <v>53.56658366605045</v>
      </c>
      <c r="P40" s="8">
        <v>53.54507051367312</v>
      </c>
      <c r="Q40" s="8">
        <v>53.52352675396511</v>
      </c>
      <c r="R40" s="8">
        <v>53.50195311591849</v>
      </c>
      <c r="S40" s="8">
        <v>53.48035033033711</v>
      </c>
      <c r="T40" s="8">
        <v>53.45871912976906</v>
      </c>
      <c r="U40" s="8">
        <v>53.43706024843964</v>
      </c>
      <c r="V40" s="8">
        <v>53.41537442218385</v>
      </c>
      <c r="W40" s="8">
        <v>53.39366238837957</v>
      </c>
      <c r="X40" s="8">
        <v>53.37192488588046</v>
      </c>
      <c r="Y40" s="8">
        <v>53.35016265494925</v>
      </c>
      <c r="Z40" s="8">
        <v>53.32837643719117</v>
      </c>
      <c r="AA40" s="8">
        <v>53.30656697548727</v>
      </c>
      <c r="AB40" s="8">
        <v>53.2847350139284</v>
      </c>
      <c r="AC40" s="8">
        <v>53.26288129774889</v>
      </c>
      <c r="AD40" s="8">
        <v>53.24100657326083</v>
      </c>
      <c r="AE40" s="8">
        <v>53.21911158778828</v>
      </c>
      <c r="AF40" s="8">
        <v>53.19719708960189</v>
      </c>
      <c r="AG40" s="8">
        <v>53.17526382785361</v>
      </c>
      <c r="AH40" s="8">
        <v>53.15331255251181</v>
      </c>
      <c r="AI40" s="8">
        <v>53.13134401429646</v>
      </c>
      <c r="AJ40" s="8">
        <v>53.10935896461488</v>
      </c>
      <c r="AK40" s="8">
        <v>53.08735815549728</v>
      </c>
      <c r="AL40" s="8">
        <v>53.06534233953315</v>
      </c>
      <c r="AM40" s="8">
        <v>53.04331226980756</v>
      </c>
      <c r="AN40" s="8">
        <v>53.0212686998379</v>
      </c>
      <c r="AO40" s="8">
        <v>52.99921238351093</v>
      </c>
      <c r="AP40" s="8">
        <v>52.97714407502021</v>
      </c>
      <c r="AQ40" s="8">
        <v>52.95506452880375</v>
      </c>
      <c r="AR40" s="8">
        <v>52.93297449948197</v>
      </c>
      <c r="AS40" s="8">
        <v>52.91087474179642</v>
      </c>
      <c r="AT40" s="8">
        <v>52.88876601054833</v>
      </c>
    </row>
    <row r="41" spans="1:46">
      <c r="A41" s="7">
        <v>36.8</v>
      </c>
      <c r="B41" s="8">
        <v>53.96669045840631</v>
      </c>
      <c r="C41" s="8">
        <v>53.94564824195785</v>
      </c>
      <c r="D41" s="8">
        <v>53.9245662176539</v>
      </c>
      <c r="E41" s="8">
        <v>53.90344508194303</v>
      </c>
      <c r="F41" s="8">
        <v>53.88228553394519</v>
      </c>
      <c r="G41" s="8">
        <v>53.86108827538452</v>
      </c>
      <c r="H41" s="8">
        <v>53.83985401052253</v>
      </c>
      <c r="I41" s="8">
        <v>53.81858344609077</v>
      </c>
      <c r="J41" s="8">
        <v>53.79727729122389</v>
      </c>
      <c r="K41" s="8">
        <v>53.77593625739235</v>
      </c>
      <c r="L41" s="8">
        <v>53.7545610583352</v>
      </c>
      <c r="M41" s="8">
        <v>53.733152409993</v>
      </c>
      <c r="N41" s="8">
        <v>53.71171103044058</v>
      </c>
      <c r="O41" s="8">
        <v>53.69023763981982</v>
      </c>
      <c r="P41" s="8">
        <v>53.66873296027257</v>
      </c>
      <c r="Q41" s="8">
        <v>53.64719771587374</v>
      </c>
      <c r="R41" s="8">
        <v>53.62563263256389</v>
      </c>
      <c r="S41" s="8">
        <v>53.6040384380826</v>
      </c>
      <c r="T41" s="8">
        <v>53.58241586190164</v>
      </c>
      <c r="U41" s="8">
        <v>53.56076563515796</v>
      </c>
      <c r="V41" s="8">
        <v>53.53908849058723</v>
      </c>
      <c r="W41" s="8">
        <v>53.51738516245726</v>
      </c>
      <c r="X41" s="8">
        <v>53.49565638650153</v>
      </c>
      <c r="Y41" s="8">
        <v>53.47390289985297</v>
      </c>
      <c r="Z41" s="8">
        <v>53.45212544097799</v>
      </c>
      <c r="AA41" s="8">
        <v>53.43032474961031</v>
      </c>
      <c r="AB41" s="8">
        <v>53.40850156668539</v>
      </c>
      <c r="AC41" s="8">
        <v>53.38665663427484</v>
      </c>
      <c r="AD41" s="8">
        <v>53.36479069552092</v>
      </c>
      <c r="AE41" s="8">
        <v>53.34290449457156</v>
      </c>
      <c r="AF41" s="8">
        <v>53.32099877651535</v>
      </c>
      <c r="AG41" s="8">
        <v>53.29907428731683</v>
      </c>
      <c r="AH41" s="8">
        <v>53.27713177375211</v>
      </c>
      <c r="AI41" s="8">
        <v>53.25517198334463</v>
      </c>
      <c r="AJ41" s="8">
        <v>53.23319566430118</v>
      </c>
      <c r="AK41" s="8">
        <v>53.21120356544839</v>
      </c>
      <c r="AL41" s="8">
        <v>53.18919643616918</v>
      </c>
      <c r="AM41" s="8">
        <v>53.16717502633987</v>
      </c>
      <c r="AN41" s="8">
        <v>53.14514008626727</v>
      </c>
      <c r="AO41" s="8">
        <v>53.12309236662637</v>
      </c>
      <c r="AP41" s="8">
        <v>53.10103261839805</v>
      </c>
      <c r="AQ41" s="8">
        <v>53.07896159280745</v>
      </c>
      <c r="AR41" s="8">
        <v>53.05688004126239</v>
      </c>
      <c r="AS41" s="8">
        <v>53.03478871529234</v>
      </c>
      <c r="AT41" s="8">
        <v>53.01268836648783</v>
      </c>
    </row>
    <row r="42" spans="1:46">
      <c r="A42" s="7">
        <v>36.9</v>
      </c>
      <c r="B42" s="8">
        <v>54.08990043576542</v>
      </c>
      <c r="C42" s="8">
        <v>54.0688659673145</v>
      </c>
      <c r="D42" s="8">
        <v>54.04779177216744</v>
      </c>
      <c r="E42" s="8">
        <v>54.02667854395328</v>
      </c>
      <c r="F42" s="8">
        <v>54.0055269789526</v>
      </c>
      <c r="G42" s="8">
        <v>53.98433777603109</v>
      </c>
      <c r="H42" s="8">
        <v>53.96311163657305</v>
      </c>
      <c r="I42" s="8">
        <v>53.94184926441477</v>
      </c>
      <c r="J42" s="8">
        <v>53.92055136577807</v>
      </c>
      <c r="K42" s="8">
        <v>53.89921864920339</v>
      </c>
      <c r="L42" s="8">
        <v>53.87785182548331</v>
      </c>
      <c r="M42" s="8">
        <v>53.85645160759593</v>
      </c>
      <c r="N42" s="8">
        <v>53.83501871063799</v>
      </c>
      <c r="O42" s="8">
        <v>53.81355385175854</v>
      </c>
      <c r="P42" s="8">
        <v>53.79205775009207</v>
      </c>
      <c r="Q42" s="8">
        <v>53.77053112669218</v>
      </c>
      <c r="R42" s="8">
        <v>53.748974704465</v>
      </c>
      <c r="S42" s="8">
        <v>53.72738920810271</v>
      </c>
      <c r="T42" s="8">
        <v>53.70577536401731</v>
      </c>
      <c r="U42" s="8">
        <v>53.68413390027447</v>
      </c>
      <c r="V42" s="8">
        <v>53.66246554652716</v>
      </c>
      <c r="W42" s="8">
        <v>53.6407710339499</v>
      </c>
      <c r="X42" s="8">
        <v>53.61905109517269</v>
      </c>
      <c r="Y42" s="8">
        <v>53.59730646421544</v>
      </c>
      <c r="Z42" s="8">
        <v>53.5755378764223</v>
      </c>
      <c r="AA42" s="8">
        <v>53.55374606839627</v>
      </c>
      <c r="AB42" s="8">
        <v>53.53193177793404</v>
      </c>
      <c r="AC42" s="8">
        <v>53.51009574396082</v>
      </c>
      <c r="AD42" s="8">
        <v>53.4882387064656</v>
      </c>
      <c r="AE42" s="8">
        <v>53.46636140643655</v>
      </c>
      <c r="AF42" s="8">
        <v>53.44446458579657</v>
      </c>
      <c r="AG42" s="8">
        <v>53.42254898733893</v>
      </c>
      <c r="AH42" s="8">
        <v>53.40061535466372</v>
      </c>
      <c r="AI42" s="8">
        <v>53.37866443211386</v>
      </c>
      <c r="AJ42" s="8">
        <v>53.35669696471175</v>
      </c>
      <c r="AK42" s="8">
        <v>53.33471369809625</v>
      </c>
      <c r="AL42" s="8">
        <v>53.31271537845964</v>
      </c>
      <c r="AM42" s="8">
        <v>53.29070275248522</v>
      </c>
      <c r="AN42" s="8">
        <v>53.26867656728489</v>
      </c>
      <c r="AO42" s="8">
        <v>53.24663757033733</v>
      </c>
      <c r="AP42" s="8">
        <v>53.22458650942639</v>
      </c>
      <c r="AQ42" s="8">
        <v>53.20252413257948</v>
      </c>
      <c r="AR42" s="8">
        <v>53.18045118800714</v>
      </c>
      <c r="AS42" s="8">
        <v>53.15836842404197</v>
      </c>
      <c r="AT42" s="8">
        <v>53.13627658907861</v>
      </c>
    </row>
    <row r="43" spans="1:46">
      <c r="A43" s="7">
        <v>37</v>
      </c>
      <c r="B43" s="8">
        <v>54.21277256839154</v>
      </c>
      <c r="C43" s="8">
        <v>54.19174594646196</v>
      </c>
      <c r="D43" s="8">
        <v>54.17067967941836</v>
      </c>
      <c r="E43" s="8">
        <v>54.14957445808653</v>
      </c>
      <c r="F43" s="8">
        <v>54.12843097592435</v>
      </c>
      <c r="G43" s="8">
        <v>54.10724992895555</v>
      </c>
      <c r="H43" s="8">
        <v>54.0860320157039</v>
      </c>
      <c r="I43" s="8">
        <v>54.06477793712705</v>
      </c>
      <c r="J43" s="8">
        <v>54.04348839655054</v>
      </c>
      <c r="K43" s="8">
        <v>54.02216409960162</v>
      </c>
      <c r="L43" s="8">
        <v>54.00080575414298</v>
      </c>
      <c r="M43" s="8">
        <v>53.97941407020699</v>
      </c>
      <c r="N43" s="8">
        <v>53.95798975992916</v>
      </c>
      <c r="O43" s="8">
        <v>53.93653353748227</v>
      </c>
      <c r="P43" s="8">
        <v>53.91504611901028</v>
      </c>
      <c r="Q43" s="8">
        <v>53.8935282225623</v>
      </c>
      <c r="R43" s="8">
        <v>53.87198056802655</v>
      </c>
      <c r="S43" s="8">
        <v>53.85040387706459</v>
      </c>
      <c r="T43" s="8">
        <v>53.82879887304554</v>
      </c>
      <c r="U43" s="8">
        <v>53.80716628098019</v>
      </c>
      <c r="V43" s="8">
        <v>53.78550682745566</v>
      </c>
      <c r="W43" s="8">
        <v>53.76382124056973</v>
      </c>
      <c r="X43" s="8">
        <v>53.74211024986557</v>
      </c>
      <c r="Y43" s="8">
        <v>53.72037458626651</v>
      </c>
      <c r="Z43" s="8">
        <v>53.69861498201113</v>
      </c>
      <c r="AA43" s="8">
        <v>53.67683217058806</v>
      </c>
      <c r="AB43" s="8">
        <v>53.6550268866717</v>
      </c>
      <c r="AC43" s="8">
        <v>53.6331998660573</v>
      </c>
      <c r="AD43" s="8">
        <v>53.61135184559689</v>
      </c>
      <c r="AE43" s="8">
        <v>53.58948356313508</v>
      </c>
      <c r="AF43" s="8">
        <v>53.56759575744521</v>
      </c>
      <c r="AG43" s="8">
        <v>53.54568916816563</v>
      </c>
      <c r="AH43" s="8">
        <v>53.52376453573634</v>
      </c>
      <c r="AI43" s="8">
        <v>53.50182260133569</v>
      </c>
      <c r="AJ43" s="8">
        <v>53.4798641068177</v>
      </c>
      <c r="AK43" s="8">
        <v>53.45788979464923</v>
      </c>
      <c r="AL43" s="8">
        <v>53.43590040784768</v>
      </c>
      <c r="AM43" s="8">
        <v>53.41389668991892</v>
      </c>
      <c r="AN43" s="8">
        <v>53.39187938479555</v>
      </c>
      <c r="AO43" s="8">
        <v>53.36984923677545</v>
      </c>
      <c r="AP43" s="8">
        <v>53.34780699046063</v>
      </c>
      <c r="AQ43" s="8">
        <v>53.32575339069626</v>
      </c>
      <c r="AR43" s="8">
        <v>53.30368918251055</v>
      </c>
      <c r="AS43" s="8">
        <v>53.28161511105423</v>
      </c>
      <c r="AT43" s="8">
        <v>53.25953192154117</v>
      </c>
    </row>
    <row r="44" spans="1:46">
      <c r="A44" s="7">
        <v>37.1</v>
      </c>
      <c r="B44" s="8">
        <v>54.33530808951459</v>
      </c>
      <c r="C44" s="8">
        <v>54.31428941288411</v>
      </c>
      <c r="D44" s="8">
        <v>54.29323117314592</v>
      </c>
      <c r="E44" s="8">
        <v>54.27213405833908</v>
      </c>
      <c r="F44" s="8">
        <v>54.25099875911501</v>
      </c>
      <c r="G44" s="8">
        <v>54.22982596867205</v>
      </c>
      <c r="H44" s="8">
        <v>54.20861638268981</v>
      </c>
      <c r="I44" s="8">
        <v>54.18737069926388</v>
      </c>
      <c r="J44" s="8">
        <v>54.16608961884</v>
      </c>
      <c r="K44" s="8">
        <v>54.14477384414879</v>
      </c>
      <c r="L44" s="8">
        <v>54.12342408013976</v>
      </c>
      <c r="M44" s="8">
        <v>54.10204103391597</v>
      </c>
      <c r="N44" s="8">
        <v>54.08062541466835</v>
      </c>
      <c r="O44" s="8">
        <v>54.05917793361012</v>
      </c>
      <c r="P44" s="8">
        <v>54.03769930391117</v>
      </c>
      <c r="Q44" s="8">
        <v>54.01619024063274</v>
      </c>
      <c r="R44" s="8">
        <v>53.99465146066186</v>
      </c>
      <c r="S44" s="8">
        <v>53.97308368264603</v>
      </c>
      <c r="T44" s="8">
        <v>53.95148762692791</v>
      </c>
      <c r="U44" s="8">
        <v>53.92986401548016</v>
      </c>
      <c r="V44" s="8">
        <v>53.90821357184053</v>
      </c>
      <c r="W44" s="8">
        <v>53.88653702104656</v>
      </c>
      <c r="X44" s="8">
        <v>53.86483508957104</v>
      </c>
      <c r="Y44" s="8">
        <v>53.84310850525726</v>
      </c>
      <c r="Z44" s="8">
        <v>53.82135799725451</v>
      </c>
      <c r="AA44" s="8">
        <v>53.79958429595354</v>
      </c>
      <c r="AB44" s="8">
        <v>53.77778813292265</v>
      </c>
      <c r="AC44" s="8">
        <v>53.75597024084345</v>
      </c>
      <c r="AD44" s="8">
        <v>53.73413135344721</v>
      </c>
      <c r="AE44" s="8">
        <v>53.71227220545123</v>
      </c>
      <c r="AF44" s="8">
        <v>53.69039353249529</v>
      </c>
      <c r="AG44" s="8">
        <v>53.66849607107878</v>
      </c>
      <c r="AH44" s="8">
        <v>53.64658055849764</v>
      </c>
      <c r="AI44" s="8">
        <v>53.62464773278165</v>
      </c>
      <c r="AJ44" s="8">
        <v>53.60269833263204</v>
      </c>
      <c r="AK44" s="8">
        <v>53.58073309735948</v>
      </c>
      <c r="AL44" s="8">
        <v>53.55875276682213</v>
      </c>
      <c r="AM44" s="8">
        <v>53.53675808136402</v>
      </c>
      <c r="AN44" s="8">
        <v>53.51474978175388</v>
      </c>
      <c r="AO44" s="8">
        <v>53.49272860912409</v>
      </c>
      <c r="AP44" s="8">
        <v>53.47069530491004</v>
      </c>
      <c r="AQ44" s="8">
        <v>53.4486506107899</v>
      </c>
      <c r="AR44" s="8">
        <v>53.42659526862457</v>
      </c>
      <c r="AS44" s="8">
        <v>53.40453002039795</v>
      </c>
      <c r="AT44" s="8">
        <v>53.38245560815777</v>
      </c>
    </row>
    <row r="45" spans="1:46">
      <c r="A45" s="7">
        <v>37.2</v>
      </c>
      <c r="B45" s="8">
        <v>54.45750823325617</v>
      </c>
      <c r="C45" s="8">
        <v>54.43649760095799</v>
      </c>
      <c r="D45" s="8">
        <v>54.41544748798429</v>
      </c>
      <c r="E45" s="8">
        <v>54.39435857960362</v>
      </c>
      <c r="F45" s="8">
        <v>54.37323156367729</v>
      </c>
      <c r="G45" s="8">
        <v>54.35206713059441</v>
      </c>
      <c r="H45" s="8">
        <v>54.3308659732069</v>
      </c>
      <c r="I45" s="8">
        <v>54.30962878676454</v>
      </c>
      <c r="J45" s="8">
        <v>54.2883562688499</v>
      </c>
      <c r="K45" s="8">
        <v>54.26704911931321</v>
      </c>
      <c r="L45" s="8">
        <v>54.24570804020727</v>
      </c>
      <c r="M45" s="8">
        <v>54.2243337357224</v>
      </c>
      <c r="N45" s="8">
        <v>54.20292691212131</v>
      </c>
      <c r="O45" s="8">
        <v>54.18148827767414</v>
      </c>
      <c r="P45" s="8">
        <v>54.16001854259333</v>
      </c>
      <c r="Q45" s="8">
        <v>54.13851841896859</v>
      </c>
      <c r="R45" s="8">
        <v>54.11698862070235</v>
      </c>
      <c r="S45" s="8">
        <v>54.09542986344439</v>
      </c>
      <c r="T45" s="8">
        <v>54.07384286452746</v>
      </c>
      <c r="U45" s="8">
        <v>54.05222834290262</v>
      </c>
      <c r="V45" s="8">
        <v>54.03058701907441</v>
      </c>
      <c r="W45" s="8">
        <v>54.00891961503666</v>
      </c>
      <c r="X45" s="8">
        <v>53.98722685420823</v>
      </c>
      <c r="Y45" s="8">
        <v>53.96550946136858</v>
      </c>
      <c r="Z45" s="8">
        <v>53.943768162594</v>
      </c>
      <c r="AA45" s="8">
        <v>53.9220036851937</v>
      </c>
      <c r="AB45" s="8">
        <v>53.90021675764597</v>
      </c>
      <c r="AC45" s="8">
        <v>53.87840810953506</v>
      </c>
      <c r="AD45" s="8">
        <v>53.8565784714875</v>
      </c>
      <c r="AE45" s="8">
        <v>53.83472857510919</v>
      </c>
      <c r="AF45" s="8">
        <v>53.8128591529226</v>
      </c>
      <c r="AG45" s="8">
        <v>53.79097093830391</v>
      </c>
      <c r="AH45" s="8">
        <v>53.76906466542089</v>
      </c>
      <c r="AI45" s="8">
        <v>53.7471410691704</v>
      </c>
      <c r="AJ45" s="8">
        <v>53.72520088511679</v>
      </c>
      <c r="AK45" s="8">
        <v>53.70324484943006</v>
      </c>
      <c r="AL45" s="8">
        <v>53.68127369882466</v>
      </c>
      <c r="AM45" s="8">
        <v>53.65928817049812</v>
      </c>
      <c r="AN45" s="8">
        <v>53.63728900207074</v>
      </c>
      <c r="AO45" s="8">
        <v>53.61527693152465</v>
      </c>
      <c r="AP45" s="8">
        <v>53.59325269714389</v>
      </c>
      <c r="AQ45" s="8">
        <v>53.57121703745453</v>
      </c>
      <c r="AR45" s="8">
        <v>53.54917069116517</v>
      </c>
      <c r="AS45" s="8">
        <v>53.5271143971076</v>
      </c>
      <c r="AT45" s="8">
        <v>53.50504889417835</v>
      </c>
    </row>
    <row r="46" spans="1:46">
      <c r="A46" s="7">
        <v>37.3</v>
      </c>
      <c r="B46" s="8">
        <v>54.5793742345418</v>
      </c>
      <c r="C46" s="8">
        <v>54.5583717458662</v>
      </c>
      <c r="D46" s="8">
        <v>54.53732985937475</v>
      </c>
      <c r="E46" s="8">
        <v>54.51624925758159</v>
      </c>
      <c r="F46" s="8">
        <v>54.49513062557408</v>
      </c>
      <c r="G46" s="8">
        <v>54.47397465094822</v>
      </c>
      <c r="H46" s="8">
        <v>54.45278202374459</v>
      </c>
      <c r="I46" s="8">
        <v>54.43155343638337</v>
      </c>
      <c r="J46" s="8">
        <v>54.41028958360014</v>
      </c>
      <c r="K46" s="8">
        <v>54.3889911623811</v>
      </c>
      <c r="L46" s="8">
        <v>54.36765887189869</v>
      </c>
      <c r="M46" s="8">
        <v>54.34629341344677</v>
      </c>
      <c r="N46" s="8">
        <v>54.32489549037629</v>
      </c>
      <c r="O46" s="8">
        <v>54.30346580803063</v>
      </c>
      <c r="P46" s="8">
        <v>54.28200507368093</v>
      </c>
      <c r="Q46" s="8">
        <v>54.26051399646217</v>
      </c>
      <c r="R46" s="8">
        <v>54.23899328730805</v>
      </c>
      <c r="S46" s="8">
        <v>54.21744365888735</v>
      </c>
      <c r="T46" s="8">
        <v>54.19586582553914</v>
      </c>
      <c r="U46" s="8">
        <v>54.17426050320895</v>
      </c>
      <c r="V46" s="8">
        <v>54.15262840938477</v>
      </c>
      <c r="W46" s="8">
        <v>54.1309702630329</v>
      </c>
      <c r="X46" s="8">
        <v>54.10928678453435</v>
      </c>
      <c r="Y46" s="8">
        <v>54.08757869562108</v>
      </c>
      <c r="Z46" s="8">
        <v>54.06584671931255</v>
      </c>
      <c r="AA46" s="8">
        <v>54.04409157985246</v>
      </c>
      <c r="AB46" s="8">
        <v>54.02231400264542</v>
      </c>
      <c r="AC46" s="8">
        <v>54.0005147141941</v>
      </c>
      <c r="AD46" s="8">
        <v>53.97869444203633</v>
      </c>
      <c r="AE46" s="8">
        <v>53.95685391468271</v>
      </c>
      <c r="AF46" s="8">
        <v>53.93499386155403</v>
      </c>
      <c r="AG46" s="8">
        <v>53.91311501291929</v>
      </c>
      <c r="AH46" s="8">
        <v>53.89121809983362</v>
      </c>
      <c r="AI46" s="8">
        <v>53.86930385407682</v>
      </c>
      <c r="AJ46" s="8">
        <v>53.84737300809178</v>
      </c>
      <c r="AK46" s="8">
        <v>53.82542629492339</v>
      </c>
      <c r="AL46" s="8">
        <v>53.80346444815778</v>
      </c>
      <c r="AM46" s="8">
        <v>53.78148820186156</v>
      </c>
      <c r="AN46" s="8">
        <v>53.75949829052156</v>
      </c>
      <c r="AO46" s="8">
        <v>53.73749544898496</v>
      </c>
      <c r="AP46" s="8">
        <v>53.71548041239944</v>
      </c>
      <c r="AQ46" s="8">
        <v>53.69345391615396</v>
      </c>
      <c r="AR46" s="8">
        <v>53.67141669581964</v>
      </c>
      <c r="AS46" s="8">
        <v>53.64936948709104</v>
      </c>
      <c r="AT46" s="8">
        <v>53.6273130257279</v>
      </c>
    </row>
    <row r="47" spans="1:46">
      <c r="A47" s="7">
        <v>37.4</v>
      </c>
      <c r="B47" s="8">
        <v>54.70090732901424</v>
      </c>
      <c r="C47" s="8">
        <v>54.67991308351</v>
      </c>
      <c r="D47" s="8">
        <v>54.65887952347873</v>
      </c>
      <c r="E47" s="8">
        <v>54.63780732869602</v>
      </c>
      <c r="F47" s="8">
        <v>54.61669718149131</v>
      </c>
      <c r="G47" s="8">
        <v>54.59554976668375</v>
      </c>
      <c r="H47" s="8">
        <v>54.57436577151835</v>
      </c>
      <c r="I47" s="8">
        <v>54.55314588560201</v>
      </c>
      <c r="J47" s="8">
        <v>54.53189080083943</v>
      </c>
      <c r="K47" s="8">
        <v>54.51060121136903</v>
      </c>
      <c r="L47" s="8">
        <v>54.48927781349893</v>
      </c>
      <c r="M47" s="8">
        <v>54.4679213056429</v>
      </c>
      <c r="N47" s="8">
        <v>54.44653238825624</v>
      </c>
      <c r="O47" s="8">
        <v>54.42511176377184</v>
      </c>
      <c r="P47" s="8">
        <v>54.40366013653598</v>
      </c>
      <c r="Q47" s="8">
        <v>54.3821782127447</v>
      </c>
      <c r="R47" s="8">
        <v>54.3606667003797</v>
      </c>
      <c r="S47" s="8">
        <v>54.33912630914457</v>
      </c>
      <c r="T47" s="8">
        <v>54.3175577504011</v>
      </c>
      <c r="U47" s="8">
        <v>54.29596173710561</v>
      </c>
      <c r="V47" s="8">
        <v>54.27433898374555</v>
      </c>
      <c r="W47" s="8">
        <v>54.25269020627583</v>
      </c>
      <c r="X47" s="8">
        <v>54.23101612205584</v>
      </c>
      <c r="Y47" s="8">
        <v>54.20931744978606</v>
      </c>
      <c r="Z47" s="8">
        <v>54.18759490944522</v>
      </c>
      <c r="AA47" s="8">
        <v>54.16584922222752</v>
      </c>
      <c r="AB47" s="8">
        <v>54.14408111047975</v>
      </c>
      <c r="AC47" s="8">
        <v>54.12229129763908</v>
      </c>
      <c r="AD47" s="8">
        <v>54.10048050817053</v>
      </c>
      <c r="AE47" s="8">
        <v>54.07864946750509</v>
      </c>
      <c r="AF47" s="8">
        <v>54.05679890197771</v>
      </c>
      <c r="AG47" s="8">
        <v>54.03492953876579</v>
      </c>
      <c r="AH47" s="8">
        <v>54.01304210582767</v>
      </c>
      <c r="AI47" s="8">
        <v>53.99113733184141</v>
      </c>
      <c r="AJ47" s="8">
        <v>53.96921594614405</v>
      </c>
      <c r="AK47" s="8">
        <v>53.94727867867081</v>
      </c>
      <c r="AL47" s="8">
        <v>53.92532625989479</v>
      </c>
      <c r="AM47" s="8">
        <v>53.90335942076673</v>
      </c>
      <c r="AN47" s="8">
        <v>53.88137889265544</v>
      </c>
      <c r="AO47" s="8">
        <v>53.85938540728801</v>
      </c>
      <c r="AP47" s="8">
        <v>53.83737969669084</v>
      </c>
      <c r="AQ47" s="8">
        <v>53.81536249313054</v>
      </c>
      <c r="AR47" s="8">
        <v>53.79333452905557</v>
      </c>
      <c r="AS47" s="8">
        <v>53.77129653703787</v>
      </c>
      <c r="AT47" s="8">
        <v>53.74924924971504</v>
      </c>
    </row>
    <row r="48" spans="1:46">
      <c r="A48" s="7">
        <v>37.5</v>
      </c>
      <c r="B48" s="8">
        <v>54.82210875294823</v>
      </c>
      <c r="C48" s="8">
        <v>54.80112285042411</v>
      </c>
      <c r="D48" s="8">
        <v>54.78009771709241</v>
      </c>
      <c r="E48" s="8">
        <v>54.75903403000616</v>
      </c>
      <c r="F48" s="8">
        <v>54.73793246875264</v>
      </c>
      <c r="G48" s="8">
        <v>54.71679371539003</v>
      </c>
      <c r="H48" s="8">
        <v>54.6956184543839</v>
      </c>
      <c r="I48" s="8">
        <v>54.6744073725438</v>
      </c>
      <c r="J48" s="8">
        <v>54.65316115895952</v>
      </c>
      <c r="K48" s="8">
        <v>54.63188050493779</v>
      </c>
      <c r="L48" s="8">
        <v>54.6105661039386</v>
      </c>
      <c r="M48" s="8">
        <v>54.58921865151157</v>
      </c>
      <c r="N48" s="8">
        <v>54.56783884523248</v>
      </c>
      <c r="O48" s="8">
        <v>54.54642738463984</v>
      </c>
      <c r="P48" s="8">
        <v>54.52498497117122</v>
      </c>
      <c r="Q48" s="8">
        <v>54.50351230809984</v>
      </c>
      <c r="R48" s="8">
        <v>54.48201010047146</v>
      </c>
      <c r="S48" s="8">
        <v>54.46047905504069</v>
      </c>
      <c r="T48" s="8">
        <v>54.43891988020805</v>
      </c>
      <c r="U48" s="8">
        <v>54.41733328595673</v>
      </c>
      <c r="V48" s="8">
        <v>54.39571998378967</v>
      </c>
      <c r="W48" s="8">
        <v>54.37408068666649</v>
      </c>
      <c r="X48" s="8">
        <v>54.35241610894092</v>
      </c>
      <c r="Y48" s="8">
        <v>54.33072696629797</v>
      </c>
      <c r="Z48" s="8">
        <v>54.30901397569158</v>
      </c>
      <c r="AA48" s="8">
        <v>54.28727785528235</v>
      </c>
      <c r="AB48" s="8">
        <v>54.26551932437516</v>
      </c>
      <c r="AC48" s="8">
        <v>54.24373910335733</v>
      </c>
      <c r="AD48" s="8">
        <v>54.22193791363694</v>
      </c>
      <c r="AE48" s="8">
        <v>54.20011647758108</v>
      </c>
      <c r="AF48" s="8">
        <v>54.17827551845454</v>
      </c>
      <c r="AG48" s="8">
        <v>54.1564157603587</v>
      </c>
      <c r="AH48" s="8">
        <v>54.13453792817045</v>
      </c>
      <c r="AI48" s="8">
        <v>54.11264274748183</v>
      </c>
      <c r="AJ48" s="8">
        <v>54.09073094453928</v>
      </c>
      <c r="AK48" s="8">
        <v>54.06880324618363</v>
      </c>
      <c r="AL48" s="8">
        <v>54.04686037979017</v>
      </c>
      <c r="AM48" s="8">
        <v>54.02490307320902</v>
      </c>
      <c r="AN48" s="8">
        <v>54.00293205470584</v>
      </c>
      <c r="AO48" s="8">
        <v>53.98094805290276</v>
      </c>
      <c r="AP48" s="8">
        <v>53.9589517967196</v>
      </c>
      <c r="AQ48" s="8">
        <v>53.93694401531558</v>
      </c>
      <c r="AR48" s="8">
        <v>53.91492543803097</v>
      </c>
      <c r="AS48" s="8">
        <v>53.89289679432974</v>
      </c>
      <c r="AT48" s="8">
        <v>53.87085881374173</v>
      </c>
    </row>
    <row r="49" spans="1:46">
      <c r="A49" s="7">
        <v>37.6</v>
      </c>
      <c r="B49" s="8">
        <v>54.94297974316619</v>
      </c>
      <c r="C49" s="8">
        <v>54.9220022836922</v>
      </c>
      <c r="D49" s="8">
        <v>54.90098567756232</v>
      </c>
      <c r="E49" s="8">
        <v>54.87993059912273</v>
      </c>
      <c r="F49" s="8">
        <v>54.85883772523437</v>
      </c>
      <c r="G49" s="8">
        <v>54.83770773521025</v>
      </c>
      <c r="H49" s="8">
        <v>54.81654131075234</v>
      </c>
      <c r="I49" s="8">
        <v>54.79533913588862</v>
      </c>
      <c r="J49" s="8">
        <v>54.77410189691002</v>
      </c>
      <c r="K49" s="8">
        <v>54.75283028230748</v>
      </c>
      <c r="L49" s="8">
        <v>54.73152498270867</v>
      </c>
      <c r="M49" s="8">
        <v>54.71018669081514</v>
      </c>
      <c r="N49" s="8">
        <v>54.68881610133916</v>
      </c>
      <c r="O49" s="8">
        <v>54.66741391094087</v>
      </c>
      <c r="P49" s="8">
        <v>54.64598081816488</v>
      </c>
      <c r="Q49" s="8">
        <v>54.62451752337792</v>
      </c>
      <c r="R49" s="8">
        <v>54.60302472870555</v>
      </c>
      <c r="S49" s="8">
        <v>54.58150313796949</v>
      </c>
      <c r="T49" s="8">
        <v>54.55995345662498</v>
      </c>
      <c r="U49" s="8">
        <v>54.53837639169797</v>
      </c>
      <c r="V49" s="8">
        <v>54.5167726517229</v>
      </c>
      <c r="W49" s="8">
        <v>54.49514294668</v>
      </c>
      <c r="X49" s="8">
        <v>54.47348798793318</v>
      </c>
      <c r="Y49" s="8">
        <v>54.4518084881679</v>
      </c>
      <c r="Z49" s="8">
        <v>54.43010516132914</v>
      </c>
      <c r="AA49" s="8">
        <v>54.4083787225596</v>
      </c>
      <c r="AB49" s="8">
        <v>54.38662988813804</v>
      </c>
      <c r="AC49" s="8">
        <v>54.36485937541772</v>
      </c>
      <c r="AD49" s="8">
        <v>54.34306790276536</v>
      </c>
      <c r="AE49" s="8">
        <v>54.32125618949973</v>
      </c>
      <c r="AF49" s="8">
        <v>54.299424955831</v>
      </c>
      <c r="AG49" s="8">
        <v>54.27757492279994</v>
      </c>
      <c r="AH49" s="8">
        <v>54.25570681221767</v>
      </c>
      <c r="AI49" s="8">
        <v>54.23382134660524</v>
      </c>
      <c r="AJ49" s="8">
        <v>54.21191924913391</v>
      </c>
      <c r="AK49" s="8">
        <v>54.19000124356527</v>
      </c>
      <c r="AL49" s="8">
        <v>54.16806805419203</v>
      </c>
      <c r="AM49" s="8">
        <v>54.14612040577857</v>
      </c>
      <c r="AN49" s="8">
        <v>54.12415902350251</v>
      </c>
      <c r="AO49" s="8">
        <v>54.10218463289569</v>
      </c>
      <c r="AP49" s="8">
        <v>54.08019795978624</v>
      </c>
      <c r="AQ49" s="8">
        <v>54.05819973024056</v>
      </c>
      <c r="AR49" s="8">
        <v>54.0361906705055</v>
      </c>
      <c r="AS49" s="8">
        <v>54.01417150695131</v>
      </c>
      <c r="AT49" s="8">
        <v>53.99214296601457</v>
      </c>
    </row>
    <row r="50" spans="1:46">
      <c r="A50" s="7">
        <v>37.7</v>
      </c>
      <c r="B50" s="8">
        <v>55.06352153695515</v>
      </c>
      <c r="C50" s="8">
        <v>55.04255262086372</v>
      </c>
      <c r="D50" s="8">
        <v>55.02154464270198</v>
      </c>
      <c r="E50" s="8">
        <v>55.0004982741247</v>
      </c>
      <c r="F50" s="8">
        <v>54.97941418928234</v>
      </c>
      <c r="G50" s="8">
        <v>54.95829306475825</v>
      </c>
      <c r="H50" s="8">
        <v>54.93713557950657</v>
      </c>
      <c r="I50" s="8">
        <v>54.91594241478944</v>
      </c>
      <c r="J50" s="8">
        <v>54.8947142541148</v>
      </c>
      <c r="K50" s="8">
        <v>54.87345178317337</v>
      </c>
      <c r="L50" s="8">
        <v>54.85215568977666</v>
      </c>
      <c r="M50" s="8">
        <v>54.83082666379374</v>
      </c>
      <c r="N50" s="8">
        <v>54.80946539708933</v>
      </c>
      <c r="O50" s="8">
        <v>54.78807258346089</v>
      </c>
      <c r="P50" s="8">
        <v>54.76664891857634</v>
      </c>
      <c r="Q50" s="8">
        <v>54.74519509991139</v>
      </c>
      <c r="R50" s="8">
        <v>54.72371182668748</v>
      </c>
      <c r="S50" s="8">
        <v>54.70219979980928</v>
      </c>
      <c r="T50" s="8">
        <v>54.6806597218025</v>
      </c>
      <c r="U50" s="8">
        <v>54.65909229675187</v>
      </c>
      <c r="V50" s="8">
        <v>54.63749823023899</v>
      </c>
      <c r="W50" s="8">
        <v>54.61587822928054</v>
      </c>
      <c r="X50" s="8">
        <v>54.59423300226646</v>
      </c>
      <c r="Y50" s="8">
        <v>54.57256325889833</v>
      </c>
      <c r="Z50" s="8">
        <v>54.55086971012786</v>
      </c>
      <c r="AA50" s="8">
        <v>54.52915306809562</v>
      </c>
      <c r="AB50" s="8">
        <v>54.50741404606981</v>
      </c>
      <c r="AC50" s="8">
        <v>54.48565335838529</v>
      </c>
      <c r="AD50" s="8">
        <v>54.46387172038282</v>
      </c>
      <c r="AE50" s="8">
        <v>54.44206984834845</v>
      </c>
      <c r="AF50" s="8">
        <v>54.42024845945308</v>
      </c>
      <c r="AG50" s="8">
        <v>54.39840827169244</v>
      </c>
      <c r="AH50" s="8">
        <v>54.37655000382682</v>
      </c>
      <c r="AI50" s="8">
        <v>54.35467437532192</v>
      </c>
      <c r="AJ50" s="8">
        <v>54.33278210628873</v>
      </c>
      <c r="AK50" s="8">
        <v>54.31087391742484</v>
      </c>
      <c r="AL50" s="8">
        <v>54.28895052995521</v>
      </c>
      <c r="AM50" s="8">
        <v>54.2670126655736</v>
      </c>
      <c r="AN50" s="8">
        <v>54.24506104638431</v>
      </c>
      <c r="AO50" s="8">
        <v>54.22309639484376</v>
      </c>
      <c r="AP50" s="8">
        <v>54.20111943370304</v>
      </c>
      <c r="AQ50" s="8">
        <v>54.17913088595022</v>
      </c>
      <c r="AR50" s="8">
        <v>54.15713147475324</v>
      </c>
      <c r="AS50" s="8">
        <v>54.13512192340301</v>
      </c>
      <c r="AT50" s="8">
        <v>54.11310295525707</v>
      </c>
    </row>
    <row r="51" spans="1:46">
      <c r="A51" s="7">
        <v>37.8</v>
      </c>
      <c r="B51" s="8">
        <v>55.18373537198475</v>
      </c>
      <c r="C51" s="8">
        <v>55.16277509987194</v>
      </c>
      <c r="D51" s="8">
        <v>55.14177585070978</v>
      </c>
      <c r="E51" s="8">
        <v>55.12073829347723</v>
      </c>
      <c r="F51" s="8">
        <v>55.09966309962954</v>
      </c>
      <c r="G51" s="8">
        <v>55.07855094303611</v>
      </c>
      <c r="H51" s="8">
        <v>55.05740249991883</v>
      </c>
      <c r="I51" s="8">
        <v>55.03621844878968</v>
      </c>
      <c r="J51" s="8">
        <v>55.01499947038911</v>
      </c>
      <c r="K51" s="8">
        <v>54.9937462476235</v>
      </c>
      <c r="L51" s="8">
        <v>54.97245946550361</v>
      </c>
      <c r="M51" s="8">
        <v>54.95113981108211</v>
      </c>
      <c r="N51" s="8">
        <v>54.92978797339168</v>
      </c>
      <c r="O51" s="8">
        <v>54.90840464338303</v>
      </c>
      <c r="P51" s="8">
        <v>54.88699051386279</v>
      </c>
      <c r="Q51" s="8">
        <v>54.86554627943177</v>
      </c>
      <c r="R51" s="8">
        <v>54.84407263642284</v>
      </c>
      <c r="S51" s="8">
        <v>54.82257028283941</v>
      </c>
      <c r="T51" s="8">
        <v>54.80103991829344</v>
      </c>
      <c r="U51" s="8">
        <v>54.77948224394407</v>
      </c>
      <c r="V51" s="8">
        <v>54.75789796243583</v>
      </c>
      <c r="W51" s="8">
        <v>54.73628777783757</v>
      </c>
      <c r="X51" s="8">
        <v>54.71465239558086</v>
      </c>
      <c r="Y51" s="8">
        <v>54.69299252239902</v>
      </c>
      <c r="Z51" s="8">
        <v>54.67130886626617</v>
      </c>
      <c r="AA51" s="8">
        <v>54.64960213633623</v>
      </c>
      <c r="AB51" s="8">
        <v>54.62787304288236</v>
      </c>
      <c r="AC51" s="8">
        <v>54.6061222972365</v>
      </c>
      <c r="AD51" s="8">
        <v>54.58435061172893</v>
      </c>
      <c r="AE51" s="8">
        <v>54.56255869962829</v>
      </c>
      <c r="AF51" s="8">
        <v>54.54074727508166</v>
      </c>
      <c r="AG51" s="8">
        <v>54.51891705305476</v>
      </c>
      <c r="AH51" s="8">
        <v>54.49706874927262</v>
      </c>
      <c r="AI51" s="8">
        <v>54.47520308016021</v>
      </c>
      <c r="AJ51" s="8">
        <v>54.45332076278374</v>
      </c>
      <c r="AK51" s="8">
        <v>54.43142251479157</v>
      </c>
      <c r="AL51" s="8">
        <v>54.40950905435596</v>
      </c>
      <c r="AM51" s="8">
        <v>54.38758110011484</v>
      </c>
      <c r="AN51" s="8">
        <v>54.36563937111387</v>
      </c>
      <c r="AO51" s="8">
        <v>54.3436845867488</v>
      </c>
      <c r="AP51" s="8">
        <v>54.32171746670818</v>
      </c>
      <c r="AQ51" s="8">
        <v>54.29973873091625</v>
      </c>
      <c r="AR51" s="8">
        <v>54.27774909947639</v>
      </c>
      <c r="AS51" s="8">
        <v>54.25574929261457</v>
      </c>
      <c r="AT51" s="8">
        <v>54.23374003062337</v>
      </c>
    </row>
    <row r="52" spans="1:46">
      <c r="A52" s="7">
        <v>37.9</v>
      </c>
      <c r="B52" s="8">
        <v>55.30362248622652</v>
      </c>
      <c r="C52" s="8">
        <v>55.28267095895304</v>
      </c>
      <c r="D52" s="8">
        <v>55.26168054008814</v>
      </c>
      <c r="E52" s="8">
        <v>55.24065189595031</v>
      </c>
      <c r="F52" s="8">
        <v>55.21958569531494</v>
      </c>
      <c r="G52" s="8">
        <v>55.19848260935302</v>
      </c>
      <c r="H52" s="8">
        <v>55.1773433115695</v>
      </c>
      <c r="I52" s="8">
        <v>55.1561684777418</v>
      </c>
      <c r="J52" s="8">
        <v>55.13495878585834</v>
      </c>
      <c r="K52" s="8">
        <v>55.11371491605688</v>
      </c>
      <c r="L52" s="8">
        <v>55.09243755056291</v>
      </c>
      <c r="M52" s="8">
        <v>55.07112737362817</v>
      </c>
      <c r="N52" s="8">
        <v>55.04978507146909</v>
      </c>
      <c r="O52" s="8">
        <v>55.02841133220517</v>
      </c>
      <c r="P52" s="8">
        <v>55.00700684579749</v>
      </c>
      <c r="Q52" s="8">
        <v>54.9855723039874</v>
      </c>
      <c r="R52" s="8">
        <v>54.96410840023506</v>
      </c>
      <c r="S52" s="8">
        <v>54.94261582965805</v>
      </c>
      <c r="T52" s="8">
        <v>54.92109528897033</v>
      </c>
      <c r="U52" s="8">
        <v>54.89954747642094</v>
      </c>
      <c r="V52" s="8">
        <v>54.87797309173312</v>
      </c>
      <c r="W52" s="8">
        <v>54.85637283604323</v>
      </c>
      <c r="X52" s="8">
        <v>54.83474741184011</v>
      </c>
      <c r="Y52" s="8">
        <v>54.81309752290441</v>
      </c>
      <c r="Z52" s="8">
        <v>54.79142387424797</v>
      </c>
      <c r="AA52" s="8">
        <v>54.76972717205364</v>
      </c>
      <c r="AB52" s="8">
        <v>54.74800812361497</v>
      </c>
      <c r="AC52" s="8">
        <v>54.72626743727627</v>
      </c>
      <c r="AD52" s="8">
        <v>54.7045058223727</v>
      </c>
      <c r="AE52" s="8">
        <v>54.68272398917077</v>
      </c>
      <c r="AF52" s="8">
        <v>54.66092264880881</v>
      </c>
      <c r="AG52" s="8">
        <v>54.63910251323786</v>
      </c>
      <c r="AH52" s="8">
        <v>54.61726429516263</v>
      </c>
      <c r="AI52" s="8">
        <v>54.59540870798268</v>
      </c>
      <c r="AJ52" s="8">
        <v>54.57353646573407</v>
      </c>
      <c r="AK52" s="8">
        <v>54.55164828303099</v>
      </c>
      <c r="AL52" s="8">
        <v>54.52974487500779</v>
      </c>
      <c r="AM52" s="8">
        <v>54.50782695726124</v>
      </c>
      <c r="AN52" s="8">
        <v>54.48589524579304</v>
      </c>
      <c r="AO52" s="8">
        <v>54.46395045695284</v>
      </c>
      <c r="AP52" s="8">
        <v>54.44199330738112</v>
      </c>
      <c r="AQ52" s="8">
        <v>54.42002451395278</v>
      </c>
      <c r="AR52" s="8">
        <v>54.39804479372079</v>
      </c>
      <c r="AS52" s="8">
        <v>54.37605486386036</v>
      </c>
      <c r="AT52" s="8">
        <v>54.35405544161317</v>
      </c>
    </row>
    <row r="53" spans="1:46">
      <c r="A53" s="7">
        <v>38</v>
      </c>
      <c r="B53" s="8">
        <v>55.42318411787399</v>
      </c>
      <c r="C53" s="8">
        <v>55.40224143656633</v>
      </c>
      <c r="D53" s="8">
        <v>55.38125994956363</v>
      </c>
      <c r="E53" s="8">
        <v>55.36024032053907</v>
      </c>
      <c r="F53" s="8">
        <v>55.33918321560365</v>
      </c>
      <c r="G53" s="8">
        <v>55.31808930324507</v>
      </c>
      <c r="H53" s="8">
        <v>55.29695925426682</v>
      </c>
      <c r="I53" s="8">
        <v>55.2757937417271</v>
      </c>
      <c r="J53" s="8">
        <v>55.25459344087773</v>
      </c>
      <c r="K53" s="8">
        <v>55.23335902910313</v>
      </c>
      <c r="L53" s="8">
        <v>55.21209118585924</v>
      </c>
      <c r="M53" s="8">
        <v>55.19079059261224</v>
      </c>
      <c r="N53" s="8">
        <v>55.16945793277771</v>
      </c>
      <c r="O53" s="8">
        <v>55.1480938916595</v>
      </c>
      <c r="P53" s="8">
        <v>55.1266991563887</v>
      </c>
      <c r="Q53" s="8">
        <v>55.1052744158627</v>
      </c>
      <c r="R53" s="8">
        <v>55.08382036068437</v>
      </c>
      <c r="S53" s="8">
        <v>55.06233768310113</v>
      </c>
      <c r="T53" s="8">
        <v>55.04082707694428</v>
      </c>
      <c r="U53" s="8">
        <v>55.01928923756839</v>
      </c>
      <c r="V53" s="8">
        <v>54.99772486179072</v>
      </c>
      <c r="W53" s="8">
        <v>54.97613464783074</v>
      </c>
      <c r="X53" s="8">
        <v>54.95451929524995</v>
      </c>
      <c r="Y53" s="8">
        <v>54.93287950489164</v>
      </c>
      <c r="Z53" s="8">
        <v>54.91121597882091</v>
      </c>
      <c r="AA53" s="8">
        <v>54.88952942026475</v>
      </c>
      <c r="AB53" s="8">
        <v>54.8678205335524</v>
      </c>
      <c r="AC53" s="8">
        <v>54.84609002405577</v>
      </c>
      <c r="AD53" s="8">
        <v>54.82433859813022</v>
      </c>
      <c r="AE53" s="8">
        <v>54.8025669630552</v>
      </c>
      <c r="AF53" s="8">
        <v>54.78077582697549</v>
      </c>
      <c r="AG53" s="8">
        <v>54.75896589884242</v>
      </c>
      <c r="AH53" s="8">
        <v>54.73713788835536</v>
      </c>
      <c r="AI53" s="8">
        <v>54.71529250590338</v>
      </c>
      <c r="AJ53" s="8">
        <v>54.69343046250734</v>
      </c>
      <c r="AK53" s="8">
        <v>54.67155246976191</v>
      </c>
      <c r="AL53" s="8">
        <v>54.64965923977832</v>
      </c>
      <c r="AM53" s="8">
        <v>54.62775148512677</v>
      </c>
      <c r="AN53" s="8">
        <v>54.60582991877967</v>
      </c>
      <c r="AO53" s="8">
        <v>54.58389525405491</v>
      </c>
      <c r="AP53" s="8">
        <v>54.56194820455931</v>
      </c>
      <c r="AQ53" s="8">
        <v>54.53998948413268</v>
      </c>
      <c r="AR53" s="8">
        <v>54.51801980679182</v>
      </c>
      <c r="AS53" s="8">
        <v>54.49603988667523</v>
      </c>
      <c r="AT53" s="8">
        <v>54.47405043798785</v>
      </c>
    </row>
    <row r="54" spans="1:46">
      <c r="A54" s="7">
        <v>38.1</v>
      </c>
      <c r="B54" s="8">
        <v>55.54242150526415</v>
      </c>
      <c r="C54" s="8">
        <v>55.52148777131533</v>
      </c>
      <c r="D54" s="8">
        <v>55.50051531800781</v>
      </c>
      <c r="E54" s="8">
        <v>55.47950480638473</v>
      </c>
      <c r="F54" s="8">
        <v>55.45845689990766</v>
      </c>
      <c r="G54" s="8">
        <v>55.43737226439627</v>
      </c>
      <c r="H54" s="8">
        <v>55.4162515679678</v>
      </c>
      <c r="I54" s="8">
        <v>55.39509548097644</v>
      </c>
      <c r="J54" s="8">
        <v>55.37390467595282</v>
      </c>
      <c r="K54" s="8">
        <v>55.3526798275433</v>
      </c>
      <c r="L54" s="8">
        <v>55.33142161244946</v>
      </c>
      <c r="M54" s="8">
        <v>55.31013070936743</v>
      </c>
      <c r="N54" s="8">
        <v>55.28880779892733</v>
      </c>
      <c r="O54" s="8">
        <v>55.26745356363272</v>
      </c>
      <c r="P54" s="8">
        <v>55.24606868779998</v>
      </c>
      <c r="Q54" s="8">
        <v>55.22465385749808</v>
      </c>
      <c r="R54" s="8">
        <v>55.20320976048788</v>
      </c>
      <c r="S54" s="8">
        <v>55.1817370861621</v>
      </c>
      <c r="T54" s="8">
        <v>55.16023652548481</v>
      </c>
      <c r="U54" s="8">
        <v>55.13870877093135</v>
      </c>
      <c r="V54" s="8">
        <v>55.11715451642843</v>
      </c>
      <c r="W54" s="8">
        <v>55.09557445729396</v>
      </c>
      <c r="X54" s="8">
        <v>55.07396929017747</v>
      </c>
      <c r="Y54" s="8">
        <v>55.05233971300014</v>
      </c>
      <c r="Z54" s="8">
        <v>55.03068642489552</v>
      </c>
      <c r="AA54" s="8">
        <v>55.00901012615002</v>
      </c>
      <c r="AB54" s="8">
        <v>54.98731151814377</v>
      </c>
      <c r="AC54" s="8">
        <v>54.96559130329148</v>
      </c>
      <c r="AD54" s="8">
        <v>54.94385018498367</v>
      </c>
      <c r="AE54" s="8">
        <v>54.92208886752782</v>
      </c>
      <c r="AF54" s="8">
        <v>54.90030805609025</v>
      </c>
      <c r="AG54" s="8">
        <v>54.87850845663744</v>
      </c>
      <c r="AH54" s="8">
        <v>54.85669077587833</v>
      </c>
      <c r="AI54" s="8">
        <v>54.83485572120632</v>
      </c>
      <c r="AJ54" s="8">
        <v>54.8130040006417</v>
      </c>
      <c r="AK54" s="8">
        <v>54.79113632277463</v>
      </c>
      <c r="AL54" s="8">
        <v>54.76925339670746</v>
      </c>
      <c r="AM54" s="8">
        <v>54.74735593199858</v>
      </c>
      <c r="AN54" s="8">
        <v>54.72544463860551</v>
      </c>
      <c r="AO54" s="8">
        <v>54.70352022682869</v>
      </c>
      <c r="AP54" s="8">
        <v>54.68158340725565</v>
      </c>
      <c r="AQ54" s="8">
        <v>54.6596348907052</v>
      </c>
      <c r="AR54" s="8">
        <v>54.63767538817218</v>
      </c>
      <c r="AS54" s="8">
        <v>54.61570561077233</v>
      </c>
      <c r="AT54" s="8">
        <v>54.59372626968769</v>
      </c>
    </row>
    <row r="55" spans="1:46">
      <c r="A55" s="7">
        <v>38.2</v>
      </c>
      <c r="B55" s="8">
        <v>55.66133588680004</v>
      </c>
      <c r="C55" s="8">
        <v>55.64041120187051</v>
      </c>
      <c r="D55" s="8">
        <v>55.61944788436023</v>
      </c>
      <c r="E55" s="8">
        <v>55.5984465926971</v>
      </c>
      <c r="F55" s="8">
        <v>55.57740798770838</v>
      </c>
      <c r="G55" s="8">
        <v>55.5563327325608</v>
      </c>
      <c r="H55" s="8">
        <v>55.53522149270042</v>
      </c>
      <c r="I55" s="8">
        <v>55.51407493579252</v>
      </c>
      <c r="J55" s="8">
        <v>55.49289373166176</v>
      </c>
      <c r="K55" s="8">
        <v>55.47167855223159</v>
      </c>
      <c r="L55" s="8">
        <v>55.4504300714645</v>
      </c>
      <c r="M55" s="8">
        <v>55.4291489653018</v>
      </c>
      <c r="N55" s="8">
        <v>55.40783591160335</v>
      </c>
      <c r="O55" s="8">
        <v>55.38649159008767</v>
      </c>
      <c r="P55" s="8">
        <v>55.36511668227187</v>
      </c>
      <c r="Q55" s="8">
        <v>55.34371187141152</v>
      </c>
      <c r="R55" s="8">
        <v>55.32227784244107</v>
      </c>
      <c r="S55" s="8">
        <v>55.30081528191353</v>
      </c>
      <c r="T55" s="8">
        <v>55.27932487794108</v>
      </c>
      <c r="U55" s="8">
        <v>55.25780732013519</v>
      </c>
      <c r="V55" s="8">
        <v>55.23626329954719</v>
      </c>
      <c r="W55" s="8">
        <v>55.21469350860868</v>
      </c>
      <c r="X55" s="8">
        <v>55.1930986410723</v>
      </c>
      <c r="Y55" s="8">
        <v>55.1714793919524</v>
      </c>
      <c r="Z55" s="8">
        <v>55.14983645746611</v>
      </c>
      <c r="AA55" s="8">
        <v>55.12817053497449</v>
      </c>
      <c r="AB55" s="8">
        <v>55.10648232292343</v>
      </c>
      <c r="AC55" s="8">
        <v>55.08477252078561</v>
      </c>
      <c r="AD55" s="8">
        <v>55.06304182900161</v>
      </c>
      <c r="AE55" s="8">
        <v>55.04129094892203</v>
      </c>
      <c r="AF55" s="8">
        <v>55.0195205827494</v>
      </c>
      <c r="AG55" s="8">
        <v>54.99773143348038</v>
      </c>
      <c r="AH55" s="8">
        <v>54.97592420484816</v>
      </c>
      <c r="AI55" s="8">
        <v>54.95409960126521</v>
      </c>
      <c r="AJ55" s="8">
        <v>54.93225832776607</v>
      </c>
      <c r="AK55" s="8">
        <v>54.91040108995053</v>
      </c>
      <c r="AL55" s="8">
        <v>54.88852859392705</v>
      </c>
      <c r="AM55" s="8">
        <v>54.86664154625643</v>
      </c>
      <c r="AN55" s="8">
        <v>54.84474065389556</v>
      </c>
      <c r="AO55" s="8">
        <v>54.8228266241419</v>
      </c>
      <c r="AP55" s="8">
        <v>54.80090016457775</v>
      </c>
      <c r="AQ55" s="8">
        <v>54.77896198301507</v>
      </c>
      <c r="AR55" s="8">
        <v>54.75701278744069</v>
      </c>
      <c r="AS55" s="8">
        <v>54.73505328596158</v>
      </c>
      <c r="AT55" s="8">
        <v>54.71308418675057</v>
      </c>
    </row>
    <row r="56" spans="1:46">
      <c r="A56" s="7">
        <v>38.3</v>
      </c>
      <c r="B56" s="8">
        <v>55.77992850087396</v>
      </c>
      <c r="C56" s="8">
        <v>55.75901296689248</v>
      </c>
      <c r="D56" s="8">
        <v>55.73805888755123</v>
      </c>
      <c r="E56" s="8">
        <v>55.71706691867768</v>
      </c>
      <c r="F56" s="8">
        <v>55.69603771847972</v>
      </c>
      <c r="G56" s="8">
        <v>55.67497194748602</v>
      </c>
      <c r="H56" s="8">
        <v>55.65387026848647</v>
      </c>
      <c r="I56" s="8">
        <v>55.63273334647261</v>
      </c>
      <c r="J56" s="8">
        <v>55.61156184857788</v>
      </c>
      <c r="K56" s="8">
        <v>55.59035644401818</v>
      </c>
      <c r="L56" s="8">
        <v>55.5691178040319</v>
      </c>
      <c r="M56" s="8">
        <v>55.54784660182055</v>
      </c>
      <c r="N56" s="8">
        <v>55.52654351248898</v>
      </c>
      <c r="O56" s="8">
        <v>55.50520921298586</v>
      </c>
      <c r="P56" s="8">
        <v>55.48384438204405</v>
      </c>
      <c r="Q56" s="8">
        <v>55.46244970012103</v>
      </c>
      <c r="R56" s="8">
        <v>55.4410258493398</v>
      </c>
      <c r="S56" s="8">
        <v>55.41957351342899</v>
      </c>
      <c r="T56" s="8">
        <v>55.398093377664</v>
      </c>
      <c r="U56" s="8">
        <v>55.37658612880756</v>
      </c>
      <c r="V56" s="8">
        <v>55.35505245505076</v>
      </c>
      <c r="W56" s="8">
        <v>55.33349304595394</v>
      </c>
      <c r="X56" s="8">
        <v>55.31190859238801</v>
      </c>
      <c r="Y56" s="8">
        <v>55.29029978647555</v>
      </c>
      <c r="Z56" s="8">
        <v>55.26866732153236</v>
      </c>
      <c r="AA56" s="8">
        <v>55.24701189200888</v>
      </c>
      <c r="AB56" s="8">
        <v>55.22533419343211</v>
      </c>
      <c r="AC56" s="8">
        <v>55.20363492234727</v>
      </c>
      <c r="AD56" s="8">
        <v>55.18191477626014</v>
      </c>
      <c r="AE56" s="8">
        <v>55.16017445357915</v>
      </c>
      <c r="AF56" s="8">
        <v>55.13841465355794</v>
      </c>
      <c r="AG56" s="8">
        <v>55.11663607623793</v>
      </c>
      <c r="AH56" s="8">
        <v>55.09483942239139</v>
      </c>
      <c r="AI56" s="8">
        <v>55.07302539346432</v>
      </c>
      <c r="AJ56" s="8">
        <v>55.05119469152009</v>
      </c>
      <c r="AK56" s="8">
        <v>55.02934801918275</v>
      </c>
      <c r="AL56" s="8">
        <v>55.00748607958116</v>
      </c>
      <c r="AM56" s="8">
        <v>54.98560957629276</v>
      </c>
      <c r="AN56" s="8">
        <v>54.96371921328827</v>
      </c>
      <c r="AO56" s="8">
        <v>54.94181569487624</v>
      </c>
      <c r="AP56" s="8">
        <v>54.91989972564784</v>
      </c>
      <c r="AQ56" s="8">
        <v>54.89797201042225</v>
      </c>
      <c r="AR56" s="8">
        <v>54.87603325419212</v>
      </c>
      <c r="AS56" s="8">
        <v>54.8540841620694</v>
      </c>
      <c r="AT56" s="8">
        <v>54.83212543923165</v>
      </c>
    </row>
    <row r="57" spans="1:46">
      <c r="A57" s="7">
        <v>38.4</v>
      </c>
      <c r="B57" s="8">
        <v>55.89820058579258</v>
      </c>
      <c r="C57" s="8">
        <v>55.87729430495693</v>
      </c>
      <c r="D57" s="8">
        <v>55.8563495664269</v>
      </c>
      <c r="E57" s="8">
        <v>55.8353670234444</v>
      </c>
      <c r="F57" s="8">
        <v>55.81434733161264</v>
      </c>
      <c r="G57" s="8">
        <v>55.7932911488371</v>
      </c>
      <c r="H57" s="8">
        <v>55.77219913526636</v>
      </c>
      <c r="I57" s="8">
        <v>55.75107195323298</v>
      </c>
      <c r="J57" s="8">
        <v>55.72991026719438</v>
      </c>
      <c r="K57" s="8">
        <v>55.7087147436736</v>
      </c>
      <c r="L57" s="8">
        <v>55.68748605120002</v>
      </c>
      <c r="M57" s="8">
        <v>55.66622486025046</v>
      </c>
      <c r="N57" s="8">
        <v>55.64493184318962</v>
      </c>
      <c r="O57" s="8">
        <v>55.62360767421139</v>
      </c>
      <c r="P57" s="8">
        <v>55.60225302927939</v>
      </c>
      <c r="Q57" s="8">
        <v>55.5808685860682</v>
      </c>
      <c r="R57" s="8">
        <v>55.55945502390425</v>
      </c>
      <c r="S57" s="8">
        <v>55.53801302370691</v>
      </c>
      <c r="T57" s="8">
        <v>55.5165432679298</v>
      </c>
      <c r="U57" s="8">
        <v>55.49504644050198</v>
      </c>
      <c r="V57" s="8">
        <v>55.4735232267692</v>
      </c>
      <c r="W57" s="8">
        <v>55.45197431343574</v>
      </c>
      <c r="X57" s="8">
        <v>55.43040038850562</v>
      </c>
      <c r="Y57" s="8">
        <v>55.40880214122463</v>
      </c>
      <c r="Z57" s="8">
        <v>55.38718026202208</v>
      </c>
      <c r="AA57" s="8">
        <v>55.36553544245287</v>
      </c>
      <c r="AB57" s="8">
        <v>55.34386837513969</v>
      </c>
      <c r="AC57" s="8">
        <v>55.32217975371545</v>
      </c>
      <c r="AD57" s="8">
        <v>55.3004702727657</v>
      </c>
      <c r="AE57" s="8">
        <v>55.27874062777147</v>
      </c>
      <c r="AF57" s="8">
        <v>55.25699151505217</v>
      </c>
      <c r="AG57" s="8">
        <v>55.23522363170866</v>
      </c>
      <c r="AH57" s="8">
        <v>55.21343767556674</v>
      </c>
      <c r="AI57" s="8">
        <v>55.19163434512065</v>
      </c>
      <c r="AJ57" s="8">
        <v>55.16981433947684</v>
      </c>
      <c r="AK57" s="8">
        <v>55.14797835829815</v>
      </c>
      <c r="AL57" s="8">
        <v>55.12612710174797</v>
      </c>
      <c r="AM57" s="8">
        <v>55.1042612704349</v>
      </c>
      <c r="AN57" s="8">
        <v>55.08238156535744</v>
      </c>
      <c r="AO57" s="8">
        <v>55.06048868784927</v>
      </c>
      <c r="AP57" s="8">
        <v>55.03858333952454</v>
      </c>
      <c r="AQ57" s="8">
        <v>55.0166662222235</v>
      </c>
      <c r="AR57" s="8">
        <v>54.99473803795847</v>
      </c>
      <c r="AS57" s="8">
        <v>54.97279948886023</v>
      </c>
      <c r="AT57" s="8">
        <v>54.95085127712441</v>
      </c>
    </row>
    <row r="58" spans="1:46">
      <c r="A58" s="7">
        <v>38.5</v>
      </c>
      <c r="B58" s="8">
        <v>56.01615337970215</v>
      </c>
      <c r="C58" s="8">
        <v>55.9952564544798</v>
      </c>
      <c r="D58" s="8">
        <v>55.97432115967436</v>
      </c>
      <c r="E58" s="8">
        <v>55.95334814595681</v>
      </c>
      <c r="F58" s="8">
        <v>55.93233806634037</v>
      </c>
      <c r="G58" s="8">
        <v>55.91129157612198</v>
      </c>
      <c r="H58" s="8">
        <v>55.89020933282371</v>
      </c>
      <c r="I58" s="8">
        <v>55.86909199613396</v>
      </c>
      <c r="J58" s="8">
        <v>55.84794022784885</v>
      </c>
      <c r="K58" s="8">
        <v>55.8267546918134</v>
      </c>
      <c r="L58" s="8">
        <v>55.80553605386295</v>
      </c>
      <c r="M58" s="8">
        <v>55.78428498176433</v>
      </c>
      <c r="N58" s="8">
        <v>55.76300214515721</v>
      </c>
      <c r="O58" s="8">
        <v>55.74168821549542</v>
      </c>
      <c r="P58" s="8">
        <v>55.72034386598845</v>
      </c>
      <c r="Q58" s="8">
        <v>55.69896977154267</v>
      </c>
      <c r="R58" s="8">
        <v>55.67756660870305</v>
      </c>
      <c r="S58" s="8">
        <v>55.65613505559462</v>
      </c>
      <c r="T58" s="8">
        <v>55.6346757918641</v>
      </c>
      <c r="U58" s="8">
        <v>55.61318949862168</v>
      </c>
      <c r="V58" s="8">
        <v>55.59167685838299</v>
      </c>
      <c r="W58" s="8">
        <v>55.57013855501076</v>
      </c>
      <c r="X58" s="8">
        <v>55.5485752736572</v>
      </c>
      <c r="Y58" s="8">
        <v>55.52698770070609</v>
      </c>
      <c r="Z58" s="8">
        <v>55.50537652371509</v>
      </c>
      <c r="AA58" s="8">
        <v>55.48374243135836</v>
      </c>
      <c r="AB58" s="8">
        <v>55.46208611336906</v>
      </c>
      <c r="AC58" s="8">
        <v>55.44040826048237</v>
      </c>
      <c r="AD58" s="8">
        <v>55.41870956437832</v>
      </c>
      <c r="AE58" s="8">
        <v>55.39699071762524</v>
      </c>
      <c r="AF58" s="8">
        <v>55.37525241362274</v>
      </c>
      <c r="AG58" s="8">
        <v>55.35349534654578</v>
      </c>
      <c r="AH58" s="8">
        <v>55.33172021128818</v>
      </c>
      <c r="AI58" s="8">
        <v>55.30992770340668</v>
      </c>
      <c r="AJ58" s="8">
        <v>55.28811851906534</v>
      </c>
      <c r="AK58" s="8">
        <v>55.2662933549799</v>
      </c>
      <c r="AL58" s="8">
        <v>55.24445290836265</v>
      </c>
      <c r="AM58" s="8">
        <v>55.22259787686728</v>
      </c>
      <c r="AN58" s="8">
        <v>55.20072895853424</v>
      </c>
      <c r="AO58" s="8">
        <v>55.17884685173646</v>
      </c>
      <c r="AP58" s="8">
        <v>55.15695225512484</v>
      </c>
      <c r="AQ58" s="8">
        <v>55.13504586757445</v>
      </c>
      <c r="AR58" s="8">
        <v>55.11312838813117</v>
      </c>
      <c r="AS58" s="8">
        <v>55.09120051595804</v>
      </c>
      <c r="AT58" s="8">
        <v>55.06926295028253</v>
      </c>
    </row>
    <row r="59" spans="1:46">
      <c r="A59" s="7">
        <v>38.6</v>
      </c>
      <c r="B59" s="8">
        <v>56.1337881205155</v>
      </c>
      <c r="C59" s="8">
        <v>56.11290065364415</v>
      </c>
      <c r="D59" s="8">
        <v>56.09197490574843</v>
      </c>
      <c r="E59" s="8">
        <v>56.07101152494281</v>
      </c>
      <c r="F59" s="8">
        <v>56.05001116166499</v>
      </c>
      <c r="G59" s="8">
        <v>56.02897446861812</v>
      </c>
      <c r="H59" s="8">
        <v>56.00790210071227</v>
      </c>
      <c r="I59" s="8">
        <v>55.98679471500635</v>
      </c>
      <c r="J59" s="8">
        <v>55.96565297064988</v>
      </c>
      <c r="K59" s="8">
        <v>55.94447752882469</v>
      </c>
      <c r="L59" s="8">
        <v>55.92326905268666</v>
      </c>
      <c r="M59" s="8">
        <v>55.90202820730749</v>
      </c>
      <c r="N59" s="8">
        <v>55.88075565961655</v>
      </c>
      <c r="O59" s="8">
        <v>55.85945207834251</v>
      </c>
      <c r="P59" s="8">
        <v>55.83811813395535</v>
      </c>
      <c r="Q59" s="8">
        <v>55.81675449860824</v>
      </c>
      <c r="R59" s="8">
        <v>55.79536184607943</v>
      </c>
      <c r="S59" s="8">
        <v>55.77394085171434</v>
      </c>
      <c r="T59" s="8">
        <v>55.75249219236774</v>
      </c>
      <c r="U59" s="8">
        <v>55.73101654634574</v>
      </c>
      <c r="V59" s="8">
        <v>55.7095145933484</v>
      </c>
      <c r="W59" s="8">
        <v>55.68798701441201</v>
      </c>
      <c r="X59" s="8">
        <v>55.66643449185155</v>
      </c>
      <c r="Y59" s="8">
        <v>55.6448577092035</v>
      </c>
      <c r="Z59" s="8">
        <v>55.62325735116868</v>
      </c>
      <c r="AA59" s="8">
        <v>55.60163410355499</v>
      </c>
      <c r="AB59" s="8">
        <v>55.57998865322089</v>
      </c>
      <c r="AC59" s="8">
        <v>55.55832168801837</v>
      </c>
      <c r="AD59" s="8">
        <v>55.53663389673654</v>
      </c>
      <c r="AE59" s="8">
        <v>55.51492596904541</v>
      </c>
      <c r="AF59" s="8">
        <v>55.49319859543952</v>
      </c>
      <c r="AG59" s="8">
        <v>55.47145246718215</v>
      </c>
      <c r="AH59" s="8">
        <v>55.44968827624948</v>
      </c>
      <c r="AI59" s="8">
        <v>55.42790671527518</v>
      </c>
      <c r="AJ59" s="8">
        <v>55.40610847749504</v>
      </c>
      <c r="AK59" s="8">
        <v>55.38429425669198</v>
      </c>
      <c r="AL59" s="8">
        <v>55.3624647471412</v>
      </c>
      <c r="AM59" s="8">
        <v>55.34062064355566</v>
      </c>
      <c r="AN59" s="8">
        <v>55.31876264103178</v>
      </c>
      <c r="AO59" s="8">
        <v>55.29689143499537</v>
      </c>
      <c r="AP59" s="8">
        <v>55.27500772114801</v>
      </c>
      <c r="AQ59" s="8">
        <v>55.25311219541342</v>
      </c>
      <c r="AR59" s="8">
        <v>55.2312055538845</v>
      </c>
      <c r="AS59" s="8">
        <v>55.20928849277023</v>
      </c>
      <c r="AT59" s="8">
        <v>55.18736170834333</v>
      </c>
    </row>
    <row r="62" spans="1:46">
      <c r="A62" s="7" t="s">
        <v>3</v>
      </c>
    </row>
    <row r="63" spans="1:46">
      <c r="B63" s="7">
        <v>125.5</v>
      </c>
      <c r="C63" s="7">
        <v>125.6</v>
      </c>
      <c r="D63" s="7">
        <v>125.7</v>
      </c>
      <c r="E63" s="7">
        <v>125.8</v>
      </c>
      <c r="F63" s="7">
        <v>125.9</v>
      </c>
      <c r="G63" s="7">
        <v>126</v>
      </c>
      <c r="H63" s="7">
        <v>126.1</v>
      </c>
      <c r="I63" s="7">
        <v>126.2</v>
      </c>
      <c r="J63" s="7">
        <v>126.3</v>
      </c>
      <c r="K63" s="7">
        <v>126.4</v>
      </c>
      <c r="L63" s="7">
        <v>126.5</v>
      </c>
      <c r="M63" s="7">
        <v>126.6</v>
      </c>
      <c r="N63" s="7">
        <v>126.7</v>
      </c>
      <c r="O63" s="7">
        <v>126.8</v>
      </c>
      <c r="P63" s="7">
        <v>126.9</v>
      </c>
      <c r="Q63" s="7">
        <v>127</v>
      </c>
      <c r="R63" s="7">
        <v>127.1</v>
      </c>
      <c r="S63" s="7">
        <v>127.2</v>
      </c>
      <c r="T63" s="7">
        <v>127.3</v>
      </c>
      <c r="U63" s="7">
        <v>127.4</v>
      </c>
      <c r="V63" s="7">
        <v>127.5</v>
      </c>
      <c r="W63" s="7">
        <v>127.6</v>
      </c>
      <c r="X63" s="7">
        <v>127.7</v>
      </c>
      <c r="Y63" s="7">
        <v>127.8</v>
      </c>
      <c r="Z63" s="7">
        <v>127.9</v>
      </c>
      <c r="AA63" s="7">
        <v>128</v>
      </c>
      <c r="AB63" s="7">
        <v>128.1</v>
      </c>
      <c r="AC63" s="7">
        <v>128.2</v>
      </c>
      <c r="AD63" s="7">
        <v>128.3</v>
      </c>
      <c r="AE63" s="7">
        <v>128.4</v>
      </c>
      <c r="AF63" s="7">
        <v>128.5</v>
      </c>
      <c r="AG63" s="7">
        <v>128.6</v>
      </c>
      <c r="AH63" s="7">
        <v>128.7</v>
      </c>
      <c r="AI63" s="7">
        <v>128.8</v>
      </c>
      <c r="AJ63" s="7">
        <v>128.9</v>
      </c>
      <c r="AK63" s="7">
        <v>129</v>
      </c>
      <c r="AL63" s="7">
        <v>129.1</v>
      </c>
      <c r="AM63" s="7">
        <v>129.2</v>
      </c>
      <c r="AN63" s="7">
        <v>129.3</v>
      </c>
      <c r="AO63" s="7">
        <v>129.4</v>
      </c>
      <c r="AP63" s="7">
        <v>129.5</v>
      </c>
      <c r="AQ63" s="7">
        <v>129.6</v>
      </c>
      <c r="AR63" s="7">
        <v>129.7</v>
      </c>
      <c r="AS63" s="7">
        <v>129.8</v>
      </c>
      <c r="AT63" s="7">
        <v>129.9</v>
      </c>
    </row>
    <row r="64" spans="1:46">
      <c r="A64" s="7">
        <v>33</v>
      </c>
      <c r="B64" s="8">
        <v>0.04003326058382584</v>
      </c>
      <c r="C64" s="8">
        <v>0.03993069387202013</v>
      </c>
      <c r="D64" s="8">
        <v>0.03982738029423984</v>
      </c>
      <c r="E64" s="8">
        <v>0.0397233247978221</v>
      </c>
      <c r="F64" s="8">
        <v>0.03961853238407827</v>
      </c>
      <c r="G64" s="8">
        <v>0.03951300810790172</v>
      </c>
      <c r="H64" s="8">
        <v>0.03940675707740837</v>
      </c>
      <c r="I64" s="8">
        <v>0.03929978445353442</v>
      </c>
      <c r="J64" s="8">
        <v>0.0391920954496868</v>
      </c>
      <c r="K64" s="8">
        <v>0.03908369533132543</v>
      </c>
      <c r="L64" s="8">
        <v>0.03897458941558796</v>
      </c>
      <c r="M64" s="8">
        <v>0.03886478307088197</v>
      </c>
      <c r="N64" s="8">
        <v>0.03875428171648707</v>
      </c>
      <c r="O64" s="8">
        <v>0.03864309082215413</v>
      </c>
      <c r="P64" s="8">
        <v>0.03853121590769888</v>
      </c>
      <c r="Q64" s="8">
        <v>0.038418662542594</v>
      </c>
      <c r="R64" s="8">
        <v>0.03830543634551162</v>
      </c>
      <c r="S64" s="8">
        <v>0.03819154298396796</v>
      </c>
      <c r="T64" s="8">
        <v>0.0380769881738658</v>
      </c>
      <c r="U64" s="8">
        <v>0.03796177767904538</v>
      </c>
      <c r="V64" s="8">
        <v>0.03784591731089364</v>
      </c>
      <c r="W64" s="8">
        <v>0.03772941292788516</v>
      </c>
      <c r="X64" s="8">
        <v>0.03761227043515163</v>
      </c>
      <c r="Y64" s="8">
        <v>0.03749449578404125</v>
      </c>
      <c r="Z64" s="8">
        <v>0.03737609497166972</v>
      </c>
      <c r="AA64" s="8">
        <v>0.03725707404045977</v>
      </c>
      <c r="AB64" s="8">
        <v>0.03713743907770777</v>
      </c>
      <c r="AC64" s="8">
        <v>0.03701719621510761</v>
      </c>
      <c r="AD64" s="8">
        <v>0.03689635162833867</v>
      </c>
      <c r="AE64" s="8">
        <v>0.03677491153651715</v>
      </c>
      <c r="AF64" s="8">
        <v>0.03665288220180827</v>
      </c>
      <c r="AG64" s="8">
        <v>0.03653026992891881</v>
      </c>
      <c r="AH64" s="8">
        <v>0.03640708106464956</v>
      </c>
      <c r="AI64" s="8">
        <v>0.03628332199736946</v>
      </c>
      <c r="AJ64" s="8">
        <v>0.03615899915661203</v>
      </c>
      <c r="AK64" s="8">
        <v>0.03603411901251548</v>
      </c>
      <c r="AL64" s="8">
        <v>0.03590868807539351</v>
      </c>
      <c r="AM64" s="8">
        <v>0.03578271289521098</v>
      </c>
      <c r="AN64" s="8">
        <v>0.0356562000611234</v>
      </c>
      <c r="AO64" s="8">
        <v>0.03552915620095689</v>
      </c>
      <c r="AP64" s="8">
        <v>0.03540158798072355</v>
      </c>
      <c r="AQ64" s="8">
        <v>0.0352735021041056</v>
      </c>
      <c r="AR64" s="8">
        <v>0.0351449053119822</v>
      </c>
      <c r="AS64" s="8">
        <v>0.03501580438189222</v>
      </c>
      <c r="AT64" s="8">
        <v>0.03488620612754119</v>
      </c>
    </row>
    <row r="65" spans="1:46">
      <c r="A65" s="7">
        <v>33.1</v>
      </c>
      <c r="B65" s="8">
        <v>0.03983699469552704</v>
      </c>
      <c r="C65" s="8">
        <v>0.03973536625372134</v>
      </c>
      <c r="D65" s="8">
        <v>0.03963299986616562</v>
      </c>
      <c r="E65" s="8">
        <v>0.03952990043418225</v>
      </c>
      <c r="F65" s="8">
        <v>0.03942607291241842</v>
      </c>
      <c r="G65" s="8">
        <v>0.03932152230851216</v>
      </c>
      <c r="H65" s="8">
        <v>0.0392162536826703</v>
      </c>
      <c r="I65" s="8">
        <v>0.03911027214733451</v>
      </c>
      <c r="J65" s="8">
        <v>0.03900358286677488</v>
      </c>
      <c r="K65" s="8">
        <v>0.03889619105671187</v>
      </c>
      <c r="L65" s="8">
        <v>0.03878810198393268</v>
      </c>
      <c r="M65" s="8">
        <v>0.03867932096589755</v>
      </c>
      <c r="N65" s="8">
        <v>0.03856985337033194</v>
      </c>
      <c r="O65" s="8">
        <v>0.03845970461483432</v>
      </c>
      <c r="P65" s="8">
        <v>0.03834888016647966</v>
      </c>
      <c r="Q65" s="8">
        <v>0.03823738554139169</v>
      </c>
      <c r="R65" s="8">
        <v>0.03812522630434075</v>
      </c>
      <c r="S65" s="8">
        <v>0.0380124080683288</v>
      </c>
      <c r="T65" s="8">
        <v>0.0378989364941603</v>
      </c>
      <c r="U65" s="8">
        <v>0.03778481729004568</v>
      </c>
      <c r="V65" s="8">
        <v>0.03767005621113242</v>
      </c>
      <c r="W65" s="8">
        <v>0.03755465905909716</v>
      </c>
      <c r="X65" s="8">
        <v>0.03743863168172794</v>
      </c>
      <c r="Y65" s="8">
        <v>0.03732197997244384</v>
      </c>
      <c r="Z65" s="8">
        <v>0.03720470986987578</v>
      </c>
      <c r="AA65" s="8">
        <v>0.03708682735745015</v>
      </c>
      <c r="AB65" s="8">
        <v>0.03696833846287859</v>
      </c>
      <c r="AC65" s="8">
        <v>0.03684924925776158</v>
      </c>
      <c r="AD65" s="8">
        <v>0.03672956585710239</v>
      </c>
      <c r="AE65" s="8">
        <v>0.03660929441885798</v>
      </c>
      <c r="AF65" s="8">
        <v>0.03648844114347298</v>
      </c>
      <c r="AG65" s="8">
        <v>0.03636701227342627</v>
      </c>
      <c r="AH65" s="8">
        <v>0.03624501409274359</v>
      </c>
      <c r="AI65" s="8">
        <v>0.03612245292654848</v>
      </c>
      <c r="AJ65" s="8">
        <v>0.03599933514056062</v>
      </c>
      <c r="AK65" s="8">
        <v>0.03587566714063826</v>
      </c>
      <c r="AL65" s="8">
        <v>0.0357514553722865</v>
      </c>
      <c r="AM65" s="8">
        <v>0.03562670632020541</v>
      </c>
      <c r="AN65" s="8">
        <v>0.03550142650774006</v>
      </c>
      <c r="AO65" s="8">
        <v>0.03537562249644566</v>
      </c>
      <c r="AP65" s="8">
        <v>0.03524930088557454</v>
      </c>
      <c r="AQ65" s="8">
        <v>0.03512246831157171</v>
      </c>
      <c r="AR65" s="8">
        <v>0.0349951314475959</v>
      </c>
      <c r="AS65" s="8">
        <v>0.03486729700301083</v>
      </c>
      <c r="AT65" s="8">
        <v>0.0347389717228566</v>
      </c>
    </row>
    <row r="66" spans="1:46">
      <c r="A66" s="7">
        <v>33.2</v>
      </c>
      <c r="B66" s="8">
        <v>0.03964140432523067</v>
      </c>
      <c r="C66" s="8">
        <v>0.03954071019644232</v>
      </c>
      <c r="D66" s="8">
        <v>0.0394392870100134</v>
      </c>
      <c r="E66" s="8">
        <v>0.03933713962145617</v>
      </c>
      <c r="F66" s="8">
        <v>0.03923427293898953</v>
      </c>
      <c r="G66" s="8">
        <v>0.03913069192316811</v>
      </c>
      <c r="H66" s="8">
        <v>0.03902640158653554</v>
      </c>
      <c r="I66" s="8">
        <v>0.038921406993218</v>
      </c>
      <c r="J66" s="8">
        <v>0.03881571325858317</v>
      </c>
      <c r="K66" s="8">
        <v>0.0387093255488395</v>
      </c>
      <c r="L66" s="8">
        <v>0.03860224908064538</v>
      </c>
      <c r="M66" s="8">
        <v>0.03849448912071977</v>
      </c>
      <c r="N66" s="8">
        <v>0.03838605098548413</v>
      </c>
      <c r="O66" s="8">
        <v>0.03827694004061186</v>
      </c>
      <c r="P66" s="8">
        <v>0.03816716170066457</v>
      </c>
      <c r="Q66" s="8">
        <v>0.03805672142866996</v>
      </c>
      <c r="R66" s="8">
        <v>0.03794562473571546</v>
      </c>
      <c r="S66" s="8">
        <v>0.03783387718054314</v>
      </c>
      <c r="T66" s="8">
        <v>0.03772148436913625</v>
      </c>
      <c r="U66" s="8">
        <v>0.03760845195427578</v>
      </c>
      <c r="V66" s="8">
        <v>0.03749478563513833</v>
      </c>
      <c r="W66" s="8">
        <v>0.03738049115688113</v>
      </c>
      <c r="X66" s="8">
        <v>0.03726557431016033</v>
      </c>
      <c r="Y66" s="8">
        <v>0.03715004093074867</v>
      </c>
      <c r="Z66" s="8">
        <v>0.03703389689908789</v>
      </c>
      <c r="AA66" s="8">
        <v>0.03691714813982543</v>
      </c>
      <c r="AB66" s="8">
        <v>0.03679980062139095</v>
      </c>
      <c r="AC66" s="8">
        <v>0.03668186035552736</v>
      </c>
      <c r="AD66" s="8">
        <v>0.03656333339687592</v>
      </c>
      <c r="AE66" s="8">
        <v>0.0364442258424873</v>
      </c>
      <c r="AF66" s="8">
        <v>0.03632454383137542</v>
      </c>
      <c r="AG66" s="8">
        <v>0.03620429354405701</v>
      </c>
      <c r="AH66" s="8">
        <v>0.03608348120208973</v>
      </c>
      <c r="AI66" s="8">
        <v>0.03596211306760608</v>
      </c>
      <c r="AJ66" s="8">
        <v>0.0358401954428345</v>
      </c>
      <c r="AK66" s="8">
        <v>0.03571773466963322</v>
      </c>
      <c r="AL66" s="8">
        <v>0.0355947371290128</v>
      </c>
      <c r="AM66" s="8">
        <v>0.03547120924067002</v>
      </c>
      <c r="AN66" s="8">
        <v>0.03534715746245922</v>
      </c>
      <c r="AO66" s="8">
        <v>0.03522258828997025</v>
      </c>
      <c r="AP66" s="8">
        <v>0.03509750825599696</v>
      </c>
      <c r="AQ66" s="8">
        <v>0.03497192393005264</v>
      </c>
      <c r="AR66" s="8">
        <v>0.03484584191789111</v>
      </c>
      <c r="AS66" s="8">
        <v>0.03471926886099937</v>
      </c>
      <c r="AT66" s="8">
        <v>0.03459221143609739</v>
      </c>
    </row>
    <row r="67" spans="1:46">
      <c r="A67" s="7">
        <v>33.3</v>
      </c>
      <c r="B67" s="8">
        <v>0.03944649180523925</v>
      </c>
      <c r="C67" s="8">
        <v>0.03934672804665382</v>
      </c>
      <c r="D67" s="8">
        <v>0.03924624408622179</v>
      </c>
      <c r="E67" s="8">
        <v>0.03914504473383858</v>
      </c>
      <c r="F67" s="8">
        <v>0.03904313485148805</v>
      </c>
      <c r="G67" s="8">
        <v>0.03894051935287308</v>
      </c>
      <c r="H67" s="8">
        <v>0.03883720320306594</v>
      </c>
      <c r="I67" s="8">
        <v>0.03873319141809332</v>
      </c>
      <c r="J67" s="8">
        <v>0.03862848906465359</v>
      </c>
      <c r="K67" s="8">
        <v>0.03852310125963356</v>
      </c>
      <c r="L67" s="8">
        <v>0.03841703316979306</v>
      </c>
      <c r="M67" s="8">
        <v>0.03831029001136414</v>
      </c>
      <c r="N67" s="8">
        <v>0.03820287704964898</v>
      </c>
      <c r="O67" s="8">
        <v>0.03809479959865314</v>
      </c>
      <c r="P67" s="8">
        <v>0.03798606302064798</v>
      </c>
      <c r="Q67" s="8">
        <v>0.03787667272579824</v>
      </c>
      <c r="R67" s="8">
        <v>0.0377666341717557</v>
      </c>
      <c r="S67" s="8">
        <v>0.03765595286325265</v>
      </c>
      <c r="T67" s="8">
        <v>0.03754463435166855</v>
      </c>
      <c r="U67" s="8">
        <v>0.03743268423462496</v>
      </c>
      <c r="V67" s="8">
        <v>0.03732010815558055</v>
      </c>
      <c r="W67" s="8">
        <v>0.03720691180338491</v>
      </c>
      <c r="X67" s="8">
        <v>0.0370931009118749</v>
      </c>
      <c r="Y67" s="8">
        <v>0.03697868125941994</v>
      </c>
      <c r="Z67" s="8">
        <v>0.03686365866850991</v>
      </c>
      <c r="AA67" s="8">
        <v>0.03674803900529753</v>
      </c>
      <c r="AB67" s="8">
        <v>0.03663182817918198</v>
      </c>
      <c r="AC67" s="8">
        <v>0.0365150321423485</v>
      </c>
      <c r="AD67" s="8">
        <v>0.03639765688932215</v>
      </c>
      <c r="AE67" s="8">
        <v>0.03627970845652868</v>
      </c>
      <c r="AF67" s="8">
        <v>0.03616119292182703</v>
      </c>
      <c r="AG67" s="8">
        <v>0.03604211640405452</v>
      </c>
      <c r="AH67" s="8">
        <v>0.03592248506259495</v>
      </c>
      <c r="AI67" s="8">
        <v>0.03580230509686686</v>
      </c>
      <c r="AJ67" s="8">
        <v>0.03568158274589735</v>
      </c>
      <c r="AK67" s="8">
        <v>0.03556032428782885</v>
      </c>
      <c r="AL67" s="8">
        <v>0.03543853603947582</v>
      </c>
      <c r="AM67" s="8">
        <v>0.03531622435582449</v>
      </c>
      <c r="AN67" s="8">
        <v>0.03519339562954542</v>
      </c>
      <c r="AO67" s="8">
        <v>0.03507005629056011</v>
      </c>
      <c r="AP67" s="8">
        <v>0.03494621280549524</v>
      </c>
      <c r="AQ67" s="8">
        <v>0.03482187167726494</v>
      </c>
      <c r="AR67" s="8">
        <v>0.03469703944450941</v>
      </c>
      <c r="AS67" s="8">
        <v>0.03457172268115159</v>
      </c>
      <c r="AT67" s="8">
        <v>0.0344459279958997</v>
      </c>
    </row>
    <row r="68" spans="1:46">
      <c r="A68" s="7">
        <v>33.4</v>
      </c>
      <c r="B68" s="8">
        <v>0.03925225942141423</v>
      </c>
      <c r="C68" s="8">
        <v>0.03915342210433437</v>
      </c>
      <c r="D68" s="8">
        <v>0.03905387340867463</v>
      </c>
      <c r="E68" s="8">
        <v>0.03895361809890972</v>
      </c>
      <c r="F68" s="8">
        <v>0.03885266099098459</v>
      </c>
      <c r="G68" s="8">
        <v>0.03875100695195641</v>
      </c>
      <c r="H68" s="8">
        <v>0.03864866089963215</v>
      </c>
      <c r="I68" s="8">
        <v>0.03854562780217066</v>
      </c>
      <c r="J68" s="8">
        <v>0.03844191267777717</v>
      </c>
      <c r="K68" s="8">
        <v>0.03833752059425564</v>
      </c>
      <c r="L68" s="8">
        <v>0.03823245666870036</v>
      </c>
      <c r="M68" s="8">
        <v>0.03812672606704552</v>
      </c>
      <c r="N68" s="8">
        <v>0.0380203340037383</v>
      </c>
      <c r="O68" s="8">
        <v>0.03791328574130261</v>
      </c>
      <c r="P68" s="8">
        <v>0.03780558658998103</v>
      </c>
      <c r="Q68" s="8">
        <v>0.03769724190730983</v>
      </c>
      <c r="R68" s="8">
        <v>0.03758825709774101</v>
      </c>
      <c r="S68" s="8">
        <v>0.03747863761221737</v>
      </c>
      <c r="T68" s="8">
        <v>0.03736838894777179</v>
      </c>
      <c r="U68" s="8">
        <v>0.03725751664711936</v>
      </c>
      <c r="V68" s="8">
        <v>0.03714602629823105</v>
      </c>
      <c r="W68" s="8">
        <v>0.0370339235339344</v>
      </c>
      <c r="X68" s="8">
        <v>0.0369212140314616</v>
      </c>
      <c r="Y68" s="8">
        <v>0.03680790351205587</v>
      </c>
      <c r="Z68" s="8">
        <v>0.03669399774050817</v>
      </c>
      <c r="AA68" s="8">
        <v>0.03657950252475502</v>
      </c>
      <c r="AB68" s="8">
        <v>0.03646442371542378</v>
      </c>
      <c r="AC68" s="8">
        <v>0.03634876720539353</v>
      </c>
      <c r="AD68" s="8">
        <v>0.03623253892936162</v>
      </c>
      <c r="AE68" s="8">
        <v>0.0361157448633989</v>
      </c>
      <c r="AF68" s="8">
        <v>0.03599839102447646</v>
      </c>
      <c r="AG68" s="8">
        <v>0.03588048347005923</v>
      </c>
      <c r="AH68" s="8">
        <v>0.03576202829759438</v>
      </c>
      <c r="AI68" s="8">
        <v>0.03564303164410347</v>
      </c>
      <c r="AJ68" s="8">
        <v>0.03552349968568933</v>
      </c>
      <c r="AK68" s="8">
        <v>0.03540343863707562</v>
      </c>
      <c r="AL68" s="8">
        <v>0.03528285475116064</v>
      </c>
      <c r="AM68" s="8">
        <v>0.03516175431852418</v>
      </c>
      <c r="AN68" s="8">
        <v>0.03504014366695145</v>
      </c>
      <c r="AO68" s="8">
        <v>0.03491802916098408</v>
      </c>
      <c r="AP68" s="8">
        <v>0.03479541720141129</v>
      </c>
      <c r="AQ68" s="8">
        <v>0.03467231422480666</v>
      </c>
      <c r="AR68" s="8">
        <v>0.03454872670304212</v>
      </c>
      <c r="AS68" s="8">
        <v>0.03442466114277778</v>
      </c>
      <c r="AT68" s="8">
        <v>0.03430012408500858</v>
      </c>
    </row>
    <row r="69" spans="1:46">
      <c r="A69" s="7">
        <v>33.5</v>
      </c>
      <c r="B69" s="8">
        <v>0.03905870941403151</v>
      </c>
      <c r="C69" s="8">
        <v>0.03896079462385842</v>
      </c>
      <c r="D69" s="8">
        <v>0.03886217724562045</v>
      </c>
      <c r="E69" s="8">
        <v>0.03876286199857049</v>
      </c>
      <c r="F69" s="8">
        <v>0.03866285365282494</v>
      </c>
      <c r="G69" s="8">
        <v>0.03856215702899277</v>
      </c>
      <c r="H69" s="8">
        <v>0.03846077699781034</v>
      </c>
      <c r="I69" s="8">
        <v>0.03835871847979746</v>
      </c>
      <c r="J69" s="8">
        <v>0.03825598644487229</v>
      </c>
      <c r="K69" s="8">
        <v>0.03815258591197335</v>
      </c>
      <c r="L69" s="8">
        <v>0.03804852194872695</v>
      </c>
      <c r="M69" s="8">
        <v>0.03794379967102372</v>
      </c>
      <c r="N69" s="8">
        <v>0.03783842424264208</v>
      </c>
      <c r="O69" s="8">
        <v>0.03773240087490137</v>
      </c>
      <c r="P69" s="8">
        <v>0.03762573482619871</v>
      </c>
      <c r="Q69" s="8">
        <v>0.03751843140170195</v>
      </c>
      <c r="R69" s="8">
        <v>0.03741049595287791</v>
      </c>
      <c r="S69" s="8">
        <v>0.03730193387713428</v>
      </c>
      <c r="T69" s="8">
        <v>0.0371927506173975</v>
      </c>
      <c r="U69" s="8">
        <v>0.03708295166171212</v>
      </c>
      <c r="V69" s="8">
        <v>0.03697254254282711</v>
      </c>
      <c r="W69" s="8">
        <v>0.03686152883777538</v>
      </c>
      <c r="X69" s="8">
        <v>0.03674991616746013</v>
      </c>
      <c r="Y69" s="8">
        <v>0.03663771019622004</v>
      </c>
      <c r="Z69" s="8">
        <v>0.03652491663143849</v>
      </c>
      <c r="AA69" s="8">
        <v>0.03641154122308166</v>
      </c>
      <c r="AB69" s="8">
        <v>0.03629758976326371</v>
      </c>
      <c r="AC69" s="8">
        <v>0.03618306808584464</v>
      </c>
      <c r="AD69" s="8">
        <v>0.03606798206594845</v>
      </c>
      <c r="AE69" s="8">
        <v>0.03595233761955967</v>
      </c>
      <c r="AF69" s="8">
        <v>0.03583614070305998</v>
      </c>
      <c r="AG69" s="8">
        <v>0.03571939731277638</v>
      </c>
      <c r="AH69" s="8">
        <v>0.03560211348456051</v>
      </c>
      <c r="AI69" s="8">
        <v>0.03548429529326284</v>
      </c>
      <c r="AJ69" s="8">
        <v>0.03536594885237179</v>
      </c>
      <c r="AK69" s="8">
        <v>0.03524708031348212</v>
      </c>
      <c r="AL69" s="8">
        <v>0.03512769586586444</v>
      </c>
      <c r="AM69" s="8">
        <v>0.03500780173598059</v>
      </c>
      <c r="AN69" s="8">
        <v>0.03488740418703458</v>
      </c>
      <c r="AO69" s="8">
        <v>0.03476650951847517</v>
      </c>
      <c r="AP69" s="8">
        <v>0.03464512406556253</v>
      </c>
      <c r="AQ69" s="8">
        <v>0.03452325419883948</v>
      </c>
      <c r="AR69" s="8">
        <v>0.03440090632369532</v>
      </c>
      <c r="AS69" s="8">
        <v>0.03427808687985277</v>
      </c>
      <c r="AT69" s="8">
        <v>0.03415480234091461</v>
      </c>
    </row>
    <row r="70" spans="1:46">
      <c r="A70" s="7">
        <v>33.6</v>
      </c>
      <c r="B70" s="8">
        <v>0.03886584397877187</v>
      </c>
      <c r="C70" s="8">
        <v>0.03876884781493288</v>
      </c>
      <c r="D70" s="8">
        <v>0.03867115782056772</v>
      </c>
      <c r="E70" s="8">
        <v>0.03857277866994195</v>
      </c>
      <c r="F70" s="8">
        <v>0.03847371508751962</v>
      </c>
      <c r="G70" s="8">
        <v>0.03837397184765621</v>
      </c>
      <c r="H70" s="8">
        <v>0.03827355377425192</v>
      </c>
      <c r="I70" s="8">
        <v>0.03817246574036517</v>
      </c>
      <c r="J70" s="8">
        <v>0.03807071266784732</v>
      </c>
      <c r="K70" s="8">
        <v>0.03796829952699596</v>
      </c>
      <c r="L70" s="8">
        <v>0.03786523133617692</v>
      </c>
      <c r="M70" s="8">
        <v>0.03776151316144762</v>
      </c>
      <c r="N70" s="8">
        <v>0.03765715011616493</v>
      </c>
      <c r="O70" s="8">
        <v>0.0375521473606284</v>
      </c>
      <c r="P70" s="8">
        <v>0.03744651010166677</v>
      </c>
      <c r="Q70" s="8">
        <v>0.03734024359226851</v>
      </c>
      <c r="R70" s="8">
        <v>0.03723335313117247</v>
      </c>
      <c r="S70" s="8">
        <v>0.03712584406248283</v>
      </c>
      <c r="T70" s="8">
        <v>0.03701772177526408</v>
      </c>
      <c r="U70" s="8">
        <v>0.03690899170312605</v>
      </c>
      <c r="V70" s="8">
        <v>0.03679965932383879</v>
      </c>
      <c r="W70" s="8">
        <v>0.03668973015889208</v>
      </c>
      <c r="X70" s="8">
        <v>0.03657920977310738</v>
      </c>
      <c r="Y70" s="8">
        <v>0.03646810377420309</v>
      </c>
      <c r="Z70" s="8">
        <v>0.03635641781237951</v>
      </c>
      <c r="AA70" s="8">
        <v>0.03624415757988686</v>
      </c>
      <c r="AB70" s="8">
        <v>0.03613132881062029</v>
      </c>
      <c r="AC70" s="8">
        <v>0.03601793727963525</v>
      </c>
      <c r="AD70" s="8">
        <v>0.03590398880281213</v>
      </c>
      <c r="AE70" s="8">
        <v>0.03578948923628502</v>
      </c>
      <c r="AF70" s="8">
        <v>0.03567444447611621</v>
      </c>
      <c r="AG70" s="8">
        <v>0.03555886045779886</v>
      </c>
      <c r="AH70" s="8">
        <v>0.03544274315580935</v>
      </c>
      <c r="AI70" s="8">
        <v>0.03532609858317955</v>
      </c>
      <c r="AJ70" s="8">
        <v>0.03520893279103206</v>
      </c>
      <c r="AK70" s="8">
        <v>0.03509125186811701</v>
      </c>
      <c r="AL70" s="8">
        <v>0.03497306194036724</v>
      </c>
      <c r="AM70" s="8">
        <v>0.03485436917043359</v>
      </c>
      <c r="AN70" s="8">
        <v>0.03473517975720881</v>
      </c>
      <c r="AO70" s="8">
        <v>0.03461549993537574</v>
      </c>
      <c r="AP70" s="8">
        <v>0.0344953359749411</v>
      </c>
      <c r="AQ70" s="8">
        <v>0.03437469418073249</v>
      </c>
      <c r="AR70" s="8">
        <v>0.0342535808919564</v>
      </c>
      <c r="AS70" s="8">
        <v>0.03413200248171648</v>
      </c>
      <c r="AT70" s="8">
        <v>0.03400996535650194</v>
      </c>
    </row>
    <row r="71" spans="1:46">
      <c r="A71" s="7">
        <v>33.7</v>
      </c>
      <c r="B71" s="8">
        <v>0.03867366526756513</v>
      </c>
      <c r="C71" s="8">
        <v>0.03857758384342844</v>
      </c>
      <c r="D71" s="8">
        <v>0.03848081731317592</v>
      </c>
      <c r="E71" s="8">
        <v>0.03838337030621659</v>
      </c>
      <c r="F71" s="8">
        <v>0.03828524750159943</v>
      </c>
      <c r="G71" s="8">
        <v>0.03818645362762822</v>
      </c>
      <c r="H71" s="8">
        <v>0.03808699346154754</v>
      </c>
      <c r="I71" s="8">
        <v>0.03798687182915757</v>
      </c>
      <c r="J71" s="8">
        <v>0.03788609360447168</v>
      </c>
      <c r="K71" s="8">
        <v>0.03778466370935405</v>
      </c>
      <c r="L71" s="8">
        <v>0.03768258711311887</v>
      </c>
      <c r="M71" s="8">
        <v>0.03757986883220781</v>
      </c>
      <c r="N71" s="8">
        <v>0.03747651392978071</v>
      </c>
      <c r="O71" s="8">
        <v>0.03737252751534186</v>
      </c>
      <c r="P71" s="8">
        <v>0.03726791474436623</v>
      </c>
      <c r="Q71" s="8">
        <v>0.03716268081791583</v>
      </c>
      <c r="R71" s="8">
        <v>0.03705683098221755</v>
      </c>
      <c r="S71" s="8">
        <v>0.03695037052831367</v>
      </c>
      <c r="T71" s="8">
        <v>0.03684330479162838</v>
      </c>
      <c r="U71" s="8">
        <v>0.03673563915160685</v>
      </c>
      <c r="V71" s="8">
        <v>0.03662737903125759</v>
      </c>
      <c r="W71" s="8">
        <v>0.03651852989679298</v>
      </c>
      <c r="X71" s="8">
        <v>0.03640909725718729</v>
      </c>
      <c r="Y71" s="8">
        <v>0.03629908666380004</v>
      </c>
      <c r="Z71" s="8">
        <v>0.03618850370989435</v>
      </c>
      <c r="AA71" s="8">
        <v>0.03607735403029011</v>
      </c>
      <c r="AB71" s="8">
        <v>0.03596564330088085</v>
      </c>
      <c r="AC71" s="8">
        <v>0.03585337723824437</v>
      </c>
      <c r="AD71" s="8">
        <v>0.03574056159919792</v>
      </c>
      <c r="AE71" s="8">
        <v>0.03562720218036617</v>
      </c>
      <c r="AF71" s="8">
        <v>0.03551330481773078</v>
      </c>
      <c r="AG71" s="8">
        <v>0.03539887538622963</v>
      </c>
      <c r="AH71" s="8">
        <v>0.03528391979926084</v>
      </c>
      <c r="AI71" s="8">
        <v>0.03516844400828915</v>
      </c>
      <c r="AJ71" s="8">
        <v>0.03505245400236987</v>
      </c>
      <c r="AK71" s="8">
        <v>0.03493595580769124</v>
      </c>
      <c r="AL71" s="8">
        <v>0.03481895548714249</v>
      </c>
      <c r="AM71" s="8">
        <v>0.03470145913982918</v>
      </c>
      <c r="AN71" s="8">
        <v>0.03458347290066257</v>
      </c>
      <c r="AO71" s="8">
        <v>0.03446500293983377</v>
      </c>
      <c r="AP71" s="8">
        <v>0.03434605546239169</v>
      </c>
      <c r="AQ71" s="8">
        <v>0.03422663670775137</v>
      </c>
      <c r="AR71" s="8">
        <v>0.03410675294925909</v>
      </c>
      <c r="AS71" s="8">
        <v>0.03398641049366517</v>
      </c>
      <c r="AT71" s="8">
        <v>0.03386561568069481</v>
      </c>
    </row>
    <row r="72" spans="1:46">
      <c r="A72" s="7">
        <v>33.8</v>
      </c>
      <c r="B72" s="8">
        <v>0.03848217538947694</v>
      </c>
      <c r="C72" s="8">
        <v>0.03838700483233595</v>
      </c>
      <c r="D72" s="8">
        <v>0.03829115786010959</v>
      </c>
      <c r="E72" s="8">
        <v>0.03819463905756493</v>
      </c>
      <c r="F72" s="8">
        <v>0.03809745305851351</v>
      </c>
      <c r="G72" s="8">
        <v>0.03799960454541633</v>
      </c>
      <c r="H72" s="8">
        <v>0.03790109824905556</v>
      </c>
      <c r="I72" s="8">
        <v>0.03780193894819917</v>
      </c>
      <c r="J72" s="8">
        <v>0.03770213146920866</v>
      </c>
      <c r="K72" s="8">
        <v>0.03760168068571516</v>
      </c>
      <c r="L72" s="8">
        <v>0.03750059151821574</v>
      </c>
      <c r="M72" s="8">
        <v>0.03739886893374944</v>
      </c>
      <c r="N72" s="8">
        <v>0.03729651794548801</v>
      </c>
      <c r="O72" s="8">
        <v>0.03719354361237918</v>
      </c>
      <c r="P72" s="8">
        <v>0.0370899510387531</v>
      </c>
      <c r="Q72" s="8">
        <v>0.03698574537397548</v>
      </c>
      <c r="R72" s="8">
        <v>0.03688093181199718</v>
      </c>
      <c r="S72" s="8">
        <v>0.03677551559101886</v>
      </c>
      <c r="T72" s="8">
        <v>0.03666950199309867</v>
      </c>
      <c r="U72" s="8">
        <v>0.03656289634370893</v>
      </c>
      <c r="V72" s="8">
        <v>0.03645570401136951</v>
      </c>
      <c r="W72" s="8">
        <v>0.03634793040724986</v>
      </c>
      <c r="X72" s="8">
        <v>0.03623958098473849</v>
      </c>
      <c r="Y72" s="8">
        <v>0.03613066123905924</v>
      </c>
      <c r="Z72" s="8">
        <v>0.03602117670681935</v>
      </c>
      <c r="AA72" s="8">
        <v>0.03591113296564004</v>
      </c>
      <c r="AB72" s="8">
        <v>0.03580053563371166</v>
      </c>
      <c r="AC72" s="8">
        <v>0.03568939036934893</v>
      </c>
      <c r="AD72" s="8">
        <v>0.03557770287061004</v>
      </c>
      <c r="AE72" s="8">
        <v>0.03546547887484479</v>
      </c>
      <c r="AF72" s="8">
        <v>0.03535272415825687</v>
      </c>
      <c r="AG72" s="8">
        <v>0.03523944453547188</v>
      </c>
      <c r="AH72" s="8">
        <v>0.03512564585911235</v>
      </c>
      <c r="AI72" s="8">
        <v>0.03501133401934169</v>
      </c>
      <c r="AJ72" s="8">
        <v>0.0348965149434207</v>
      </c>
      <c r="AK72" s="8">
        <v>0.03478119459526852</v>
      </c>
      <c r="AL72" s="8">
        <v>0.03466537897502207</v>
      </c>
      <c r="AM72" s="8">
        <v>0.03454907411854435</v>
      </c>
      <c r="AN72" s="8">
        <v>0.03443228609701379</v>
      </c>
      <c r="AO72" s="8">
        <v>0.0343150210164481</v>
      </c>
      <c r="AP72" s="8">
        <v>0.03419728501724535</v>
      </c>
      <c r="AQ72" s="8">
        <v>0.03407908427370501</v>
      </c>
      <c r="AR72" s="8">
        <v>0.03396042499359027</v>
      </c>
      <c r="AS72" s="8">
        <v>0.03384131341763492</v>
      </c>
      <c r="AT72" s="8">
        <v>0.03372175581909005</v>
      </c>
    </row>
    <row r="73" spans="1:46">
      <c r="A73" s="7">
        <v>33.9</v>
      </c>
      <c r="B73" s="8">
        <v>0.03829137641160827</v>
      </c>
      <c r="C73" s="8">
        <v>0.03819711286257075</v>
      </c>
      <c r="D73" s="8">
        <v>0.03810218155591514</v>
      </c>
      <c r="E73" s="8">
        <v>0.03800658703196121</v>
      </c>
      <c r="F73" s="8">
        <v>0.0379103338794593</v>
      </c>
      <c r="G73" s="8">
        <v>0.03781342673522374</v>
      </c>
      <c r="H73" s="8">
        <v>0.03771587028379457</v>
      </c>
      <c r="I73" s="8">
        <v>0.0376176692570823</v>
      </c>
      <c r="J73" s="8">
        <v>0.03751882843402114</v>
      </c>
      <c r="K73" s="8">
        <v>0.03741935264021663</v>
      </c>
      <c r="L73" s="8">
        <v>0.03731924674755618</v>
      </c>
      <c r="M73" s="8">
        <v>0.0372185156738908</v>
      </c>
      <c r="N73" s="8">
        <v>0.03711716438262443</v>
      </c>
      <c r="O73" s="8">
        <v>0.03701519788235856</v>
      </c>
      <c r="P73" s="8">
        <v>0.03691262122651864</v>
      </c>
      <c r="Q73" s="8">
        <v>0.03680943951297877</v>
      </c>
      <c r="R73" s="8">
        <v>0.03670565788366105</v>
      </c>
      <c r="S73" s="8">
        <v>0.03660128152417173</v>
      </c>
      <c r="T73" s="8">
        <v>0.03649631566338627</v>
      </c>
      <c r="U73" s="8">
        <v>0.03639076557309125</v>
      </c>
      <c r="V73" s="8">
        <v>0.03628463656753809</v>
      </c>
      <c r="W73" s="8">
        <v>0.03617793400309495</v>
      </c>
      <c r="X73" s="8">
        <v>0.03607066327782036</v>
      </c>
      <c r="Y73" s="8">
        <v>0.0359628298310426</v>
      </c>
      <c r="Z73" s="8">
        <v>0.03585443914297599</v>
      </c>
      <c r="AA73" s="8">
        <v>0.03574549673429885</v>
      </c>
      <c r="AB73" s="8">
        <v>0.03563600816572858</v>
      </c>
      <c r="AC73" s="8">
        <v>0.03552597903760528</v>
      </c>
      <c r="AD73" s="8">
        <v>0.03541541498949954</v>
      </c>
      <c r="AE73" s="8">
        <v>0.03530432169973637</v>
      </c>
      <c r="AF73" s="8">
        <v>0.03519270488499728</v>
      </c>
      <c r="AG73" s="8">
        <v>0.03508057029990681</v>
      </c>
      <c r="AH73" s="8">
        <v>0.03496792373654358</v>
      </c>
      <c r="AI73" s="8">
        <v>0.03485477102406662</v>
      </c>
      <c r="AJ73" s="8">
        <v>0.03474111802822506</v>
      </c>
      <c r="AK73" s="8">
        <v>0.0346269706509517</v>
      </c>
      <c r="AL73" s="8">
        <v>0.03451233482989835</v>
      </c>
      <c r="AM73" s="8">
        <v>0.03439721653797676</v>
      </c>
      <c r="AN73" s="8">
        <v>0.0342816217829565</v>
      </c>
      <c r="AO73" s="8">
        <v>0.03416555660694911</v>
      </c>
      <c r="AP73" s="8">
        <v>0.03404902708599025</v>
      </c>
      <c r="AQ73" s="8">
        <v>0.03393203932957363</v>
      </c>
      <c r="AR73" s="8">
        <v>0.03381459948017494</v>
      </c>
      <c r="AS73" s="8">
        <v>0.03369671371282266</v>
      </c>
      <c r="AT73" s="8">
        <v>0.03357838823458934</v>
      </c>
    </row>
    <row r="74" spans="1:46">
      <c r="A74" s="7">
        <v>34</v>
      </c>
      <c r="B74" s="8">
        <v>0.03810127035992963</v>
      </c>
      <c r="C74" s="8">
        <v>0.03800790997388077</v>
      </c>
      <c r="D74" s="8">
        <v>0.03791389045388911</v>
      </c>
      <c r="E74" s="8">
        <v>0.03781921629604597</v>
      </c>
      <c r="F74" s="8">
        <v>0.03772389204422098</v>
      </c>
      <c r="G74" s="8">
        <v>0.03762792228979066</v>
      </c>
      <c r="H74" s="8">
        <v>0.03753131167122916</v>
      </c>
      <c r="I74" s="8">
        <v>0.03743406487380412</v>
      </c>
      <c r="J74" s="8">
        <v>0.03733618662923845</v>
      </c>
      <c r="K74" s="8">
        <v>0.03723768171528832</v>
      </c>
      <c r="L74" s="8">
        <v>0.03713855495546596</v>
      </c>
      <c r="M74" s="8">
        <v>0.03703881121863901</v>
      </c>
      <c r="N74" s="8">
        <v>0.03693845541864391</v>
      </c>
      <c r="O74" s="8">
        <v>0.03683749251398609</v>
      </c>
      <c r="P74" s="8">
        <v>0.03673592750739089</v>
      </c>
      <c r="Q74" s="8">
        <v>0.03663376544546679</v>
      </c>
      <c r="R74" s="8">
        <v>0.03653101141833588</v>
      </c>
      <c r="S74" s="8">
        <v>0.03642767055922889</v>
      </c>
      <c r="T74" s="8">
        <v>0.03632374804409437</v>
      </c>
      <c r="U74" s="8">
        <v>0.0362192490912463</v>
      </c>
      <c r="V74" s="8">
        <v>0.03611417896093201</v>
      </c>
      <c r="W74" s="8">
        <v>0.03600854295494713</v>
      </c>
      <c r="X74" s="8">
        <v>0.03590234641625187</v>
      </c>
      <c r="Y74" s="8">
        <v>0.03579559472855749</v>
      </c>
      <c r="Z74" s="8">
        <v>0.03568829331591274</v>
      </c>
      <c r="AA74" s="8">
        <v>0.03558044764230602</v>
      </c>
      <c r="AB74" s="8">
        <v>0.03547206321125742</v>
      </c>
      <c r="AC74" s="8">
        <v>0.03536314556538685</v>
      </c>
      <c r="AD74" s="8">
        <v>0.03525370028601031</v>
      </c>
      <c r="AE74" s="8">
        <v>0.03514373299272364</v>
      </c>
      <c r="AF74" s="8">
        <v>0.03503324934295193</v>
      </c>
      <c r="AG74" s="8">
        <v>0.03492225503156447</v>
      </c>
      <c r="AH74" s="8">
        <v>0.03481075579040009</v>
      </c>
      <c r="AI74" s="8">
        <v>0.03469875738786641</v>
      </c>
      <c r="AJ74" s="8">
        <v>0.03458626562849787</v>
      </c>
      <c r="AK74" s="8">
        <v>0.03447328635251239</v>
      </c>
      <c r="AL74" s="8">
        <v>0.03435982543535374</v>
      </c>
      <c r="AM74" s="8">
        <v>0.03424588878730077</v>
      </c>
      <c r="AN74" s="8">
        <v>0.0341314823529487</v>
      </c>
      <c r="AO74" s="8">
        <v>0.03401661211083536</v>
      </c>
      <c r="AP74" s="8">
        <v>0.03390128407291258</v>
      </c>
      <c r="AQ74" s="8">
        <v>0.03378550428416389</v>
      </c>
      <c r="AR74" s="8">
        <v>0.03366927882210149</v>
      </c>
      <c r="AS74" s="8">
        <v>0.03355261379631429</v>
      </c>
      <c r="AT74" s="8">
        <v>0.03343551534801321</v>
      </c>
    </row>
    <row r="75" spans="1:46">
      <c r="A75" s="7">
        <v>34.1</v>
      </c>
      <c r="B75" s="8">
        <v>0.03791185922015359</v>
      </c>
      <c r="C75" s="8">
        <v>0.03781939816562527</v>
      </c>
      <c r="D75" s="8">
        <v>0.03772628656689107</v>
      </c>
      <c r="E75" s="8">
        <v>0.03763252887594178</v>
      </c>
      <c r="F75" s="8">
        <v>0.03753812959201497</v>
      </c>
      <c r="G75" s="8">
        <v>0.03744309326119577</v>
      </c>
      <c r="H75" s="8">
        <v>0.03734742447611694</v>
      </c>
      <c r="I75" s="8">
        <v>0.03725112787559652</v>
      </c>
      <c r="J75" s="8">
        <v>0.03715420814431951</v>
      </c>
      <c r="K75" s="8">
        <v>0.03705667001244563</v>
      </c>
      <c r="L75" s="8">
        <v>0.0369585182552882</v>
      </c>
      <c r="M75" s="8">
        <v>0.03685975769294884</v>
      </c>
      <c r="N75" s="8">
        <v>0.03676039318994242</v>
      </c>
      <c r="O75" s="8">
        <v>0.03666042965483882</v>
      </c>
      <c r="P75" s="8">
        <v>0.03655987203991629</v>
      </c>
      <c r="Q75" s="8">
        <v>0.03645872534074215</v>
      </c>
      <c r="R75" s="8">
        <v>0.03635699459586163</v>
      </c>
      <c r="S75" s="8">
        <v>0.03625468488634311</v>
      </c>
      <c r="T75" s="8">
        <v>0.03615180133546829</v>
      </c>
      <c r="U75" s="8">
        <v>0.03604834910829737</v>
      </c>
      <c r="V75" s="8">
        <v>0.03594433341129673</v>
      </c>
      <c r="W75" s="8">
        <v>0.0358397594919623</v>
      </c>
      <c r="X75" s="8">
        <v>0.03573463263839045</v>
      </c>
      <c r="Y75" s="8">
        <v>0.03562895817889569</v>
      </c>
      <c r="Z75" s="8">
        <v>0.03552274148164116</v>
      </c>
      <c r="AA75" s="8">
        <v>0.03541598795416547</v>
      </c>
      <c r="AB75" s="8">
        <v>0.03530870304304301</v>
      </c>
      <c r="AC75" s="8">
        <v>0.03520089223343348</v>
      </c>
      <c r="AD75" s="8">
        <v>0.03509256104866978</v>
      </c>
      <c r="AE75" s="8">
        <v>0.03498371504986579</v>
      </c>
      <c r="AF75" s="8">
        <v>0.03487435983547158</v>
      </c>
      <c r="AG75" s="8">
        <v>0.034764501040857</v>
      </c>
      <c r="AH75" s="8">
        <v>0.03465414433789817</v>
      </c>
      <c r="AI75" s="8">
        <v>0.03454329543453127</v>
      </c>
      <c r="AJ75" s="8">
        <v>0.03443196007433898</v>
      </c>
      <c r="AK75" s="8">
        <v>0.03432014403610566</v>
      </c>
      <c r="AL75" s="8">
        <v>0.03420785313337547</v>
      </c>
      <c r="AM75" s="8">
        <v>0.0340950932140359</v>
      </c>
      <c r="AN75" s="8">
        <v>0.03398187015984035</v>
      </c>
      <c r="AO75" s="8">
        <v>0.03386818988600737</v>
      </c>
      <c r="AP75" s="8">
        <v>0.03375405834073035</v>
      </c>
      <c r="AQ75" s="8">
        <v>0.03363948150475267</v>
      </c>
      <c r="AR75" s="8">
        <v>0.03352446539091716</v>
      </c>
      <c r="AS75" s="8">
        <v>0.03340901604369293</v>
      </c>
      <c r="AT75" s="8">
        <v>0.03329313953874476</v>
      </c>
    </row>
    <row r="76" spans="1:46">
      <c r="A76" s="7">
        <v>34.2</v>
      </c>
      <c r="B76" s="8">
        <v>0.0377231449385647</v>
      </c>
      <c r="C76" s="8">
        <v>0.03763157939769144</v>
      </c>
      <c r="D76" s="8">
        <v>0.03753937186817211</v>
      </c>
      <c r="E76" s="8">
        <v>0.03744652675812574</v>
      </c>
      <c r="F76" s="8">
        <v>0.03735304852229007</v>
      </c>
      <c r="G76" s="8">
        <v>0.03725894166169184</v>
      </c>
      <c r="H76" s="8">
        <v>0.03716421072329155</v>
      </c>
      <c r="I76" s="8">
        <v>0.03706886029967933</v>
      </c>
      <c r="J76" s="8">
        <v>0.03697289502868699</v>
      </c>
      <c r="K76" s="8">
        <v>0.03687631959308675</v>
      </c>
      <c r="L76" s="8">
        <v>0.03677913872019758</v>
      </c>
      <c r="M76" s="8">
        <v>0.03668135718156264</v>
      </c>
      <c r="N76" s="8">
        <v>0.03658297979256986</v>
      </c>
      <c r="O76" s="8">
        <v>0.03648401141212219</v>
      </c>
      <c r="P76" s="8">
        <v>0.03638445694220991</v>
      </c>
      <c r="Q76" s="8">
        <v>0.0362843213276335</v>
      </c>
      <c r="R76" s="8">
        <v>0.03618360955554181</v>
      </c>
      <c r="S76" s="8">
        <v>0.03608232665509945</v>
      </c>
      <c r="T76" s="8">
        <v>0.03598047769713304</v>
      </c>
      <c r="U76" s="8">
        <v>0.03587806779368208</v>
      </c>
      <c r="V76" s="8">
        <v>0.0357751020976977</v>
      </c>
      <c r="W76" s="8">
        <v>0.03567158580256517</v>
      </c>
      <c r="X76" s="8">
        <v>0.0355675241417913</v>
      </c>
      <c r="Y76" s="8">
        <v>0.0354629223885496</v>
      </c>
      <c r="Z76" s="8">
        <v>0.03535778585532938</v>
      </c>
      <c r="AA76" s="8">
        <v>0.03525211989350794</v>
      </c>
      <c r="AB76" s="8">
        <v>0.03514592989294698</v>
      </c>
      <c r="AC76" s="8">
        <v>0.03503922128160042</v>
      </c>
      <c r="AD76" s="8">
        <v>0.03493199952508377</v>
      </c>
      <c r="AE76" s="8">
        <v>0.03482427012629898</v>
      </c>
      <c r="AF76" s="8">
        <v>0.03471603862494987</v>
      </c>
      <c r="AG76" s="8">
        <v>0.03460731059722235</v>
      </c>
      <c r="AH76" s="8">
        <v>0.03449809165527142</v>
      </c>
      <c r="AI76" s="8">
        <v>0.03438838744684745</v>
      </c>
      <c r="AJ76" s="8">
        <v>0.03427820365484848</v>
      </c>
      <c r="AK76" s="8">
        <v>0.03416754599690819</v>
      </c>
      <c r="AL76" s="8">
        <v>0.03405642022495101</v>
      </c>
      <c r="AM76" s="8">
        <v>0.03394483212475023</v>
      </c>
      <c r="AN76" s="8">
        <v>0.03383278751551586</v>
      </c>
      <c r="AO76" s="8">
        <v>0.03372029224943134</v>
      </c>
      <c r="AP76" s="8">
        <v>0.03360735221121587</v>
      </c>
      <c r="AQ76" s="8">
        <v>0.03349397331767819</v>
      </c>
      <c r="AR76" s="8">
        <v>0.03338016151729022</v>
      </c>
      <c r="AS76" s="8">
        <v>0.03326592278969116</v>
      </c>
      <c r="AT76" s="8">
        <v>0.03315126314528812</v>
      </c>
    </row>
    <row r="77" spans="1:46">
      <c r="A77" s="7">
        <v>34.3</v>
      </c>
      <c r="B77" s="8">
        <v>0.037535129422821</v>
      </c>
      <c r="C77" s="8">
        <v>0.03744445559123903</v>
      </c>
      <c r="D77" s="8">
        <v>0.03735314829221607</v>
      </c>
      <c r="E77" s="8">
        <v>0.03726121189016851</v>
      </c>
      <c r="F77" s="8">
        <v>0.03716865079554736</v>
      </c>
      <c r="G77" s="8">
        <v>0.0370754694644873</v>
      </c>
      <c r="H77" s="8">
        <v>0.03698167239848828</v>
      </c>
      <c r="I77" s="8">
        <v>0.0368872641440916</v>
      </c>
      <c r="J77" s="8">
        <v>0.03679224929250324</v>
      </c>
      <c r="K77" s="8">
        <v>0.03669663247927133</v>
      </c>
      <c r="L77" s="8">
        <v>0.03660041838394505</v>
      </c>
      <c r="M77" s="8">
        <v>0.03650361172972368</v>
      </c>
      <c r="N77" s="8">
        <v>0.03640621728309128</v>
      </c>
      <c r="O77" s="8">
        <v>0.03630823985344733</v>
      </c>
      <c r="P77" s="8">
        <v>0.03620968429277269</v>
      </c>
      <c r="Q77" s="8">
        <v>0.03611055549525873</v>
      </c>
      <c r="R77" s="8">
        <v>0.03601085839692218</v>
      </c>
      <c r="S77" s="8">
        <v>0.03591059797526412</v>
      </c>
      <c r="T77" s="8">
        <v>0.03580977924883939</v>
      </c>
      <c r="U77" s="8">
        <v>0.03570840727694389</v>
      </c>
      <c r="V77" s="8">
        <v>0.03560648715920536</v>
      </c>
      <c r="W77" s="8">
        <v>0.03550402403517268</v>
      </c>
      <c r="X77" s="8">
        <v>0.03540102308397763</v>
      </c>
      <c r="Y77" s="8">
        <v>0.03529748952391003</v>
      </c>
      <c r="Z77" s="8">
        <v>0.03519342861204251</v>
      </c>
      <c r="AA77" s="8">
        <v>0.03508884564380992</v>
      </c>
      <c r="AB77" s="8">
        <v>0.03498374595263982</v>
      </c>
      <c r="AC77" s="8">
        <v>0.03487813490951339</v>
      </c>
      <c r="AD77" s="8">
        <v>0.0347720179226144</v>
      </c>
      <c r="AE77" s="8">
        <v>0.0346654004368574</v>
      </c>
      <c r="AF77" s="8">
        <v>0.03455828793352111</v>
      </c>
      <c r="AG77" s="8">
        <v>0.03445068592981073</v>
      </c>
      <c r="AH77" s="8">
        <v>0.03434259997845431</v>
      </c>
      <c r="AI77" s="8">
        <v>0.03423403566728922</v>
      </c>
      <c r="AJ77" s="8">
        <v>0.03412499861880889</v>
      </c>
      <c r="AK77" s="8">
        <v>0.0340154944897634</v>
      </c>
      <c r="AL77" s="8">
        <v>0.03390552897073888</v>
      </c>
      <c r="AM77" s="8">
        <v>0.03379510778568573</v>
      </c>
      <c r="AN77" s="8">
        <v>0.03368423669154197</v>
      </c>
      <c r="AO77" s="8">
        <v>0.03357292147774445</v>
      </c>
      <c r="AP77" s="8">
        <v>0.03346116796583516</v>
      </c>
      <c r="AQ77" s="8">
        <v>0.03334898200898948</v>
      </c>
      <c r="AR77" s="8">
        <v>0.03323636949158413</v>
      </c>
      <c r="AS77" s="8">
        <v>0.03312333632874953</v>
      </c>
      <c r="AT77" s="8">
        <v>0.03300988846591366</v>
      </c>
    </row>
    <row r="78" spans="1:46">
      <c r="A78" s="7">
        <v>34.4</v>
      </c>
      <c r="B78" s="8">
        <v>0.03734781454280096</v>
      </c>
      <c r="C78" s="8">
        <v>0.03725802862954879</v>
      </c>
      <c r="D78" s="8">
        <v>0.03716761773550843</v>
      </c>
      <c r="E78" s="8">
        <v>0.03707658618159258</v>
      </c>
      <c r="F78" s="8">
        <v>0.03698493833411902</v>
      </c>
      <c r="G78" s="8">
        <v>0.03689267860456056</v>
      </c>
      <c r="H78" s="8">
        <v>0.0367998114491229</v>
      </c>
      <c r="I78" s="8">
        <v>0.03670634136848605</v>
      </c>
      <c r="J78" s="8">
        <v>0.0366122729074263</v>
      </c>
      <c r="K78" s="8">
        <v>0.03651761065449364</v>
      </c>
      <c r="L78" s="8">
        <v>0.03642235924166215</v>
      </c>
      <c r="M78" s="8">
        <v>0.0363265233439833</v>
      </c>
      <c r="N78" s="8">
        <v>0.03623010767924058</v>
      </c>
      <c r="O78" s="8">
        <v>0.03613311700756441</v>
      </c>
      <c r="P78" s="8">
        <v>0.0360355561311323</v>
      </c>
      <c r="Q78" s="8">
        <v>0.03593742989375528</v>
      </c>
      <c r="R78" s="8">
        <v>0.03583874318053262</v>
      </c>
      <c r="S78" s="8">
        <v>0.03573950091749367</v>
      </c>
      <c r="T78" s="8">
        <v>0.0356397080712</v>
      </c>
      <c r="U78" s="8">
        <v>0.03553936964840574</v>
      </c>
      <c r="V78" s="8">
        <v>0.03543849069565255</v>
      </c>
      <c r="W78" s="8">
        <v>0.03533707629889733</v>
      </c>
      <c r="X78" s="8">
        <v>0.03523513158313705</v>
      </c>
      <c r="Y78" s="8">
        <v>0.03513266171201081</v>
      </c>
      <c r="Z78" s="8">
        <v>0.03502967188740769</v>
      </c>
      <c r="AA78" s="8">
        <v>0.03492616734909433</v>
      </c>
      <c r="AB78" s="8">
        <v>0.0348221533742958</v>
      </c>
      <c r="AC78" s="8">
        <v>0.03471763527730047</v>
      </c>
      <c r="AD78" s="8">
        <v>0.03461261840907355</v>
      </c>
      <c r="AE78" s="8">
        <v>0.03450710815684062</v>
      </c>
      <c r="AF78" s="8">
        <v>0.03440110994368837</v>
      </c>
      <c r="AG78" s="8">
        <v>0.03429462922813258</v>
      </c>
      <c r="AH78" s="8">
        <v>0.03418767150374009</v>
      </c>
      <c r="AI78" s="8">
        <v>0.03408024229867408</v>
      </c>
      <c r="AJ78" s="8">
        <v>0.03397234717531745</v>
      </c>
      <c r="AK78" s="8">
        <v>0.03386399172982379</v>
      </c>
      <c r="AL78" s="8">
        <v>0.03375518159169104</v>
      </c>
      <c r="AM78" s="8">
        <v>0.03364592242335647</v>
      </c>
      <c r="AN78" s="8">
        <v>0.03353621991975188</v>
      </c>
      <c r="AO78" s="8">
        <v>0.03342607980787733</v>
      </c>
      <c r="AP78" s="8">
        <v>0.03331550784635908</v>
      </c>
      <c r="AQ78" s="8">
        <v>0.03320450982503047</v>
      </c>
      <c r="AR78" s="8">
        <v>0.03309309156448563</v>
      </c>
      <c r="AS78" s="8">
        <v>0.03298125891561909</v>
      </c>
      <c r="AT78" s="8">
        <v>0.03286901775922359</v>
      </c>
    </row>
    <row r="79" spans="1:46">
      <c r="A79" s="7">
        <v>34.5</v>
      </c>
      <c r="B79" s="8">
        <v>0.03716120213140357</v>
      </c>
      <c r="C79" s="8">
        <v>0.03707230035881963</v>
      </c>
      <c r="D79" s="8">
        <v>0.03698278205737467</v>
      </c>
      <c r="E79" s="8">
        <v>0.03689265150462546</v>
      </c>
      <c r="F79" s="8">
        <v>0.03680191302299533</v>
      </c>
      <c r="G79" s="8">
        <v>0.03671057097941315</v>
      </c>
      <c r="H79" s="8">
        <v>0.03661862978502626</v>
      </c>
      <c r="I79" s="8">
        <v>0.0365260938948424</v>
      </c>
      <c r="J79" s="8">
        <v>0.03643296780740286</v>
      </c>
      <c r="K79" s="8">
        <v>0.03633925606445274</v>
      </c>
      <c r="L79" s="8">
        <v>0.03624496325058572</v>
      </c>
      <c r="M79" s="8">
        <v>0.03615009399292575</v>
      </c>
      <c r="N79" s="8">
        <v>0.03605465296074328</v>
      </c>
      <c r="O79" s="8">
        <v>0.03595864486514273</v>
      </c>
      <c r="P79" s="8">
        <v>0.03586207445868154</v>
      </c>
      <c r="Q79" s="8">
        <v>0.03576494653502209</v>
      </c>
      <c r="R79" s="8">
        <v>0.03566726592856071</v>
      </c>
      <c r="S79" s="8">
        <v>0.03556903751408384</v>
      </c>
      <c r="T79" s="8">
        <v>0.0354702662063886</v>
      </c>
      <c r="U79" s="8">
        <v>0.03537095695990473</v>
      </c>
      <c r="V79" s="8">
        <v>0.03527111476832943</v>
      </c>
      <c r="W79" s="8">
        <v>0.03517074466426066</v>
      </c>
      <c r="X79" s="8">
        <v>0.03506985171879364</v>
      </c>
      <c r="Y79" s="8">
        <v>0.03496844104115127</v>
      </c>
      <c r="Z79" s="8">
        <v>0.03486651777831327</v>
      </c>
      <c r="AA79" s="8">
        <v>0.03476408711459129</v>
      </c>
      <c r="AB79" s="8">
        <v>0.03466115427126937</v>
      </c>
      <c r="AC79" s="8">
        <v>0.03455772450620032</v>
      </c>
      <c r="AD79" s="8">
        <v>0.03445380311337516</v>
      </c>
      <c r="AE79" s="8">
        <v>0.03434939542260622</v>
      </c>
      <c r="AF79" s="8">
        <v>0.03424450679902265</v>
      </c>
      <c r="AG79" s="8">
        <v>0.03413914264272933</v>
      </c>
      <c r="AH79" s="8">
        <v>0.03403330838838485</v>
      </c>
      <c r="AI79" s="8">
        <v>0.03392700950478229</v>
      </c>
      <c r="AJ79" s="8">
        <v>0.03382025149443564</v>
      </c>
      <c r="AK79" s="8">
        <v>0.03371303989317766</v>
      </c>
      <c r="AL79" s="8">
        <v>0.03360538026971085</v>
      </c>
      <c r="AM79" s="8">
        <v>0.033497278225218</v>
      </c>
      <c r="AN79" s="8">
        <v>0.03338873939292171</v>
      </c>
      <c r="AO79" s="8">
        <v>0.03327976943765378</v>
      </c>
      <c r="AP79" s="8">
        <v>0.03317037405544596</v>
      </c>
      <c r="AQ79" s="8">
        <v>0.03306055897304958</v>
      </c>
      <c r="AR79" s="8">
        <v>0.03295032994758458</v>
      </c>
      <c r="AS79" s="8">
        <v>0.032839692766008</v>
      </c>
      <c r="AT79" s="8">
        <v>0.03272865324473884</v>
      </c>
    </row>
    <row r="80" spans="1:46">
      <c r="A80" s="7">
        <v>34.6</v>
      </c>
      <c r="B80" s="8">
        <v>0.0369752939852944</v>
      </c>
      <c r="C80" s="8">
        <v>0.03688727258892328</v>
      </c>
      <c r="D80" s="8">
        <v>0.03679864308068801</v>
      </c>
      <c r="E80" s="8">
        <v>0.0367094096949856</v>
      </c>
      <c r="F80" s="8">
        <v>0.03661957671050544</v>
      </c>
      <c r="G80" s="8">
        <v>0.03652914844984849</v>
      </c>
      <c r="H80" s="8">
        <v>0.03643812927926575</v>
      </c>
      <c r="I80" s="8">
        <v>0.03634652360827886</v>
      </c>
      <c r="J80" s="8">
        <v>0.03625433588940581</v>
      </c>
      <c r="K80" s="8">
        <v>0.03616157061777443</v>
      </c>
      <c r="L80" s="8">
        <v>0.03606823233080973</v>
      </c>
      <c r="M80" s="8">
        <v>0.03597432560789428</v>
      </c>
      <c r="N80" s="8">
        <v>0.03587985507002429</v>
      </c>
      <c r="O80" s="8">
        <v>0.03578482537945007</v>
      </c>
      <c r="P80" s="8">
        <v>0.03568924123933499</v>
      </c>
      <c r="Q80" s="8">
        <v>0.03559310739341583</v>
      </c>
      <c r="R80" s="8">
        <v>0.03549642862560205</v>
      </c>
      <c r="S80" s="8">
        <v>0.03539920975966737</v>
      </c>
      <c r="T80" s="8">
        <v>0.03530145565884624</v>
      </c>
      <c r="U80" s="8">
        <v>0.0352031712254842</v>
      </c>
      <c r="V80" s="8">
        <v>0.03510436140067412</v>
      </c>
      <c r="W80" s="8">
        <v>0.03500503116387108</v>
      </c>
      <c r="X80" s="8">
        <v>0.03490518553251291</v>
      </c>
      <c r="Y80" s="8">
        <v>0.03480482956165645</v>
      </c>
      <c r="Z80" s="8">
        <v>0.0347039683435824</v>
      </c>
      <c r="AA80" s="8">
        <v>0.03460260700742879</v>
      </c>
      <c r="AB80" s="8">
        <v>0.03450075071877449</v>
      </c>
      <c r="AC80" s="8">
        <v>0.03439840467925563</v>
      </c>
      <c r="AD80" s="8">
        <v>0.03429557412620454</v>
      </c>
      <c r="AE80" s="8">
        <v>0.03419226433222065</v>
      </c>
      <c r="AF80" s="8">
        <v>0.03408848060476686</v>
      </c>
      <c r="AG80" s="8">
        <v>0.03398422828579015</v>
      </c>
      <c r="AH80" s="8">
        <v>0.03387951275130803</v>
      </c>
      <c r="AI80" s="8">
        <v>0.03377433941099924</v>
      </c>
      <c r="AJ80" s="8">
        <v>0.03366871370779876</v>
      </c>
      <c r="AK80" s="8">
        <v>0.03356264111747435</v>
      </c>
      <c r="AL80" s="8">
        <v>0.03345612714822011</v>
      </c>
      <c r="AM80" s="8">
        <v>0.03334917734024145</v>
      </c>
      <c r="AN80" s="8">
        <v>0.0332417972653289</v>
      </c>
      <c r="AO80" s="8">
        <v>0.03313399252643166</v>
      </c>
      <c r="AP80" s="8">
        <v>0.03302576875725975</v>
      </c>
      <c r="AQ80" s="8">
        <v>0.03291713162180656</v>
      </c>
      <c r="AR80" s="8">
        <v>0.03280808681396792</v>
      </c>
      <c r="AS80" s="8">
        <v>0.03269864005708172</v>
      </c>
      <c r="AT80" s="8">
        <v>0.0325887971034959</v>
      </c>
    </row>
    <row r="81" spans="1:46">
      <c r="A81" s="7">
        <v>34.7</v>
      </c>
      <c r="B81" s="8">
        <v>0.03679009186573836</v>
      </c>
      <c r="C81" s="8">
        <v>0.03670294709421995</v>
      </c>
      <c r="D81" s="8">
        <v>0.03661520259272492</v>
      </c>
      <c r="E81" s="8">
        <v>0.03652686255266815</v>
      </c>
      <c r="F81" s="8">
        <v>0.03643793120917991</v>
      </c>
      <c r="G81" s="8">
        <v>0.03634841284072081</v>
      </c>
      <c r="H81" s="8">
        <v>0.03625831176883736</v>
      </c>
      <c r="I81" s="8">
        <v>0.03616763235777398</v>
      </c>
      <c r="J81" s="8">
        <v>0.03607637901417604</v>
      </c>
      <c r="K81" s="8">
        <v>0.03598455618676866</v>
      </c>
      <c r="L81" s="8">
        <v>0.03589216836601281</v>
      </c>
      <c r="M81" s="8">
        <v>0.03579922008376712</v>
      </c>
      <c r="N81" s="8">
        <v>0.03570571591291412</v>
      </c>
      <c r="O81" s="8">
        <v>0.03561166046709729</v>
      </c>
      <c r="P81" s="8">
        <v>0.03551705840029627</v>
      </c>
      <c r="Q81" s="8">
        <v>0.03542191440650555</v>
      </c>
      <c r="R81" s="8">
        <v>0.0353262332193907</v>
      </c>
      <c r="S81" s="8">
        <v>0.03523001961191596</v>
      </c>
      <c r="T81" s="8">
        <v>0.03513327839599327</v>
      </c>
      <c r="U81" s="8">
        <v>0.03503601442210282</v>
      </c>
      <c r="V81" s="8">
        <v>0.03493823257896196</v>
      </c>
      <c r="W81" s="8">
        <v>0.03483993779311305</v>
      </c>
      <c r="X81" s="8">
        <v>0.03474113502857677</v>
      </c>
      <c r="Y81" s="8">
        <v>0.03464182928647545</v>
      </c>
      <c r="Z81" s="8">
        <v>0.0345420256046566</v>
      </c>
      <c r="AA81" s="8">
        <v>0.03444172905728493</v>
      </c>
      <c r="AB81" s="8">
        <v>0.03434094475449427</v>
      </c>
      <c r="AC81" s="8">
        <v>0.03423967784198965</v>
      </c>
      <c r="AD81" s="8">
        <v>0.03413793350065077</v>
      </c>
      <c r="AE81" s="8">
        <v>0.03403571694614129</v>
      </c>
      <c r="AF81" s="8">
        <v>0.03393303342851226</v>
      </c>
      <c r="AG81" s="8">
        <v>0.03382988823181989</v>
      </c>
      <c r="AH81" s="8">
        <v>0.03372628667369071</v>
      </c>
      <c r="AI81" s="8">
        <v>0.03362223410497052</v>
      </c>
      <c r="AJ81" s="8">
        <v>0.03351773590926399</v>
      </c>
      <c r="AK81" s="8">
        <v>0.0334127975025595</v>
      </c>
      <c r="AL81" s="8">
        <v>0.03330742433281984</v>
      </c>
      <c r="AM81" s="8">
        <v>0.03320162187953457</v>
      </c>
      <c r="AN81" s="8">
        <v>0.03309539565336479</v>
      </c>
      <c r="AO81" s="8">
        <v>0.03298875119565566</v>
      </c>
      <c r="AP81" s="8">
        <v>0.03288169407806692</v>
      </c>
      <c r="AQ81" s="8">
        <v>0.0327742299021196</v>
      </c>
      <c r="AR81" s="8">
        <v>0.03266636429880095</v>
      </c>
      <c r="AS81" s="8">
        <v>0.03255810292809543</v>
      </c>
      <c r="AT81" s="8">
        <v>0.03244945147859823</v>
      </c>
    </row>
    <row r="82" spans="1:46">
      <c r="A82" s="7">
        <v>34.8</v>
      </c>
      <c r="B82" s="8">
        <v>0.03660559749932162</v>
      </c>
      <c r="C82" s="8">
        <v>0.03651932561427316</v>
      </c>
      <c r="D82" s="8">
        <v>0.03643246234584154</v>
      </c>
      <c r="E82" s="8">
        <v>0.03634501184264707</v>
      </c>
      <c r="F82" s="8">
        <v>0.03625697829642434</v>
      </c>
      <c r="G82" s="8">
        <v>0.03616836594168973</v>
      </c>
      <c r="H82" s="8">
        <v>0.03607917905545435</v>
      </c>
      <c r="I82" s="8">
        <v>0.03598942195688011</v>
      </c>
      <c r="J82" s="8">
        <v>0.03589909900694153</v>
      </c>
      <c r="K82" s="8">
        <v>0.03580821460815855</v>
      </c>
      <c r="L82" s="8">
        <v>0.03571677320421145</v>
      </c>
      <c r="M82" s="8">
        <v>0.03562477927961823</v>
      </c>
      <c r="N82" s="8">
        <v>0.03553223735939071</v>
      </c>
      <c r="O82" s="8">
        <v>0.03543915200875034</v>
      </c>
      <c r="P82" s="8">
        <v>0.03534552783269333</v>
      </c>
      <c r="Q82" s="8">
        <v>0.03525136947571213</v>
      </c>
      <c r="R82" s="8">
        <v>0.03515668162142873</v>
      </c>
      <c r="S82" s="8">
        <v>0.03506146899222103</v>
      </c>
      <c r="T82" s="8">
        <v>0.03496573634889159</v>
      </c>
      <c r="U82" s="8">
        <v>0.03486948849029261</v>
      </c>
      <c r="V82" s="8">
        <v>0.03477273025298046</v>
      </c>
      <c r="W82" s="8">
        <v>0.03467546651082358</v>
      </c>
      <c r="X82" s="8">
        <v>0.03457770217465708</v>
      </c>
      <c r="Y82" s="8">
        <v>0.03447944219191044</v>
      </c>
      <c r="Z82" s="8">
        <v>0.03438069154620962</v>
      </c>
      <c r="AA82" s="8">
        <v>0.03428145525702888</v>
      </c>
      <c r="AB82" s="8">
        <v>0.03418173837929288</v>
      </c>
      <c r="AC82" s="8">
        <v>0.03408154600300577</v>
      </c>
      <c r="AD82" s="8">
        <v>0.03398088325285329</v>
      </c>
      <c r="AE82" s="8">
        <v>0.03387975528782192</v>
      </c>
      <c r="AF82" s="8">
        <v>0.03377816730080525</v>
      </c>
      <c r="AG82" s="8">
        <v>0.03367612451821032</v>
      </c>
      <c r="AH82" s="8">
        <v>0.03357363219958102</v>
      </c>
      <c r="AI82" s="8">
        <v>0.033470695637142</v>
      </c>
      <c r="AJ82" s="8">
        <v>0.03336732015546602</v>
      </c>
      <c r="AK82" s="8">
        <v>0.03326351111103776</v>
      </c>
      <c r="AL82" s="8">
        <v>0.03315927389183883</v>
      </c>
      <c r="AM82" s="8">
        <v>0.03305461391694706</v>
      </c>
      <c r="AN82" s="8">
        <v>0.03294953663613853</v>
      </c>
      <c r="AO82" s="8">
        <v>0.03284404752945562</v>
      </c>
      <c r="AP82" s="8">
        <v>0.03273815210679345</v>
      </c>
      <c r="AQ82" s="8">
        <v>0.03263185590748634</v>
      </c>
      <c r="AR82" s="8">
        <v>0.03252516449989287</v>
      </c>
      <c r="AS82" s="8">
        <v>0.03241808348095247</v>
      </c>
      <c r="AT82" s="8">
        <v>0.03231061847578047</v>
      </c>
    </row>
    <row r="83" spans="1:46">
      <c r="A83" s="7">
        <v>34.9</v>
      </c>
      <c r="B83" s="8">
        <v>0.03642181257871613</v>
      </c>
      <c r="C83" s="8">
        <v>0.03633640985462563</v>
      </c>
      <c r="D83" s="8">
        <v>0.03625042405826804</v>
      </c>
      <c r="E83" s="8">
        <v>0.03616385929565382</v>
      </c>
      <c r="F83" s="8">
        <v>0.03607671971529101</v>
      </c>
      <c r="G83" s="8">
        <v>0.03598900950793506</v>
      </c>
      <c r="H83" s="8">
        <v>0.03590073290625213</v>
      </c>
      <c r="I83" s="8">
        <v>0.03581189418448076</v>
      </c>
      <c r="J83" s="8">
        <v>0.03572249765816764</v>
      </c>
      <c r="K83" s="8">
        <v>0.03563254768377248</v>
      </c>
      <c r="L83" s="8">
        <v>0.03554204865840234</v>
      </c>
      <c r="M83" s="8">
        <v>0.03545100501944774</v>
      </c>
      <c r="N83" s="8">
        <v>0.0353594212442573</v>
      </c>
      <c r="O83" s="8">
        <v>0.03526730184980238</v>
      </c>
      <c r="P83" s="8">
        <v>0.03517465139233593</v>
      </c>
      <c r="Q83" s="8">
        <v>0.0350814744670501</v>
      </c>
      <c r="R83" s="8">
        <v>0.0349877757077266</v>
      </c>
      <c r="S83" s="8">
        <v>0.03489355978638855</v>
      </c>
      <c r="T83" s="8">
        <v>0.03479883141294238</v>
      </c>
      <c r="U83" s="8">
        <v>0.03470359533483673</v>
      </c>
      <c r="V83" s="8">
        <v>0.03460785633669729</v>
      </c>
      <c r="W83" s="8">
        <v>0.03451161923994448</v>
      </c>
      <c r="X83" s="8">
        <v>0.03441488890245523</v>
      </c>
      <c r="Y83" s="8">
        <v>0.03431767021820775</v>
      </c>
      <c r="Z83" s="8">
        <v>0.03421996811685517</v>
      </c>
      <c r="AA83" s="8">
        <v>0.03412178756340012</v>
      </c>
      <c r="AB83" s="8">
        <v>0.0340231335578153</v>
      </c>
      <c r="AC83" s="8">
        <v>0.03392401113464274</v>
      </c>
      <c r="AD83" s="8">
        <v>0.03382442536263426</v>
      </c>
      <c r="AE83" s="8">
        <v>0.03372438134434077</v>
      </c>
      <c r="AF83" s="8">
        <v>0.03362388421576697</v>
      </c>
      <c r="AG83" s="8">
        <v>0.0335229391459265</v>
      </c>
      <c r="AH83" s="8">
        <v>0.03342155133651374</v>
      </c>
      <c r="AI83" s="8">
        <v>0.03331972602143907</v>
      </c>
      <c r="AJ83" s="8">
        <v>0.03321746846649347</v>
      </c>
      <c r="AK83" s="8">
        <v>0.03311478396890664</v>
      </c>
      <c r="AL83" s="8">
        <v>0.03301167785697601</v>
      </c>
      <c r="AM83" s="8">
        <v>0.03290815548962769</v>
      </c>
      <c r="AN83" s="8">
        <v>0.03280422225604553</v>
      </c>
      <c r="AO83" s="8">
        <v>0.03269988357523488</v>
      </c>
      <c r="AP83" s="8">
        <v>0.03259514489561752</v>
      </c>
      <c r="AQ83" s="8">
        <v>0.03249001169462389</v>
      </c>
      <c r="AR83" s="8">
        <v>0.03238448947827521</v>
      </c>
      <c r="AS83" s="8">
        <v>0.03227858378074729</v>
      </c>
      <c r="AT83" s="8">
        <v>0.03217230016397395</v>
      </c>
    </row>
    <row r="84" spans="1:46">
      <c r="A84" s="7">
        <v>35</v>
      </c>
      <c r="B84" s="8">
        <v>0.03623873876344419</v>
      </c>
      <c r="C84" s="8">
        <v>0.03615420148752833</v>
      </c>
      <c r="D84" s="8">
        <v>0.0360690894148334</v>
      </c>
      <c r="E84" s="8">
        <v>0.03598340660888084</v>
      </c>
      <c r="F84" s="8">
        <v>0.03589715717518231</v>
      </c>
      <c r="G84" s="8">
        <v>0.03581034526087734</v>
      </c>
      <c r="H84" s="8">
        <v>0.03572297505447324</v>
      </c>
      <c r="I84" s="8">
        <v>0.03563505078550833</v>
      </c>
      <c r="J84" s="8">
        <v>0.03554657672421655</v>
      </c>
      <c r="K84" s="8">
        <v>0.0354575571812461</v>
      </c>
      <c r="L84" s="8">
        <v>0.03536799650731979</v>
      </c>
      <c r="M84" s="8">
        <v>0.03527789909288259</v>
      </c>
      <c r="N84" s="8">
        <v>0.03518726936781604</v>
      </c>
      <c r="O84" s="8">
        <v>0.03509611180107441</v>
      </c>
      <c r="P84" s="8">
        <v>0.03500443090035645</v>
      </c>
      <c r="Q84" s="8">
        <v>0.03491223121175011</v>
      </c>
      <c r="R84" s="8">
        <v>0.03481951731943127</v>
      </c>
      <c r="S84" s="8">
        <v>0.03472629384527721</v>
      </c>
      <c r="T84" s="8">
        <v>0.03463256544851987</v>
      </c>
      <c r="U84" s="8">
        <v>0.03453833682541898</v>
      </c>
      <c r="V84" s="8">
        <v>0.0344436127088926</v>
      </c>
      <c r="W84" s="8">
        <v>0.03434839786815758</v>
      </c>
      <c r="X84" s="8">
        <v>0.03425269710836147</v>
      </c>
      <c r="Y84" s="8">
        <v>0.034156515270233</v>
      </c>
      <c r="Z84" s="8">
        <v>0.03405985722972247</v>
      </c>
      <c r="AA84" s="8">
        <v>0.03396272789759251</v>
      </c>
      <c r="AB84" s="8">
        <v>0.0338651322191069</v>
      </c>
      <c r="AC84" s="8">
        <v>0.03376707517358853</v>
      </c>
      <c r="AD84" s="8">
        <v>0.03366856177409829</v>
      </c>
      <c r="AE84" s="8">
        <v>0.03356959706703293</v>
      </c>
      <c r="AF84" s="8">
        <v>0.03347018613170718</v>
      </c>
      <c r="AG84" s="8">
        <v>0.03337033408005254</v>
      </c>
      <c r="AH84" s="8">
        <v>0.03327004605613552</v>
      </c>
      <c r="AI84" s="8">
        <v>0.03316932723583364</v>
      </c>
      <c r="AJ84" s="8">
        <v>0.03306818282640762</v>
      </c>
      <c r="AK84" s="8">
        <v>0.03296661806612491</v>
      </c>
      <c r="AL84" s="8">
        <v>0.03286463822384889</v>
      </c>
      <c r="AM84" s="8">
        <v>0.03276224859863248</v>
      </c>
      <c r="AN84" s="8">
        <v>0.032659454519343</v>
      </c>
      <c r="AO84" s="8">
        <v>0.03255626134423011</v>
      </c>
      <c r="AP84" s="8">
        <v>0.03245267446052082</v>
      </c>
      <c r="AQ84" s="8">
        <v>0.03234869928403157</v>
      </c>
      <c r="AR84" s="8">
        <v>0.03224434125872051</v>
      </c>
      <c r="AS84" s="8">
        <v>0.0321396058562982</v>
      </c>
      <c r="AT84" s="8">
        <v>0.03203449857582683</v>
      </c>
    </row>
    <row r="85" spans="1:46">
      <c r="A85" s="7">
        <v>35.1</v>
      </c>
      <c r="B85" s="8">
        <v>0.03605637768054208</v>
      </c>
      <c r="C85" s="8">
        <v>0.03597270215265951</v>
      </c>
      <c r="D85" s="8">
        <v>0.03588846006763191</v>
      </c>
      <c r="E85" s="8">
        <v>0.03580365544671764</v>
      </c>
      <c r="F85" s="8">
        <v>0.03571829235255848</v>
      </c>
      <c r="G85" s="8">
        <v>0.03563237488888973</v>
      </c>
      <c r="H85" s="8">
        <v>0.03554590720022617</v>
      </c>
      <c r="I85" s="8">
        <v>0.03545889347157072</v>
      </c>
      <c r="J85" s="8">
        <v>0.03537133792807907</v>
      </c>
      <c r="K85" s="8">
        <v>0.03528324483474279</v>
      </c>
      <c r="L85" s="8">
        <v>0.03519461849609371</v>
      </c>
      <c r="M85" s="8">
        <v>0.03510546325584585</v>
      </c>
      <c r="N85" s="8">
        <v>0.03501578349660548</v>
      </c>
      <c r="O85" s="8">
        <v>0.03492558363950167</v>
      </c>
      <c r="P85" s="8">
        <v>0.03483486814388499</v>
      </c>
      <c r="Q85" s="8">
        <v>0.03474364150697653</v>
      </c>
      <c r="R85" s="8">
        <v>0.03465190826352967</v>
      </c>
      <c r="S85" s="8">
        <v>0.03455967298548899</v>
      </c>
      <c r="T85" s="8">
        <v>0.03446694028164785</v>
      </c>
      <c r="U85" s="8">
        <v>0.03437371479728455</v>
      </c>
      <c r="V85" s="8">
        <v>0.03428000121384826</v>
      </c>
      <c r="W85" s="8">
        <v>0.03418580424855122</v>
      </c>
      <c r="X85" s="8">
        <v>0.0340911286540603</v>
      </c>
      <c r="Y85" s="8">
        <v>0.03399597921809914</v>
      </c>
      <c r="Z85" s="8">
        <v>0.03390036076312981</v>
      </c>
      <c r="AA85" s="8">
        <v>0.03380427814592792</v>
      </c>
      <c r="AB85" s="8">
        <v>0.03370773625726571</v>
      </c>
      <c r="AC85" s="8">
        <v>0.03361074002151554</v>
      </c>
      <c r="AD85" s="8">
        <v>0.03351329439629325</v>
      </c>
      <c r="AE85" s="8">
        <v>0.03341540437205311</v>
      </c>
      <c r="AF85" s="8">
        <v>0.03331707497174108</v>
      </c>
      <c r="AG85" s="8">
        <v>0.03321831125039267</v>
      </c>
      <c r="AH85" s="8">
        <v>0.03311911829476059</v>
      </c>
      <c r="AI85" s="8">
        <v>0.03301950122291686</v>
      </c>
      <c r="AJ85" s="8">
        <v>0.03291946518387476</v>
      </c>
      <c r="AK85" s="8">
        <v>0.03281901535719101</v>
      </c>
      <c r="AL85" s="8">
        <v>0.03271815695257345</v>
      </c>
      <c r="AM85" s="8">
        <v>0.03261689520947897</v>
      </c>
      <c r="AN85" s="8">
        <v>0.03251523539671979</v>
      </c>
      <c r="AO85" s="8">
        <v>0.03241318281206986</v>
      </c>
      <c r="AP85" s="8">
        <v>0.03231074278185844</v>
      </c>
      <c r="AQ85" s="8">
        <v>0.03220792066053946</v>
      </c>
      <c r="AR85" s="8">
        <v>0.03210472183033346</v>
      </c>
      <c r="AS85" s="8">
        <v>0.03200115170075719</v>
      </c>
      <c r="AT85" s="8">
        <v>0.03189721570826691</v>
      </c>
    </row>
    <row r="86" spans="1:46">
      <c r="A86" s="7">
        <v>35.2</v>
      </c>
      <c r="B86" s="8">
        <v>0.03587473092535021</v>
      </c>
      <c r="C86" s="8">
        <v>0.03579191345782533</v>
      </c>
      <c r="D86" s="8">
        <v>0.03570853763681044</v>
      </c>
      <c r="E86" s="8">
        <v>0.03562460744143152</v>
      </c>
      <c r="F86" s="8">
        <v>0.03554012689166512</v>
      </c>
      <c r="G86" s="8">
        <v>0.03545510004798871</v>
      </c>
      <c r="H86" s="8">
        <v>0.03536953101112914</v>
      </c>
      <c r="I86" s="8">
        <v>0.03528342392173016</v>
      </c>
      <c r="J86" s="8">
        <v>0.0351967829600369</v>
      </c>
      <c r="K86" s="8">
        <v>0.03510961234560454</v>
      </c>
      <c r="L86" s="8">
        <v>0.03502191633694025</v>
      </c>
      <c r="M86" s="8">
        <v>0.03493369923123737</v>
      </c>
      <c r="N86" s="8">
        <v>0.03484496536400315</v>
      </c>
      <c r="O86" s="8">
        <v>0.03475571910877022</v>
      </c>
      <c r="P86" s="8">
        <v>0.03466596487673712</v>
      </c>
      <c r="Q86" s="8">
        <v>0.03457570711644849</v>
      </c>
      <c r="R86" s="8">
        <v>0.03448495031346539</v>
      </c>
      <c r="S86" s="8">
        <v>0.0343936989900044</v>
      </c>
      <c r="T86" s="8">
        <v>0.03430195770463769</v>
      </c>
      <c r="U86" s="8">
        <v>0.03420973105188665</v>
      </c>
      <c r="V86" s="8">
        <v>0.03411702366193907</v>
      </c>
      <c r="W86" s="8">
        <v>0.03402384020025125</v>
      </c>
      <c r="X86" s="8">
        <v>0.03393018536721115</v>
      </c>
      <c r="Y86" s="8">
        <v>0.03383606389779743</v>
      </c>
      <c r="Z86" s="8">
        <v>0.03374148056118002</v>
      </c>
      <c r="AA86" s="8">
        <v>0.03364644016041467</v>
      </c>
      <c r="AB86" s="8">
        <v>0.03355094753202081</v>
      </c>
      <c r="AC86" s="8">
        <v>0.03345500754565904</v>
      </c>
      <c r="AD86" s="8">
        <v>0.03335862510372891</v>
      </c>
      <c r="AE86" s="8">
        <v>0.03326180514102219</v>
      </c>
      <c r="AF86" s="8">
        <v>0.0331645526243463</v>
      </c>
      <c r="AG86" s="8">
        <v>0.03306687255210363</v>
      </c>
      <c r="AH86" s="8">
        <v>0.0329687699539889</v>
      </c>
      <c r="AI86" s="8">
        <v>0.0328702498905173</v>
      </c>
      <c r="AJ86" s="8">
        <v>0.03277131745272612</v>
      </c>
      <c r="AK86" s="8">
        <v>0.03267197776173418</v>
      </c>
      <c r="AL86" s="8">
        <v>0.03257223596834109</v>
      </c>
      <c r="AM86" s="8">
        <v>0.03247209725270182</v>
      </c>
      <c r="AN86" s="8">
        <v>0.03237156682384068</v>
      </c>
      <c r="AO86" s="8">
        <v>0.03227064991934157</v>
      </c>
      <c r="AP86" s="8">
        <v>0.03216935180488179</v>
      </c>
      <c r="AQ86" s="8">
        <v>0.03206767777388961</v>
      </c>
      <c r="AR86" s="8">
        <v>0.03196563314706822</v>
      </c>
      <c r="AS86" s="8">
        <v>0.03186322327207876</v>
      </c>
      <c r="AT86" s="8">
        <v>0.03176045352303447</v>
      </c>
    </row>
    <row r="87" spans="1:46">
      <c r="A87" s="7">
        <v>35.3</v>
      </c>
      <c r="B87" s="8">
        <v>0.03569380006214971</v>
      </c>
      <c r="C87" s="8">
        <v>0.03561183697968602</v>
      </c>
      <c r="D87" s="8">
        <v>0.03552932371120221</v>
      </c>
      <c r="E87" s="8">
        <v>0.03544626419388379</v>
      </c>
      <c r="F87" s="8">
        <v>0.03536266240518131</v>
      </c>
      <c r="G87" s="8">
        <v>0.03527852236252187</v>
      </c>
      <c r="H87" s="8">
        <v>0.03519384812301354</v>
      </c>
      <c r="I87" s="8">
        <v>0.03510864378311709</v>
      </c>
      <c r="J87" s="8">
        <v>0.03502291347835609</v>
      </c>
      <c r="K87" s="8">
        <v>0.03493666138301137</v>
      </c>
      <c r="L87" s="8">
        <v>0.03484989170980839</v>
      </c>
      <c r="M87" s="8">
        <v>0.03476260870956054</v>
      </c>
      <c r="N87" s="8">
        <v>0.03467481667091477</v>
      </c>
      <c r="O87" s="8">
        <v>0.03458651991998209</v>
      </c>
      <c r="P87" s="8">
        <v>0.03449772282000794</v>
      </c>
      <c r="Q87" s="8">
        <v>0.03440842977108645</v>
      </c>
      <c r="R87" s="8">
        <v>0.0343186452097811</v>
      </c>
      <c r="S87" s="8">
        <v>0.03422837360880493</v>
      </c>
      <c r="T87" s="8">
        <v>0.03413761947670509</v>
      </c>
      <c r="U87" s="8">
        <v>0.03404638735747909</v>
      </c>
      <c r="V87" s="8">
        <v>0.03395468183027646</v>
      </c>
      <c r="W87" s="8">
        <v>0.03386250750900359</v>
      </c>
      <c r="X87" s="8">
        <v>0.03376986904201686</v>
      </c>
      <c r="Y87" s="8">
        <v>0.03367677111175453</v>
      </c>
      <c r="Z87" s="8">
        <v>0.03358321843436869</v>
      </c>
      <c r="AA87" s="8">
        <v>0.0334892157593913</v>
      </c>
      <c r="AB87" s="8">
        <v>0.03339476786934768</v>
      </c>
      <c r="AC87" s="8">
        <v>0.03329987957941398</v>
      </c>
      <c r="AD87" s="8">
        <v>0.03320455573704351</v>
      </c>
      <c r="AE87" s="8">
        <v>0.03310880122159716</v>
      </c>
      <c r="AF87" s="8">
        <v>0.03301262094397117</v>
      </c>
      <c r="AG87" s="8">
        <v>0.03291601984622616</v>
      </c>
      <c r="AH87" s="8">
        <v>0.03281900290122195</v>
      </c>
      <c r="AI87" s="8">
        <v>0.03272157511222389</v>
      </c>
      <c r="AJ87" s="8">
        <v>0.03262374151251209</v>
      </c>
      <c r="AK87" s="8">
        <v>0.03252550716503322</v>
      </c>
      <c r="AL87" s="8">
        <v>0.03242687716197849</v>
      </c>
      <c r="AM87" s="8">
        <v>0.03232785662442837</v>
      </c>
      <c r="AN87" s="8">
        <v>0.03222845070192193</v>
      </c>
      <c r="AO87" s="8">
        <v>0.03212866457211021</v>
      </c>
      <c r="AP87" s="8">
        <v>0.03202850344032555</v>
      </c>
      <c r="AQ87" s="8">
        <v>0.03192797253919366</v>
      </c>
      <c r="AR87" s="8">
        <v>0.03182707712826556</v>
      </c>
      <c r="AS87" s="8">
        <v>0.03172582249355713</v>
      </c>
      <c r="AT87" s="8">
        <v>0.03162421394718536</v>
      </c>
    </row>
    <row r="88" spans="1:46">
      <c r="A88" s="7">
        <v>35.4</v>
      </c>
      <c r="B88" s="8">
        <v>0.03551358662488866</v>
      </c>
      <c r="C88" s="8">
        <v>0.03543247426440672</v>
      </c>
      <c r="D88" s="8">
        <v>0.03535081984903314</v>
      </c>
      <c r="E88" s="8">
        <v>0.03526862727416073</v>
      </c>
      <c r="F88" s="8">
        <v>0.03518590047492296</v>
      </c>
      <c r="G88" s="8">
        <v>0.0351026434258415</v>
      </c>
      <c r="H88" s="8">
        <v>0.03501886014058044</v>
      </c>
      <c r="I88" s="8">
        <v>0.03493455467160232</v>
      </c>
      <c r="J88" s="8">
        <v>0.03484973110990239</v>
      </c>
      <c r="K88" s="8">
        <v>0.03476439358468184</v>
      </c>
      <c r="L88" s="8">
        <v>0.03467854626302369</v>
      </c>
      <c r="M88" s="8">
        <v>0.03459219334961574</v>
      </c>
      <c r="N88" s="8">
        <v>0.03450533908640807</v>
      </c>
      <c r="O88" s="8">
        <v>0.03441798775228051</v>
      </c>
      <c r="P88" s="8">
        <v>0.03433014366275415</v>
      </c>
      <c r="Q88" s="8">
        <v>0.03424181116965315</v>
      </c>
      <c r="R88" s="8">
        <v>0.03415299466076362</v>
      </c>
      <c r="S88" s="8">
        <v>0.0340636985595026</v>
      </c>
      <c r="T88" s="8">
        <v>0.03397392732460673</v>
      </c>
      <c r="U88" s="8">
        <v>0.03388368544976572</v>
      </c>
      <c r="V88" s="8">
        <v>0.03379297746329968</v>
      </c>
      <c r="W88" s="8">
        <v>0.03370180792780957</v>
      </c>
      <c r="X88" s="8">
        <v>0.03361018143983614</v>
      </c>
      <c r="Y88" s="8">
        <v>0.03351810262950607</v>
      </c>
      <c r="Z88" s="8">
        <v>0.03342557616018098</v>
      </c>
      <c r="AA88" s="8">
        <v>0.03333260672810354</v>
      </c>
      <c r="AB88" s="8">
        <v>0.03323919906205077</v>
      </c>
      <c r="AC88" s="8">
        <v>0.03314535792294748</v>
      </c>
      <c r="AD88" s="8">
        <v>0.03305108810353374</v>
      </c>
      <c r="AE88" s="8">
        <v>0.03295639442800393</v>
      </c>
      <c r="AF88" s="8">
        <v>0.0328612817516003</v>
      </c>
      <c r="AG88" s="8">
        <v>0.0327657549602705</v>
      </c>
      <c r="AH88" s="8">
        <v>0.03266981897031655</v>
      </c>
      <c r="AI88" s="8">
        <v>0.03257347872796999</v>
      </c>
      <c r="AJ88" s="8">
        <v>0.03247673920905925</v>
      </c>
      <c r="AK88" s="8">
        <v>0.032379605418609</v>
      </c>
      <c r="AL88" s="8">
        <v>0.03228208239046211</v>
      </c>
      <c r="AM88" s="8">
        <v>0.03218417518689876</v>
      </c>
      <c r="AN88" s="8">
        <v>0.03208588889823716</v>
      </c>
      <c r="AO88" s="8">
        <v>0.03198722864247401</v>
      </c>
      <c r="AP88" s="8">
        <v>0.031888199564861</v>
      </c>
      <c r="AQ88" s="8">
        <v>0.03178880683755665</v>
      </c>
      <c r="AR88" s="8">
        <v>0.03168905565916162</v>
      </c>
      <c r="AS88" s="8">
        <v>0.03158895125438334</v>
      </c>
      <c r="AT88" s="8">
        <v>0.03148849887361251</v>
      </c>
    </row>
    <row r="89" spans="1:46">
      <c r="A89" s="7">
        <v>35.5</v>
      </c>
      <c r="B89" s="8">
        <v>0.03533409211785141</v>
      </c>
      <c r="C89" s="8">
        <v>0.03525382682835811</v>
      </c>
      <c r="D89" s="8">
        <v>0.03517302757857692</v>
      </c>
      <c r="E89" s="8">
        <v>0.0350916982223012</v>
      </c>
      <c r="F89" s="8">
        <v>0.03500984265248945</v>
      </c>
      <c r="G89" s="8">
        <v>0.03492746480093843</v>
      </c>
      <c r="H89" s="8">
        <v>0.03484456863805008</v>
      </c>
      <c r="I89" s="8">
        <v>0.03476115817246637</v>
      </c>
      <c r="J89" s="8">
        <v>0.03467723745083617</v>
      </c>
      <c r="K89" s="8">
        <v>0.03459281055744583</v>
      </c>
      <c r="L89" s="8">
        <v>0.03450788161397043</v>
      </c>
      <c r="M89" s="8">
        <v>0.03442245477911428</v>
      </c>
      <c r="N89" s="8">
        <v>0.03433653424833381</v>
      </c>
      <c r="O89" s="8">
        <v>0.03425012425349934</v>
      </c>
      <c r="P89" s="8">
        <v>0.03416322906259665</v>
      </c>
      <c r="Q89" s="8">
        <v>0.03407585297937459</v>
      </c>
      <c r="R89" s="8">
        <v>0.03398800034305083</v>
      </c>
      <c r="S89" s="8">
        <v>0.03389967552796378</v>
      </c>
      <c r="T89" s="8">
        <v>0.0338108829432386</v>
      </c>
      <c r="U89" s="8">
        <v>0.03372162703248307</v>
      </c>
      <c r="V89" s="8">
        <v>0.03363191227340963</v>
      </c>
      <c r="W89" s="8">
        <v>0.03354174317753689</v>
      </c>
      <c r="X89" s="8">
        <v>0.0334511242897932</v>
      </c>
      <c r="Y89" s="8">
        <v>0.03336006018823952</v>
      </c>
      <c r="Z89" s="8">
        <v>0.03326855548367433</v>
      </c>
      <c r="AA89" s="8">
        <v>0.03317661481928411</v>
      </c>
      <c r="AB89" s="8">
        <v>0.03308424287031926</v>
      </c>
      <c r="AC89" s="8">
        <v>0.03299144434372749</v>
      </c>
      <c r="AD89" s="8">
        <v>0.03289822397776163</v>
      </c>
      <c r="AE89" s="8">
        <v>0.03280458654166694</v>
      </c>
      <c r="AF89" s="8">
        <v>0.0327105368353088</v>
      </c>
      <c r="AG89" s="8">
        <v>0.03261607968877485</v>
      </c>
      <c r="AH89" s="8">
        <v>0.0325212199620438</v>
      </c>
      <c r="AI89" s="8">
        <v>0.03242596254459755</v>
      </c>
      <c r="AJ89" s="8">
        <v>0.03233031235503745</v>
      </c>
      <c r="AK89" s="8">
        <v>0.03223427434074751</v>
      </c>
      <c r="AL89" s="8">
        <v>0.03213785347748654</v>
      </c>
      <c r="AM89" s="8">
        <v>0.03204105476899741</v>
      </c>
      <c r="AN89" s="8">
        <v>0.03194388324666449</v>
      </c>
      <c r="AO89" s="8">
        <v>0.03184634396908877</v>
      </c>
      <c r="AP89" s="8">
        <v>0.03174844202173119</v>
      </c>
      <c r="AQ89" s="8">
        <v>0.03165018251651759</v>
      </c>
      <c r="AR89" s="8">
        <v>0.03155157059142084</v>
      </c>
      <c r="AS89" s="8">
        <v>0.03145261141011986</v>
      </c>
      <c r="AT89" s="8">
        <v>0.03135331016155618</v>
      </c>
    </row>
    <row r="90" spans="1:46">
      <c r="A90" s="7">
        <v>35.6</v>
      </c>
      <c r="B90" s="8">
        <v>0.03515531801632221</v>
      </c>
      <c r="C90" s="8">
        <v>0.03507589615875588</v>
      </c>
      <c r="D90" s="8">
        <v>0.03499594839882718</v>
      </c>
      <c r="E90" s="8">
        <v>0.034915478548902</v>
      </c>
      <c r="F90" s="8">
        <v>0.03483449045990739</v>
      </c>
      <c r="G90" s="8">
        <v>0.03475298802111411</v>
      </c>
      <c r="H90" s="8">
        <v>0.03467097515981834</v>
      </c>
      <c r="I90" s="8">
        <v>0.0345884558410333</v>
      </c>
      <c r="J90" s="8">
        <v>0.03450543406720783</v>
      </c>
      <c r="K90" s="8">
        <v>0.03442191387794367</v>
      </c>
      <c r="L90" s="8">
        <v>0.03433789934965858</v>
      </c>
      <c r="M90" s="8">
        <v>0.03425339459528374</v>
      </c>
      <c r="N90" s="8">
        <v>0.03416840376397232</v>
      </c>
      <c r="O90" s="8">
        <v>0.03408293104076989</v>
      </c>
      <c r="P90" s="8">
        <v>0.03399698064632446</v>
      </c>
      <c r="Q90" s="8">
        <v>0.03391055683652837</v>
      </c>
      <c r="R90" s="8">
        <v>0.033823663902227</v>
      </c>
      <c r="S90" s="8">
        <v>0.0337363061688805</v>
      </c>
      <c r="T90" s="8">
        <v>0.03364848799623558</v>
      </c>
      <c r="U90" s="8">
        <v>0.03356021377800857</v>
      </c>
      <c r="V90" s="8">
        <v>0.03347148794153867</v>
      </c>
      <c r="W90" s="8">
        <v>0.03338231494745543</v>
      </c>
      <c r="X90" s="8">
        <v>0.03329269928934053</v>
      </c>
      <c r="Y90" s="8">
        <v>0.03320264549337963</v>
      </c>
      <c r="Z90" s="8">
        <v>0.03311215811804828</v>
      </c>
      <c r="AA90" s="8">
        <v>0.03302124175372256</v>
      </c>
      <c r="AB90" s="8">
        <v>0.03292990102235507</v>
      </c>
      <c r="AC90" s="8">
        <v>0.03283814057712249</v>
      </c>
      <c r="AD90" s="8">
        <v>0.03274596510206749</v>
      </c>
      <c r="AE90" s="8">
        <v>0.03265337931173349</v>
      </c>
      <c r="AF90" s="8">
        <v>0.03256038795082929</v>
      </c>
      <c r="AG90" s="8">
        <v>0.0324669957938454</v>
      </c>
      <c r="AH90" s="8">
        <v>0.03237320764469729</v>
      </c>
      <c r="AI90" s="8">
        <v>0.03227902833634601</v>
      </c>
      <c r="AJ90" s="8">
        <v>0.03218446273046709</v>
      </c>
      <c r="AK90" s="8">
        <v>0.03208951571704262</v>
      </c>
      <c r="AL90" s="8">
        <v>0.03199419221398329</v>
      </c>
      <c r="AM90" s="8">
        <v>0.03189849716681294</v>
      </c>
      <c r="AN90" s="8">
        <v>0.03180243554820237</v>
      </c>
      <c r="AO90" s="8">
        <v>0.03170601235766383</v>
      </c>
      <c r="AP90" s="8">
        <v>0.0316092326211205</v>
      </c>
      <c r="AQ90" s="8">
        <v>0.03151210139056247</v>
      </c>
      <c r="AR90" s="8">
        <v>0.03141462374362192</v>
      </c>
      <c r="AS90" s="8">
        <v>0.0313168047832022</v>
      </c>
      <c r="AT90" s="8">
        <v>0.0312186496370856</v>
      </c>
    </row>
    <row r="91" spans="1:46">
      <c r="A91" s="7">
        <v>35.7</v>
      </c>
      <c r="B91" s="8">
        <v>0.03497726576722186</v>
      </c>
      <c r="C91" s="8">
        <v>0.03489868371430731</v>
      </c>
      <c r="D91" s="8">
        <v>0.03481958378013701</v>
      </c>
      <c r="E91" s="8">
        <v>0.03473996973576306</v>
      </c>
      <c r="F91" s="8">
        <v>0.03465984539028995</v>
      </c>
      <c r="G91" s="8">
        <v>0.03457921459060316</v>
      </c>
      <c r="H91" s="8">
        <v>0.03449808122107641</v>
      </c>
      <c r="I91" s="8">
        <v>0.03441644920326468</v>
      </c>
      <c r="J91" s="8">
        <v>0.03433432249562429</v>
      </c>
      <c r="K91" s="8">
        <v>0.03425170509320737</v>
      </c>
      <c r="L91" s="8">
        <v>0.03416860102739037</v>
      </c>
      <c r="M91" s="8">
        <v>0.03408501436550608</v>
      </c>
      <c r="N91" s="8">
        <v>0.03400094921060912</v>
      </c>
      <c r="O91" s="8">
        <v>0.03391640970111922</v>
      </c>
      <c r="P91" s="8">
        <v>0.03383140001052425</v>
      </c>
      <c r="Q91" s="8">
        <v>0.03374592434707182</v>
      </c>
      <c r="R91" s="8">
        <v>0.03365998695343535</v>
      </c>
      <c r="S91" s="8">
        <v>0.03357359210640425</v>
      </c>
      <c r="T91" s="8">
        <v>0.03348674411656418</v>
      </c>
      <c r="U91" s="8">
        <v>0.03339944732794606</v>
      </c>
      <c r="V91" s="8">
        <v>0.03331170611772762</v>
      </c>
      <c r="W91" s="8">
        <v>0.03322352489588098</v>
      </c>
      <c r="X91" s="8">
        <v>0.03313490810484012</v>
      </c>
      <c r="Y91" s="8">
        <v>0.03304586021917686</v>
      </c>
      <c r="Z91" s="8">
        <v>0.0329563857452456</v>
      </c>
      <c r="AA91" s="8">
        <v>0.03286648922083657</v>
      </c>
      <c r="AB91" s="8">
        <v>0.03277617521484757</v>
      </c>
      <c r="AC91" s="8">
        <v>0.03268544832694289</v>
      </c>
      <c r="AD91" s="8">
        <v>0.03259431318715968</v>
      </c>
      <c r="AE91" s="8">
        <v>0.03250277445560954</v>
      </c>
      <c r="AF91" s="8">
        <v>0.03241083682208057</v>
      </c>
      <c r="AG91" s="8">
        <v>0.03231850500571341</v>
      </c>
      <c r="AH91" s="8">
        <v>0.03222578375459761</v>
      </c>
      <c r="AI91" s="8">
        <v>0.03213267784545622</v>
      </c>
      <c r="AJ91" s="8">
        <v>0.03203919208326909</v>
      </c>
      <c r="AK91" s="8">
        <v>0.03194533130088075</v>
      </c>
      <c r="AL91" s="8">
        <v>0.03185110035865932</v>
      </c>
      <c r="AM91" s="8">
        <v>0.03175650414410854</v>
      </c>
      <c r="AN91" s="8">
        <v>0.03166154757150537</v>
      </c>
      <c r="AO91" s="8">
        <v>0.03156623558150642</v>
      </c>
      <c r="AP91" s="8">
        <v>0.03147057314080115</v>
      </c>
      <c r="AQ91" s="8">
        <v>0.03137456524170119</v>
      </c>
      <c r="AR91" s="8">
        <v>0.03127821690176944</v>
      </c>
      <c r="AS91" s="8">
        <v>0.03118153316344206</v>
      </c>
      <c r="AT91" s="8">
        <v>0.03108451909362344</v>
      </c>
    </row>
    <row r="92" spans="1:46">
      <c r="A92" s="7">
        <v>35.8</v>
      </c>
      <c r="B92" s="8">
        <v>0.03479993678976001</v>
      </c>
      <c r="C92" s="8">
        <v>0.03472219092588915</v>
      </c>
      <c r="D92" s="8">
        <v>0.03464393516483853</v>
      </c>
      <c r="E92" s="8">
        <v>0.03456517323654253</v>
      </c>
      <c r="F92" s="8">
        <v>0.03448590890843377</v>
      </c>
      <c r="G92" s="8">
        <v>0.03440614598519147</v>
      </c>
      <c r="H92" s="8">
        <v>0.03432588830843599</v>
      </c>
      <c r="I92" s="8">
        <v>0.03424513975642611</v>
      </c>
      <c r="J92" s="8">
        <v>0.03416390424380324</v>
      </c>
      <c r="K92" s="8">
        <v>0.03408218572128448</v>
      </c>
      <c r="L92" s="8">
        <v>0.03399998817533714</v>
      </c>
      <c r="M92" s="8">
        <v>0.0339173156279287</v>
      </c>
      <c r="N92" s="8">
        <v>0.0338341721361715</v>
      </c>
      <c r="O92" s="8">
        <v>0.03375056179206695</v>
      </c>
      <c r="P92" s="8">
        <v>0.03366648872214739</v>
      </c>
      <c r="Q92" s="8">
        <v>0.03358195708720615</v>
      </c>
      <c r="R92" s="8">
        <v>0.03349697108195358</v>
      </c>
      <c r="S92" s="8">
        <v>0.03341153493470585</v>
      </c>
      <c r="T92" s="8">
        <v>0.03332565290709368</v>
      </c>
      <c r="U92" s="8">
        <v>0.03323932929368283</v>
      </c>
      <c r="V92" s="8">
        <v>0.03315256842170129</v>
      </c>
      <c r="W92" s="8">
        <v>0.03306537465068402</v>
      </c>
      <c r="X92" s="8">
        <v>0.03297775237213756</v>
      </c>
      <c r="Y92" s="8">
        <v>0.03288970600923591</v>
      </c>
      <c r="Z92" s="8">
        <v>0.03280124001644254</v>
      </c>
      <c r="AA92" s="8">
        <v>0.03271235887920625</v>
      </c>
      <c r="AB92" s="8">
        <v>0.03262306711360026</v>
      </c>
      <c r="AC92" s="8">
        <v>0.03253336926598536</v>
      </c>
      <c r="AD92" s="8">
        <v>0.03244326991266462</v>
      </c>
      <c r="AE92" s="8">
        <v>0.03235277365952811</v>
      </c>
      <c r="AF92" s="8">
        <v>0.03226188514170758</v>
      </c>
      <c r="AG92" s="8">
        <v>0.03217060902322828</v>
      </c>
      <c r="AH92" s="8">
        <v>0.03207894999662386</v>
      </c>
      <c r="AI92" s="8">
        <v>0.0319869127826351</v>
      </c>
      <c r="AJ92" s="8">
        <v>0.03189450212977789</v>
      </c>
      <c r="AK92" s="8">
        <v>0.03180172281403344</v>
      </c>
      <c r="AL92" s="8">
        <v>0.031708579638466</v>
      </c>
      <c r="AM92" s="8">
        <v>0.03161507743285909</v>
      </c>
      <c r="AN92" s="8">
        <v>0.03152122105333319</v>
      </c>
      <c r="AO92" s="8">
        <v>0.03142701538198907</v>
      </c>
      <c r="AP92" s="8">
        <v>0.03133246532652123</v>
      </c>
      <c r="AQ92" s="8">
        <v>0.03123757581986126</v>
      </c>
      <c r="AR92" s="8">
        <v>0.03114235181977705</v>
      </c>
      <c r="AS92" s="8">
        <v>0.03104679830851325</v>
      </c>
      <c r="AT92" s="8">
        <v>0.03095092029238771</v>
      </c>
    </row>
    <row r="93" spans="1:46">
      <c r="A93" s="7">
        <v>35.9</v>
      </c>
      <c r="B93" s="8">
        <v>0.03462333247605613</v>
      </c>
      <c r="C93" s="8">
        <v>0.03454641919710326</v>
      </c>
      <c r="D93" s="8">
        <v>0.03446900396787526</v>
      </c>
      <c r="E93" s="8">
        <v>0.03439109047735371</v>
      </c>
      <c r="F93" s="8">
        <v>0.03431268245146555</v>
      </c>
      <c r="G93" s="8">
        <v>0.03423378365283867</v>
      </c>
      <c r="H93" s="8">
        <v>0.03415439788051487</v>
      </c>
      <c r="I93" s="8">
        <v>0.03407452896964713</v>
      </c>
      <c r="J93" s="8">
        <v>0.03399418079122825</v>
      </c>
      <c r="K93" s="8">
        <v>0.03391335725180085</v>
      </c>
      <c r="L93" s="8">
        <v>0.03383206229314624</v>
      </c>
      <c r="M93" s="8">
        <v>0.03375029989200726</v>
      </c>
      <c r="N93" s="8">
        <v>0.03366807405978278</v>
      </c>
      <c r="O93" s="8">
        <v>0.03358538884222355</v>
      </c>
      <c r="P93" s="8">
        <v>0.03350224831909827</v>
      </c>
      <c r="Q93" s="8">
        <v>0.03341865660395769</v>
      </c>
      <c r="R93" s="8">
        <v>0.03333461784374805</v>
      </c>
      <c r="S93" s="8">
        <v>0.03325013621852548</v>
      </c>
      <c r="T93" s="8">
        <v>0.03316521594114903</v>
      </c>
      <c r="U93" s="8">
        <v>0.03307986125695805</v>
      </c>
      <c r="V93" s="8">
        <v>0.03299407644342409</v>
      </c>
      <c r="W93" s="8">
        <v>0.0329078658098652</v>
      </c>
      <c r="X93" s="8">
        <v>0.03282123369709069</v>
      </c>
      <c r="Y93" s="8">
        <v>0.03273418447708707</v>
      </c>
      <c r="Z93" s="8">
        <v>0.03264672255266277</v>
      </c>
      <c r="AA93" s="8">
        <v>0.03255885235714118</v>
      </c>
      <c r="AB93" s="8">
        <v>0.03247057835400682</v>
      </c>
      <c r="AC93" s="8">
        <v>0.03238190503656</v>
      </c>
      <c r="AD93" s="8">
        <v>0.03229283692759424</v>
      </c>
      <c r="AE93" s="8">
        <v>0.03220337857903956</v>
      </c>
      <c r="AF93" s="8">
        <v>0.03211353457159447</v>
      </c>
      <c r="AG93" s="8">
        <v>0.03202330951442604</v>
      </c>
      <c r="AH93" s="8">
        <v>0.0319327080447593</v>
      </c>
      <c r="AI93" s="8">
        <v>0.03184173482758723</v>
      </c>
      <c r="AJ93" s="8">
        <v>0.03175039455523176</v>
      </c>
      <c r="AK93" s="8">
        <v>0.03165869194708222</v>
      </c>
      <c r="AL93" s="8">
        <v>0.03156663174914485</v>
      </c>
      <c r="AM93" s="8">
        <v>0.03147421873373304</v>
      </c>
      <c r="AN93" s="8">
        <v>0.03138145769910352</v>
      </c>
      <c r="AO93" s="8">
        <v>0.03128835346904992</v>
      </c>
      <c r="AP93" s="8">
        <v>0.0311949108925532</v>
      </c>
      <c r="AQ93" s="8">
        <v>0.03110113484343913</v>
      </c>
      <c r="AR93" s="8">
        <v>0.03100703021995912</v>
      </c>
      <c r="AS93" s="8">
        <v>0.03091260194442924</v>
      </c>
      <c r="AT93" s="8">
        <v>0.03081785496287779</v>
      </c>
    </row>
    <row r="94" spans="1:46">
      <c r="A94" s="7">
        <v>36</v>
      </c>
      <c r="B94" s="8">
        <v>0.03444745419176769</v>
      </c>
      <c r="C94" s="8">
        <v>0.0343713699049303</v>
      </c>
      <c r="D94" s="8">
        <v>0.03429479157741326</v>
      </c>
      <c r="E94" s="8">
        <v>0.03421772285737177</v>
      </c>
      <c r="F94" s="8">
        <v>0.03414016742940475</v>
      </c>
      <c r="G94" s="8">
        <v>0.034062129014265</v>
      </c>
      <c r="H94" s="8">
        <v>0.03398361136857204</v>
      </c>
      <c r="I94" s="8">
        <v>0.03390461828454221</v>
      </c>
      <c r="J94" s="8">
        <v>0.03382515358970437</v>
      </c>
      <c r="K94" s="8">
        <v>0.03374522114659726</v>
      </c>
      <c r="L94" s="8">
        <v>0.03366482485250231</v>
      </c>
      <c r="M94" s="8">
        <v>0.03358396863914095</v>
      </c>
      <c r="N94" s="8">
        <v>0.03350265647234494</v>
      </c>
      <c r="O94" s="8">
        <v>0.03342089235183039</v>
      </c>
      <c r="P94" s="8">
        <v>0.03333868031081124</v>
      </c>
      <c r="Q94" s="8">
        <v>0.03325602441576621</v>
      </c>
      <c r="R94" s="8">
        <v>0.03317292876608065</v>
      </c>
      <c r="S94" s="8">
        <v>0.0330893974937581</v>
      </c>
      <c r="T94" s="8">
        <v>0.03300543476310765</v>
      </c>
      <c r="U94" s="8">
        <v>0.03292104477042131</v>
      </c>
      <c r="V94" s="8">
        <v>0.03283623174365715</v>
      </c>
      <c r="W94" s="8">
        <v>0.03275099994212383</v>
      </c>
      <c r="X94" s="8">
        <v>0.03266535365613663</v>
      </c>
      <c r="Y94" s="8">
        <v>0.03257929720672052</v>
      </c>
      <c r="Z94" s="8">
        <v>0.03249283494526622</v>
      </c>
      <c r="AA94" s="8">
        <v>0.03240597125318914</v>
      </c>
      <c r="AB94" s="8">
        <v>0.03231871054162383</v>
      </c>
      <c r="AC94" s="8">
        <v>0.03223105725103607</v>
      </c>
      <c r="AD94" s="8">
        <v>0.03214301585094859</v>
      </c>
      <c r="AE94" s="8">
        <v>0.03205459083956299</v>
      </c>
      <c r="AF94" s="8">
        <v>0.03196578674340884</v>
      </c>
      <c r="AG94" s="8">
        <v>0.0318766081170125</v>
      </c>
      <c r="AH94" s="8">
        <v>0.03178705954255747</v>
      </c>
      <c r="AI94" s="8">
        <v>0.03169714562952493</v>
      </c>
      <c r="AJ94" s="8">
        <v>0.03160687101432558</v>
      </c>
      <c r="AK94" s="8">
        <v>0.0315162403599615</v>
      </c>
      <c r="AL94" s="8">
        <v>0.03142525835569358</v>
      </c>
      <c r="AM94" s="8">
        <v>0.03133392971661095</v>
      </c>
      <c r="AN94" s="8">
        <v>0.03124225918335952</v>
      </c>
      <c r="AO94" s="8">
        <v>0.03115025152168016</v>
      </c>
      <c r="AP94" s="8">
        <v>0.03105791152215858</v>
      </c>
      <c r="AQ94" s="8">
        <v>0.03096524399974925</v>
      </c>
      <c r="AR94" s="8">
        <v>0.03087225379347558</v>
      </c>
      <c r="AS94" s="8">
        <v>0.03077894576600499</v>
      </c>
      <c r="AT94" s="8">
        <v>0.03068532480334767</v>
      </c>
    </row>
    <row r="95" spans="1:46">
      <c r="A95" s="7">
        <v>36.1</v>
      </c>
      <c r="B95" s="8">
        <v>0.03427230327666848</v>
      </c>
      <c r="C95" s="8">
        <v>0.03419704440032802</v>
      </c>
      <c r="D95" s="8">
        <v>0.0341212993554052</v>
      </c>
      <c r="E95" s="8">
        <v>0.03404507174941927</v>
      </c>
      <c r="F95" s="8">
        <v>0.03396836522578042</v>
      </c>
      <c r="G95" s="8">
        <v>0.03389118346353257</v>
      </c>
      <c r="H95" s="8">
        <v>0.03381353017705209</v>
      </c>
      <c r="I95" s="8">
        <v>0.03373540911577351</v>
      </c>
      <c r="J95" s="8">
        <v>0.03365682406394086</v>
      </c>
      <c r="K95" s="8">
        <v>0.03357777884028081</v>
      </c>
      <c r="L95" s="8">
        <v>0.03349827729773978</v>
      </c>
      <c r="M95" s="8">
        <v>0.03341832332317694</v>
      </c>
      <c r="N95" s="8">
        <v>0.03333792083711131</v>
      </c>
      <c r="O95" s="8">
        <v>0.03325707379335512</v>
      </c>
      <c r="P95" s="8">
        <v>0.03317578617878354</v>
      </c>
      <c r="Q95" s="8">
        <v>0.03309406201299225</v>
      </c>
      <c r="R95" s="8">
        <v>0.03301190534801037</v>
      </c>
      <c r="S95" s="8">
        <v>0.03292932026799491</v>
      </c>
      <c r="T95" s="8">
        <v>0.03284631088889256</v>
      </c>
      <c r="U95" s="8">
        <v>0.03276288135817538</v>
      </c>
      <c r="V95" s="8">
        <v>0.03267903585448551</v>
      </c>
      <c r="W95" s="8">
        <v>0.03259477858733391</v>
      </c>
      <c r="X95" s="8">
        <v>0.03251011379677919</v>
      </c>
      <c r="Y95" s="8">
        <v>0.0324250457531079</v>
      </c>
      <c r="Z95" s="8">
        <v>0.03233957875648628</v>
      </c>
      <c r="AA95" s="8">
        <v>0.03225371713667187</v>
      </c>
      <c r="AB95" s="8">
        <v>0.03216746525265392</v>
      </c>
      <c r="AC95" s="8">
        <v>0.03208082749232943</v>
      </c>
      <c r="AD95" s="8">
        <v>0.03199380827216913</v>
      </c>
      <c r="AE95" s="8">
        <v>0.03190641203687505</v>
      </c>
      <c r="AF95" s="8">
        <v>0.03181864325905082</v>
      </c>
      <c r="AG95" s="8">
        <v>0.03173050643885489</v>
      </c>
      <c r="AH95" s="8">
        <v>0.03164200610364531</v>
      </c>
      <c r="AI95" s="8">
        <v>0.03155314680765002</v>
      </c>
      <c r="AJ95" s="8">
        <v>0.0314639331316144</v>
      </c>
      <c r="AK95" s="8">
        <v>0.03137436968244742</v>
      </c>
      <c r="AL95" s="8">
        <v>0.03128446109286074</v>
      </c>
      <c r="AM95" s="8">
        <v>0.03119421202102188</v>
      </c>
      <c r="AN95" s="8">
        <v>0.03110362715020187</v>
      </c>
      <c r="AO95" s="8">
        <v>0.03101271118841851</v>
      </c>
      <c r="AP95" s="8">
        <v>0.03092146886804983</v>
      </c>
      <c r="AQ95" s="8">
        <v>0.03082990494550302</v>
      </c>
      <c r="AR95" s="8">
        <v>0.03073802420081648</v>
      </c>
      <c r="AS95" s="8">
        <v>0.03064583143732165</v>
      </c>
      <c r="AT95" s="8">
        <v>0.03055333148126778</v>
      </c>
    </row>
    <row r="96" spans="1:46">
      <c r="A96" s="7">
        <v>36.2</v>
      </c>
      <c r="B96" s="8">
        <v>0.03409788104525546</v>
      </c>
      <c r="C96" s="8">
        <v>0.03402344400879968</v>
      </c>
      <c r="D96" s="8">
        <v>0.03394852863822138</v>
      </c>
      <c r="E96" s="8">
        <v>0.03387313850055449</v>
      </c>
      <c r="F96" s="8">
        <v>0.03379727719820096</v>
      </c>
      <c r="G96" s="8">
        <v>0.03372094836863226</v>
      </c>
      <c r="H96" s="8">
        <v>0.03364415568415069</v>
      </c>
      <c r="I96" s="8">
        <v>0.03356690285161221</v>
      </c>
      <c r="J96" s="8">
        <v>0.03348919361211244</v>
      </c>
      <c r="K96" s="8">
        <v>0.03341103174075215</v>
      </c>
      <c r="L96" s="8">
        <v>0.03333242104633029</v>
      </c>
      <c r="M96" s="8">
        <v>0.03325336537104277</v>
      </c>
      <c r="N96" s="8">
        <v>0.03317386859021241</v>
      </c>
      <c r="O96" s="8">
        <v>0.03309393461201182</v>
      </c>
      <c r="P96" s="8">
        <v>0.03301356737712809</v>
      </c>
      <c r="Q96" s="8">
        <v>0.03293277085848985</v>
      </c>
      <c r="R96" s="8">
        <v>0.03285154906095471</v>
      </c>
      <c r="S96" s="8">
        <v>0.03276990602103069</v>
      </c>
      <c r="T96" s="8">
        <v>0.03268784580652238</v>
      </c>
      <c r="U96" s="8">
        <v>0.03260537251628363</v>
      </c>
      <c r="V96" s="8">
        <v>0.03252249027984391</v>
      </c>
      <c r="W96" s="8">
        <v>0.032439203257141</v>
      </c>
      <c r="X96" s="8">
        <v>0.03235551563817012</v>
      </c>
      <c r="Y96" s="8">
        <v>0.03227143164270814</v>
      </c>
      <c r="Z96" s="8">
        <v>0.03218695551993704</v>
      </c>
      <c r="AA96" s="8">
        <v>0.03210209154816397</v>
      </c>
      <c r="AB96" s="8">
        <v>0.03201684403448155</v>
      </c>
      <c r="AC96" s="8">
        <v>0.03193121731441408</v>
      </c>
      <c r="AD96" s="8">
        <v>0.03184521575164041</v>
      </c>
      <c r="AE96" s="8">
        <v>0.03175884373760027</v>
      </c>
      <c r="AF96" s="8">
        <v>0.03167210569120726</v>
      </c>
      <c r="AG96" s="8">
        <v>0.03158500605848076</v>
      </c>
      <c r="AH96" s="8">
        <v>0.03149754931222049</v>
      </c>
      <c r="AI96" s="8">
        <v>0.03140973995165268</v>
      </c>
      <c r="AJ96" s="8">
        <v>0.03132158250208903</v>
      </c>
      <c r="AK96" s="8">
        <v>0.0312330815145927</v>
      </c>
      <c r="AL96" s="8">
        <v>0.03114424156560886</v>
      </c>
      <c r="AM96" s="8">
        <v>0.03105506725663645</v>
      </c>
      <c r="AN96" s="8">
        <v>0.03096556321385435</v>
      </c>
      <c r="AO96" s="8">
        <v>0.03087573408776052</v>
      </c>
      <c r="AP96" s="8">
        <v>0.03078558455285361</v>
      </c>
      <c r="AQ96" s="8">
        <v>0.03069511930723223</v>
      </c>
      <c r="AR96" s="8">
        <v>0.03060434307224966</v>
      </c>
      <c r="AS96" s="8">
        <v>0.03051326059216848</v>
      </c>
      <c r="AT96" s="8">
        <v>0.03042187663374989</v>
      </c>
    </row>
    <row r="97" spans="1:46">
      <c r="A97" s="7">
        <v>36.3</v>
      </c>
      <c r="B97" s="8">
        <v>0.03392418878730297</v>
      </c>
      <c r="C97" s="8">
        <v>0.0338505700309625</v>
      </c>
      <c r="D97" s="8">
        <v>0.03377648073717552</v>
      </c>
      <c r="E97" s="8">
        <v>0.03370192443264699</v>
      </c>
      <c r="F97" s="8">
        <v>0.03362690467890132</v>
      </c>
      <c r="G97" s="8">
        <v>0.03355142507203368</v>
      </c>
      <c r="H97" s="8">
        <v>0.03347548924243711</v>
      </c>
      <c r="I97" s="8">
        <v>0.03339910085451692</v>
      </c>
      <c r="J97" s="8">
        <v>0.03332226360643631</v>
      </c>
      <c r="K97" s="8">
        <v>0.03324498122982504</v>
      </c>
      <c r="L97" s="8">
        <v>0.03316725748950376</v>
      </c>
      <c r="M97" s="8">
        <v>0.03308909618319689</v>
      </c>
      <c r="N97" s="8">
        <v>0.03301050114124422</v>
      </c>
      <c r="O97" s="8">
        <v>0.0329314762263266</v>
      </c>
      <c r="P97" s="8">
        <v>0.03285202533313765</v>
      </c>
      <c r="Q97" s="8">
        <v>0.03277215238813511</v>
      </c>
      <c r="R97" s="8">
        <v>0.03269186134922677</v>
      </c>
      <c r="S97" s="8">
        <v>0.03261115620544501</v>
      </c>
      <c r="T97" s="8">
        <v>0.03253004097666121</v>
      </c>
      <c r="U97" s="8">
        <v>0.03244851971331997</v>
      </c>
      <c r="V97" s="8">
        <v>0.03236659649603837</v>
      </c>
      <c r="W97" s="8">
        <v>0.03228427543540136</v>
      </c>
      <c r="X97" s="8">
        <v>0.03220156067156808</v>
      </c>
      <c r="Y97" s="8">
        <v>0.03211845637400046</v>
      </c>
      <c r="Z97" s="8">
        <v>0.03203496674113069</v>
      </c>
      <c r="AA97" s="8">
        <v>0.03195109600003861</v>
      </c>
      <c r="AB97" s="8">
        <v>0.03186684840614191</v>
      </c>
      <c r="AC97" s="8">
        <v>0.03178222824283523</v>
      </c>
      <c r="AD97" s="8">
        <v>0.0316972398212144</v>
      </c>
      <c r="AE97" s="8">
        <v>0.03161188747973113</v>
      </c>
      <c r="AF97" s="8">
        <v>0.03152617558381223</v>
      </c>
      <c r="AG97" s="8">
        <v>0.0314401085255966</v>
      </c>
      <c r="AH97" s="8">
        <v>0.03135369072355587</v>
      </c>
      <c r="AI97" s="8">
        <v>0.03126692662216612</v>
      </c>
      <c r="AJ97" s="8">
        <v>0.03117982069157392</v>
      </c>
      <c r="AK97" s="8">
        <v>0.03109237742723963</v>
      </c>
      <c r="AL97" s="8">
        <v>0.03100460134961622</v>
      </c>
      <c r="AM97" s="8">
        <v>0.03091649700374859</v>
      </c>
      <c r="AN97" s="8">
        <v>0.03082806895900205</v>
      </c>
      <c r="AO97" s="8">
        <v>0.03073932180865739</v>
      </c>
      <c r="AP97" s="8">
        <v>0.03065026016956267</v>
      </c>
      <c r="AQ97" s="8">
        <v>0.03056088868179501</v>
      </c>
      <c r="AR97" s="8">
        <v>0.0304712120082911</v>
      </c>
      <c r="AS97" s="8">
        <v>0.03038123483449624</v>
      </c>
      <c r="AT97" s="8">
        <v>0.0302909618679962</v>
      </c>
    </row>
    <row r="98" spans="1:46">
      <c r="A98" s="7">
        <v>36.4</v>
      </c>
      <c r="B98" s="8">
        <v>0.03375122776845103</v>
      </c>
      <c r="C98" s="8">
        <v>0.03367842374313738</v>
      </c>
      <c r="D98" s="8">
        <v>0.03360515693911594</v>
      </c>
      <c r="E98" s="8">
        <v>0.03353143084290054</v>
      </c>
      <c r="F98" s="8">
        <v>0.0334572489753171</v>
      </c>
      <c r="G98" s="8">
        <v>0.03338261489124079</v>
      </c>
      <c r="H98" s="8">
        <v>0.03330753217930038</v>
      </c>
      <c r="I98" s="8">
        <v>0.03323200446164236</v>
      </c>
      <c r="J98" s="8">
        <v>0.03315603539365099</v>
      </c>
      <c r="K98" s="8">
        <v>0.03307962866367688</v>
      </c>
      <c r="L98" s="8">
        <v>0.03300278799273286</v>
      </c>
      <c r="M98" s="8">
        <v>0.03292551713423393</v>
      </c>
      <c r="N98" s="8">
        <v>0.03284781987373577</v>
      </c>
      <c r="O98" s="8">
        <v>0.0327697000286065</v>
      </c>
      <c r="P98" s="8">
        <v>0.03269116144775382</v>
      </c>
      <c r="Q98" s="8">
        <v>0.0326122080113521</v>
      </c>
      <c r="R98" s="8">
        <v>0.032532843630527</v>
      </c>
      <c r="S98" s="8">
        <v>0.03245307224705272</v>
      </c>
      <c r="T98" s="8">
        <v>0.03237289783309479</v>
      </c>
      <c r="U98" s="8">
        <v>0.03229232439083205</v>
      </c>
      <c r="V98" s="8">
        <v>0.03221135595224496</v>
      </c>
      <c r="W98" s="8">
        <v>0.03212999657873468</v>
      </c>
      <c r="X98" s="8">
        <v>0.0320482503608531</v>
      </c>
      <c r="Y98" s="8">
        <v>0.03196612141796749</v>
      </c>
      <c r="Z98" s="8">
        <v>0.03188361389797052</v>
      </c>
      <c r="AA98" s="8">
        <v>0.03180073197693645</v>
      </c>
      <c r="AB98" s="8">
        <v>0.03171747985882547</v>
      </c>
      <c r="AC98" s="8">
        <v>0.03163386177515974</v>
      </c>
      <c r="AD98" s="8">
        <v>0.03154988198468232</v>
      </c>
      <c r="AE98" s="8">
        <v>0.0314655447730459</v>
      </c>
      <c r="AF98" s="8">
        <v>0.03138085445248464</v>
      </c>
      <c r="AG98" s="8">
        <v>0.03129581536147157</v>
      </c>
      <c r="AH98" s="8">
        <v>0.03121043186440033</v>
      </c>
      <c r="AI98" s="8">
        <v>0.03112470835125265</v>
      </c>
      <c r="AJ98" s="8">
        <v>0.03103864923723165</v>
      </c>
      <c r="AK98" s="8">
        <v>0.03095225896247058</v>
      </c>
      <c r="AL98" s="8">
        <v>0.03086554199165477</v>
      </c>
      <c r="AM98" s="8">
        <v>0.03077850281368626</v>
      </c>
      <c r="AN98" s="8">
        <v>0.03069114594135556</v>
      </c>
      <c r="AO98" s="8">
        <v>0.03060347591095649</v>
      </c>
      <c r="AP98" s="8">
        <v>0.03051549728198637</v>
      </c>
      <c r="AQ98" s="8">
        <v>0.03042721463676799</v>
      </c>
      <c r="AR98" s="8">
        <v>0.03033863258008296</v>
      </c>
      <c r="AS98" s="8">
        <v>0.03024975573884774</v>
      </c>
      <c r="AT98" s="8">
        <v>0.03016058876172991</v>
      </c>
    </row>
    <row r="99" spans="1:46">
      <c r="A99" s="7">
        <v>36.5</v>
      </c>
      <c r="B99" s="8">
        <v>0.03357899923073689</v>
      </c>
      <c r="C99" s="8">
        <v>0.0335070063978776</v>
      </c>
      <c r="D99" s="8">
        <v>0.03343455850694425</v>
      </c>
      <c r="E99" s="8">
        <v>0.03336165900443717</v>
      </c>
      <c r="F99" s="8">
        <v>0.03328831137063162</v>
      </c>
      <c r="G99" s="8">
        <v>0.03321451911932201</v>
      </c>
      <c r="H99" s="8">
        <v>0.03314028579756467</v>
      </c>
      <c r="I99" s="8">
        <v>0.03306561498541356</v>
      </c>
      <c r="J99" s="8">
        <v>0.032990510295636</v>
      </c>
      <c r="K99" s="8">
        <v>0.03291497537345691</v>
      </c>
      <c r="L99" s="8">
        <v>0.03283901389626891</v>
      </c>
      <c r="M99" s="8">
        <v>0.03276262957339071</v>
      </c>
      <c r="N99" s="8">
        <v>0.03268582614572609</v>
      </c>
      <c r="O99" s="8">
        <v>0.03260860738554357</v>
      </c>
      <c r="P99" s="8">
        <v>0.03253097709614394</v>
      </c>
      <c r="Q99" s="8">
        <v>0.03245293911160445</v>
      </c>
      <c r="R99" s="8">
        <v>0.03237449729647039</v>
      </c>
      <c r="S99" s="8">
        <v>0.03229565554547378</v>
      </c>
      <c r="T99" s="8">
        <v>0.03221641778322208</v>
      </c>
      <c r="U99" s="8">
        <v>0.03213678796391121</v>
      </c>
      <c r="V99" s="8">
        <v>0.03205677007102139</v>
      </c>
      <c r="W99" s="8">
        <v>0.03197636811701017</v>
      </c>
      <c r="X99" s="8">
        <v>0.03189558614301972</v>
      </c>
      <c r="Y99" s="8">
        <v>0.03181442821856421</v>
      </c>
      <c r="Z99" s="8">
        <v>0.03173289844119011</v>
      </c>
      <c r="AA99" s="8">
        <v>0.0316510009362105</v>
      </c>
      <c r="AB99" s="8">
        <v>0.03156873985636253</v>
      </c>
      <c r="AC99" s="8">
        <v>0.03148611938148065</v>
      </c>
      <c r="AD99" s="8">
        <v>0.03140314371821092</v>
      </c>
      <c r="AE99" s="8">
        <v>0.03131981709965146</v>
      </c>
      <c r="AF99" s="8">
        <v>0.03123614378505692</v>
      </c>
      <c r="AG99" s="8">
        <v>0.03115212805949596</v>
      </c>
      <c r="AH99" s="8">
        <v>0.03106777423351588</v>
      </c>
      <c r="AI99" s="8">
        <v>0.03098308664283422</v>
      </c>
      <c r="AJ99" s="8">
        <v>0.03089806964800062</v>
      </c>
      <c r="AK99" s="8">
        <v>0.0308127276340457</v>
      </c>
      <c r="AL99" s="8">
        <v>0.03072706501014579</v>
      </c>
      <c r="AM99" s="8">
        <v>0.03064108620930597</v>
      </c>
      <c r="AN99" s="8">
        <v>0.03055479568799768</v>
      </c>
      <c r="AO99" s="8">
        <v>0.03046819792583477</v>
      </c>
      <c r="AP99" s="8">
        <v>0.03038129742518834</v>
      </c>
      <c r="AQ99" s="8">
        <v>0.0302940987109011</v>
      </c>
      <c r="AR99" s="8">
        <v>0.03020660632987813</v>
      </c>
      <c r="AS99" s="8">
        <v>0.03011882485078416</v>
      </c>
      <c r="AT99" s="8">
        <v>0.03003075886365281</v>
      </c>
    </row>
    <row r="100" spans="1:46">
      <c r="A100" s="7">
        <v>36.6</v>
      </c>
      <c r="B100" s="8">
        <v>0.03340750439314633</v>
      </c>
      <c r="C100" s="8">
        <v>0.0333363192244903</v>
      </c>
      <c r="D100" s="8">
        <v>0.03326468668016389</v>
      </c>
      <c r="E100" s="8">
        <v>0.0331926101667861</v>
      </c>
      <c r="F100" s="8">
        <v>0.0331200931242492</v>
      </c>
      <c r="G100" s="8">
        <v>0.03304713902544307</v>
      </c>
      <c r="H100" s="8">
        <v>0.03297375137598948</v>
      </c>
      <c r="I100" s="8">
        <v>0.03289993371400755</v>
      </c>
      <c r="J100" s="8">
        <v>0.03282568960983383</v>
      </c>
      <c r="K100" s="8">
        <v>0.03275102266573811</v>
      </c>
      <c r="L100" s="8">
        <v>0.0326759365156775</v>
      </c>
      <c r="M100" s="8">
        <v>0.032600434825018</v>
      </c>
      <c r="N100" s="8">
        <v>0.03252452129021322</v>
      </c>
      <c r="O100" s="8">
        <v>0.03244819963862255</v>
      </c>
      <c r="P100" s="8">
        <v>0.03237147362812465</v>
      </c>
      <c r="Q100" s="8">
        <v>0.03229434704688004</v>
      </c>
      <c r="R100" s="8">
        <v>0.03221682371306969</v>
      </c>
      <c r="S100" s="8">
        <v>0.03213890747454684</v>
      </c>
      <c r="T100" s="8">
        <v>0.03206060220858973</v>
      </c>
      <c r="U100" s="8">
        <v>0.03198191182158752</v>
      </c>
      <c r="V100" s="8">
        <v>0.03190284024874757</v>
      </c>
      <c r="W100" s="8">
        <v>0.03182339145379558</v>
      </c>
      <c r="X100" s="8">
        <v>0.03174356942866865</v>
      </c>
      <c r="Y100" s="8">
        <v>0.03166337819322251</v>
      </c>
      <c r="Z100" s="8">
        <v>0.03158282179490755</v>
      </c>
      <c r="AA100" s="8">
        <v>0.03150190430847601</v>
      </c>
      <c r="AB100" s="8">
        <v>0.03142062983566803</v>
      </c>
      <c r="AC100" s="8">
        <v>0.03133900250486903</v>
      </c>
      <c r="AD100" s="8">
        <v>0.0312570264708512</v>
      </c>
      <c r="AE100" s="8">
        <v>0.03117470591439258</v>
      </c>
      <c r="AF100" s="8">
        <v>0.03109204504199852</v>
      </c>
      <c r="AG100" s="8">
        <v>0.03100904808556777</v>
      </c>
      <c r="AH100" s="8">
        <v>0.03092571930206418</v>
      </c>
      <c r="AI100" s="8">
        <v>0.03084206297318701</v>
      </c>
      <c r="AJ100" s="8">
        <v>0.03075808340504693</v>
      </c>
      <c r="AK100" s="8">
        <v>0.03067378492783632</v>
      </c>
      <c r="AL100" s="8">
        <v>0.03058917189549533</v>
      </c>
      <c r="AM100" s="8">
        <v>0.0305042486853722</v>
      </c>
      <c r="AN100" s="8">
        <v>0.03041901969789364</v>
      </c>
      <c r="AO100" s="8">
        <v>0.03033348935621803</v>
      </c>
      <c r="AP100" s="8">
        <v>0.03024766210589576</v>
      </c>
      <c r="AQ100" s="8">
        <v>0.03016154241453677</v>
      </c>
      <c r="AR100" s="8">
        <v>0.03007513477144386</v>
      </c>
      <c r="AS100" s="8">
        <v>0.02998844368729721</v>
      </c>
      <c r="AT100" s="8">
        <v>0.02990147369377212</v>
      </c>
    </row>
    <row r="101" spans="1:46">
      <c r="A101" s="7">
        <v>36.7</v>
      </c>
      <c r="B101" s="8">
        <v>0.03323674445213669</v>
      </c>
      <c r="C101" s="8">
        <v>0.03316636342958645</v>
      </c>
      <c r="D101" s="8">
        <v>0.03309554267539028</v>
      </c>
      <c r="E101" s="8">
        <v>0.03302428555644639</v>
      </c>
      <c r="F101" s="8">
        <v>0.03295259547239056</v>
      </c>
      <c r="G101" s="8">
        <v>0.03288047585536589</v>
      </c>
      <c r="H101" s="8">
        <v>0.03280793016975139</v>
      </c>
      <c r="I101" s="8">
        <v>0.03273496191188201</v>
      </c>
      <c r="J101" s="8">
        <v>0.0326615746098227</v>
      </c>
      <c r="K101" s="8">
        <v>0.0325877718230629</v>
      </c>
      <c r="L101" s="8">
        <v>0.0325135571422905</v>
      </c>
      <c r="M101" s="8">
        <v>0.03243893418910346</v>
      </c>
      <c r="N101" s="8">
        <v>0.03236390661570994</v>
      </c>
      <c r="O101" s="8">
        <v>0.03228847810469233</v>
      </c>
      <c r="P101" s="8">
        <v>0.03221265236872028</v>
      </c>
      <c r="Q101" s="8">
        <v>0.03213643315023518</v>
      </c>
      <c r="R101" s="8">
        <v>0.03205982422122276</v>
      </c>
      <c r="S101" s="8">
        <v>0.03198282938287491</v>
      </c>
      <c r="T101" s="8">
        <v>0.03190545246533674</v>
      </c>
      <c r="U101" s="8">
        <v>0.03182769732738251</v>
      </c>
      <c r="V101" s="8">
        <v>0.03174956785615705</v>
      </c>
      <c r="W101" s="8">
        <v>0.03167106796685885</v>
      </c>
      <c r="X101" s="8">
        <v>0.03159220160242882</v>
      </c>
      <c r="Y101" s="8">
        <v>0.03151297273329447</v>
      </c>
      <c r="Z101" s="8">
        <v>0.03143338535700479</v>
      </c>
      <c r="AA101" s="8">
        <v>0.03135344349799283</v>
      </c>
      <c r="AB101" s="8">
        <v>0.03127315120719772</v>
      </c>
      <c r="AC101" s="8">
        <v>0.03119251256182025</v>
      </c>
      <c r="AD101" s="8">
        <v>0.03111153166494205</v>
      </c>
      <c r="AE101" s="8">
        <v>0.03103021264528962</v>
      </c>
      <c r="AF101" s="8">
        <v>0.03094855965684928</v>
      </c>
      <c r="AG101" s="8">
        <v>0.03086657687857865</v>
      </c>
      <c r="AH101" s="8">
        <v>0.03078426851408551</v>
      </c>
      <c r="AI101" s="8">
        <v>0.03070163879130661</v>
      </c>
      <c r="AJ101" s="8">
        <v>0.03061869196217231</v>
      </c>
      <c r="AK101" s="8">
        <v>0.03053543230228968</v>
      </c>
      <c r="AL101" s="8">
        <v>0.0304518641105858</v>
      </c>
      <c r="AM101" s="8">
        <v>0.03036799170902924</v>
      </c>
      <c r="AN101" s="8">
        <v>0.03028381944224776</v>
      </c>
      <c r="AO101" s="8">
        <v>0.03019935167721997</v>
      </c>
      <c r="AP101" s="8">
        <v>0.03011459280293138</v>
      </c>
      <c r="AQ101" s="8">
        <v>0.03002954723001494</v>
      </c>
      <c r="AR101" s="8">
        <v>0.02994421939047243</v>
      </c>
      <c r="AS101" s="8">
        <v>0.02985861373723537</v>
      </c>
      <c r="AT101" s="8">
        <v>0.02977273474390785</v>
      </c>
    </row>
    <row r="102" spans="1:46">
      <c r="A102" s="7">
        <v>36.8</v>
      </c>
      <c r="B102" s="8">
        <v>0.03306672058214559</v>
      </c>
      <c r="C102" s="8">
        <v>0.03299714019759818</v>
      </c>
      <c r="D102" s="8">
        <v>0.03292712768688659</v>
      </c>
      <c r="E102" s="8">
        <v>0.03285668637734176</v>
      </c>
      <c r="F102" s="8">
        <v>0.03278581962852627</v>
      </c>
      <c r="G102" s="8">
        <v>0.03271453083198708</v>
      </c>
      <c r="H102" s="8">
        <v>0.03264282341098834</v>
      </c>
      <c r="I102" s="8">
        <v>0.03257070082026843</v>
      </c>
      <c r="J102" s="8">
        <v>0.03249816654576989</v>
      </c>
      <c r="K102" s="8">
        <v>0.03242522410440642</v>
      </c>
      <c r="L102" s="8">
        <v>0.03235187704373743</v>
      </c>
      <c r="M102" s="8">
        <v>0.03227812894177475</v>
      </c>
      <c r="N102" s="8">
        <v>0.03220398340666009</v>
      </c>
      <c r="O102" s="8">
        <v>0.03212944407639355</v>
      </c>
      <c r="P102" s="8">
        <v>0.03205451461860349</v>
      </c>
      <c r="Q102" s="8">
        <v>0.03197919873021107</v>
      </c>
      <c r="R102" s="8">
        <v>0.03190350013719297</v>
      </c>
      <c r="S102" s="8">
        <v>0.03182742259428295</v>
      </c>
      <c r="T102" s="8">
        <v>0.03175096988466493</v>
      </c>
      <c r="U102" s="8">
        <v>0.03167414581973418</v>
      </c>
      <c r="V102" s="8">
        <v>0.03159695423876201</v>
      </c>
      <c r="W102" s="8">
        <v>0.03151939900860725</v>
      </c>
      <c r="X102" s="8">
        <v>0.0314414840234619</v>
      </c>
      <c r="Y102" s="8">
        <v>0.03136321320450719</v>
      </c>
      <c r="Z102" s="8">
        <v>0.03128459049963652</v>
      </c>
      <c r="AA102" s="8">
        <v>0.03120561988314847</v>
      </c>
      <c r="AB102" s="8">
        <v>0.03112630535543559</v>
      </c>
      <c r="AC102" s="8">
        <v>0.03104665094269308</v>
      </c>
      <c r="AD102" s="8">
        <v>0.0309666606966033</v>
      </c>
      <c r="AE102" s="8">
        <v>0.03088633869402457</v>
      </c>
      <c r="AF102" s="8">
        <v>0.03080568903666716</v>
      </c>
      <c r="AG102" s="8">
        <v>0.03072471585080336</v>
      </c>
      <c r="AH102" s="8">
        <v>0.03064342328691083</v>
      </c>
      <c r="AI102" s="8">
        <v>0.03056181551941108</v>
      </c>
      <c r="AJ102" s="8">
        <v>0.03047989674628866</v>
      </c>
      <c r="AK102" s="8">
        <v>0.03039767118880548</v>
      </c>
      <c r="AL102" s="8">
        <v>0.03031514309117256</v>
      </c>
      <c r="AM102" s="8">
        <v>0.03023231672019051</v>
      </c>
      <c r="AN102" s="8">
        <v>0.03014919636496814</v>
      </c>
      <c r="AO102" s="8">
        <v>0.03006578633654726</v>
      </c>
      <c r="AP102" s="8">
        <v>0.02998209096761428</v>
      </c>
      <c r="AQ102" s="8">
        <v>0.0298981146121136</v>
      </c>
      <c r="AR102" s="8">
        <v>0.029813861644962</v>
      </c>
      <c r="AS102" s="8">
        <v>0.02972933646167632</v>
      </c>
      <c r="AT102" s="8">
        <v>0.02964454347803382</v>
      </c>
    </row>
    <row r="103" spans="1:46">
      <c r="A103" s="7">
        <v>36.9</v>
      </c>
      <c r="B103" s="8">
        <v>0.03289743393609541</v>
      </c>
      <c r="C103" s="8">
        <v>0.03282865069122209</v>
      </c>
      <c r="D103" s="8">
        <v>0.03275944288700572</v>
      </c>
      <c r="E103" s="8">
        <v>0.03268981381135631</v>
      </c>
      <c r="F103" s="8">
        <v>0.03261976678391108</v>
      </c>
      <c r="G103" s="8">
        <v>0.03254930515576575</v>
      </c>
      <c r="H103" s="8">
        <v>0.03247843230924161</v>
      </c>
      <c r="I103" s="8">
        <v>0.03240715165763959</v>
      </c>
      <c r="J103" s="8">
        <v>0.03233546664496032</v>
      </c>
      <c r="K103" s="8">
        <v>0.03226338074566115</v>
      </c>
      <c r="L103" s="8">
        <v>0.03219089746440033</v>
      </c>
      <c r="M103" s="8">
        <v>0.03211802033574997</v>
      </c>
      <c r="N103" s="8">
        <v>0.03204475292395301</v>
      </c>
      <c r="O103" s="8">
        <v>0.03197109882264328</v>
      </c>
      <c r="P103" s="8">
        <v>0.03189706165456272</v>
      </c>
      <c r="Q103" s="8">
        <v>0.03182264507131549</v>
      </c>
      <c r="R103" s="8">
        <v>0.0317478527530497</v>
      </c>
      <c r="S103" s="8">
        <v>0.03167268840822999</v>
      </c>
      <c r="T103" s="8">
        <v>0.03159715577330644</v>
      </c>
      <c r="U103" s="8">
        <v>0.0315212586124531</v>
      </c>
      <c r="V103" s="8">
        <v>0.03144500071729226</v>
      </c>
      <c r="W103" s="8">
        <v>0.03136838590656339</v>
      </c>
      <c r="X103" s="8">
        <v>0.03129141802588577</v>
      </c>
      <c r="Y103" s="8">
        <v>0.03121410094743027</v>
      </c>
      <c r="Z103" s="8">
        <v>0.03113643856962938</v>
      </c>
      <c r="AA103" s="8">
        <v>0.03105843481688879</v>
      </c>
      <c r="AB103" s="8">
        <v>0.03098009363925911</v>
      </c>
      <c r="AC103" s="8">
        <v>0.03090141901217436</v>
      </c>
      <c r="AD103" s="8">
        <v>0.03082241493612372</v>
      </c>
      <c r="AE103" s="8">
        <v>0.03074308543633464</v>
      </c>
      <c r="AF103" s="8">
        <v>0.03066343456247296</v>
      </c>
      <c r="AG103" s="8">
        <v>0.03058346638835019</v>
      </c>
      <c r="AH103" s="8">
        <v>0.03050318501158245</v>
      </c>
      <c r="AI103" s="8">
        <v>0.03042259455329486</v>
      </c>
      <c r="AJ103" s="8">
        <v>0.03034169915778051</v>
      </c>
      <c r="AK103" s="8">
        <v>0.03026050299220628</v>
      </c>
      <c r="AL103" s="8">
        <v>0.03017901024629737</v>
      </c>
      <c r="AM103" s="8">
        <v>0.03009722513196067</v>
      </c>
      <c r="AN103" s="8">
        <v>0.03001515188302477</v>
      </c>
      <c r="AO103" s="8">
        <v>0.02993279475488606</v>
      </c>
      <c r="AP103" s="8">
        <v>0.02985015802415631</v>
      </c>
      <c r="AQ103" s="8">
        <v>0.02976724598838274</v>
      </c>
      <c r="AR103" s="8">
        <v>0.02968406296566002</v>
      </c>
      <c r="AS103" s="8">
        <v>0.0296006132943404</v>
      </c>
      <c r="AT103" s="8">
        <v>0.02951690133266993</v>
      </c>
    </row>
    <row r="104" spans="1:46">
      <c r="A104" s="7">
        <v>37</v>
      </c>
      <c r="B104" s="8">
        <v>0.03272888564588357</v>
      </c>
      <c r="C104" s="8">
        <v>0.03266089605197777</v>
      </c>
      <c r="D104" s="8">
        <v>0.03259248942674162</v>
      </c>
      <c r="E104" s="8">
        <v>0.0325236690188234</v>
      </c>
      <c r="F104" s="8">
        <v>0.03245443810805852</v>
      </c>
      <c r="G104" s="8">
        <v>0.03238480000526352</v>
      </c>
      <c r="H104" s="8">
        <v>0.03231475805198443</v>
      </c>
      <c r="I104" s="8">
        <v>0.03224431562021692</v>
      </c>
      <c r="J104" s="8">
        <v>0.03217347611221015</v>
      </c>
      <c r="K104" s="8">
        <v>0.03210224296012711</v>
      </c>
      <c r="L104" s="8">
        <v>0.03203061962588265</v>
      </c>
      <c r="M104" s="8">
        <v>0.03195860960080523</v>
      </c>
      <c r="N104" s="8">
        <v>0.03188621640540105</v>
      </c>
      <c r="O104" s="8">
        <v>0.0318134435891082</v>
      </c>
      <c r="P104" s="8">
        <v>0.03174029472998967</v>
      </c>
      <c r="Q104" s="8">
        <v>0.03166677343449038</v>
      </c>
      <c r="R104" s="8">
        <v>0.03159288333715153</v>
      </c>
      <c r="S104" s="8">
        <v>0.0315186281003406</v>
      </c>
      <c r="T104" s="8">
        <v>0.03144401141396003</v>
      </c>
      <c r="U104" s="8">
        <v>0.03136903699518996</v>
      </c>
      <c r="V104" s="8">
        <v>0.03129370858817708</v>
      </c>
      <c r="W104" s="8">
        <v>0.0312180299637717</v>
      </c>
      <c r="X104" s="8">
        <v>0.03114200491921508</v>
      </c>
      <c r="Y104" s="8">
        <v>0.03106563727788085</v>
      </c>
      <c r="Z104" s="8">
        <v>0.03098893088895806</v>
      </c>
      <c r="AA104" s="8">
        <v>0.03091188962716274</v>
      </c>
      <c r="AB104" s="8">
        <v>0.03083451739244509</v>
      </c>
      <c r="AC104" s="8">
        <v>0.03075681810968973</v>
      </c>
      <c r="AD104" s="8">
        <v>0.03067879572840298</v>
      </c>
      <c r="AE104" s="8">
        <v>0.03060045422243434</v>
      </c>
      <c r="AF104" s="8">
        <v>0.0305217975896312</v>
      </c>
      <c r="AG104" s="8">
        <v>0.03044282985159015</v>
      </c>
      <c r="AH104" s="8">
        <v>0.03036355505327322</v>
      </c>
      <c r="AI104" s="8">
        <v>0.03028397726277774</v>
      </c>
      <c r="AJ104" s="8">
        <v>0.03020410057094409</v>
      </c>
      <c r="AK104" s="8">
        <v>0.0301239290910928</v>
      </c>
      <c r="AL104" s="8">
        <v>0.03004346695868918</v>
      </c>
      <c r="AM104" s="8">
        <v>0.02996271833103492</v>
      </c>
      <c r="AN104" s="8">
        <v>0.0298816873869157</v>
      </c>
      <c r="AO104" s="8">
        <v>0.02980037832632689</v>
      </c>
      <c r="AP104" s="8">
        <v>0.02971879537009414</v>
      </c>
      <c r="AQ104" s="8">
        <v>0.02963694275960478</v>
      </c>
      <c r="AR104" s="8">
        <v>0.02955482475641276</v>
      </c>
      <c r="AS104" s="8">
        <v>0.02947244564198002</v>
      </c>
      <c r="AT104" s="8">
        <v>0.02938980971727716</v>
      </c>
    </row>
    <row r="105" spans="1:46">
      <c r="A105" s="7">
        <v>37.1</v>
      </c>
      <c r="B105" s="8">
        <v>0.03256107682285432</v>
      </c>
      <c r="C105" s="8">
        <v>0.0324938774006398</v>
      </c>
      <c r="D105" s="8">
        <v>0.03242626843616563</v>
      </c>
      <c r="E105" s="8">
        <v>0.03235825313893628</v>
      </c>
      <c r="F105" s="8">
        <v>0.0322898347491801</v>
      </c>
      <c r="G105" s="8">
        <v>0.03222101653756369</v>
      </c>
      <c r="H105" s="8">
        <v>0.03215180180500852</v>
      </c>
      <c r="I105" s="8">
        <v>0.03208219388239684</v>
      </c>
      <c r="J105" s="8">
        <v>0.03201219613034852</v>
      </c>
      <c r="K105" s="8">
        <v>0.03194181193893968</v>
      </c>
      <c r="L105" s="8">
        <v>0.03187104472747393</v>
      </c>
      <c r="M105" s="8">
        <v>0.03179989794421374</v>
      </c>
      <c r="N105" s="8">
        <v>0.03172837506613461</v>
      </c>
      <c r="O105" s="8">
        <v>0.03165647959862668</v>
      </c>
      <c r="P105" s="8">
        <v>0.03158421507527436</v>
      </c>
      <c r="Q105" s="8">
        <v>0.03151158505753955</v>
      </c>
      <c r="R105" s="8">
        <v>0.03143859313454982</v>
      </c>
      <c r="S105" s="8">
        <v>0.03136524292275879</v>
      </c>
      <c r="T105" s="8">
        <v>0.0312915380657401</v>
      </c>
      <c r="U105" s="8">
        <v>0.03121748223384486</v>
      </c>
      <c r="V105" s="8">
        <v>0.03114307912396725</v>
      </c>
      <c r="W105" s="8">
        <v>0.03106833245924747</v>
      </c>
      <c r="X105" s="8">
        <v>0.03099324598879321</v>
      </c>
      <c r="Y105" s="8">
        <v>0.03091782348735848</v>
      </c>
      <c r="Z105" s="8">
        <v>0.03084206875511342</v>
      </c>
      <c r="AA105" s="8">
        <v>0.03076598561732169</v>
      </c>
      <c r="AB105" s="8">
        <v>0.03068957792401363</v>
      </c>
      <c r="AC105" s="8">
        <v>0.03061284954977452</v>
      </c>
      <c r="AD105" s="8">
        <v>0.03053580439334951</v>
      </c>
      <c r="AE105" s="8">
        <v>0.03045844637742761</v>
      </c>
      <c r="AF105" s="8">
        <v>0.03038077944829354</v>
      </c>
      <c r="AG105" s="8">
        <v>0.03030280757552504</v>
      </c>
      <c r="AH105" s="8">
        <v>0.03022453475170437</v>
      </c>
      <c r="AI105" s="8">
        <v>0.03014596499210711</v>
      </c>
      <c r="AJ105" s="8">
        <v>0.03006710233438099</v>
      </c>
      <c r="AK105" s="8">
        <v>0.02998795083824603</v>
      </c>
      <c r="AL105" s="8">
        <v>0.02990851458517483</v>
      </c>
      <c r="AM105" s="8">
        <v>0.02982879767807276</v>
      </c>
      <c r="AN105" s="8">
        <v>0.02974880424097108</v>
      </c>
      <c r="AO105" s="8">
        <v>0.02966853841870858</v>
      </c>
      <c r="AP105" s="8">
        <v>0.02958800437660187</v>
      </c>
      <c r="AQ105" s="8">
        <v>0.0295072063001129</v>
      </c>
      <c r="AR105" s="8">
        <v>0.02942614839455047</v>
      </c>
      <c r="AS105" s="8">
        <v>0.02934483488472068</v>
      </c>
      <c r="AT105" s="8">
        <v>0.02926327001462852</v>
      </c>
    </row>
    <row r="106" spans="1:46">
      <c r="A106" s="7">
        <v>37.2</v>
      </c>
      <c r="B106" s="8">
        <v>0.03239400855828194</v>
      </c>
      <c r="C106" s="8">
        <v>0.03232759583771098</v>
      </c>
      <c r="D106" s="8">
        <v>0.0322607810248698</v>
      </c>
      <c r="E106" s="8">
        <v>0.03219356729027538</v>
      </c>
      <c r="F106" s="8">
        <v>0.03212595783466554</v>
      </c>
      <c r="G106" s="8">
        <v>0.03205795588875162</v>
      </c>
      <c r="H106" s="8">
        <v>0.03198956471296412</v>
      </c>
      <c r="I106" s="8">
        <v>0.03192078759722818</v>
      </c>
      <c r="J106" s="8">
        <v>0.03185162786069214</v>
      </c>
      <c r="K106" s="8">
        <v>0.03178208885151008</v>
      </c>
      <c r="L106" s="8">
        <v>0.03171217394656907</v>
      </c>
      <c r="M106" s="8">
        <v>0.03164188655123042</v>
      </c>
      <c r="N106" s="8">
        <v>0.03157123009907821</v>
      </c>
      <c r="O106" s="8">
        <v>0.03150020805167628</v>
      </c>
      <c r="P106" s="8">
        <v>0.03142882389827406</v>
      </c>
      <c r="Q106" s="8">
        <v>0.0313570811555806</v>
      </c>
      <c r="R106" s="8">
        <v>0.03128498336743916</v>
      </c>
      <c r="S106" s="8">
        <v>0.03121253410463396</v>
      </c>
      <c r="T106" s="8">
        <v>0.03113973696456469</v>
      </c>
      <c r="U106" s="8">
        <v>0.03106659557097657</v>
      </c>
      <c r="V106" s="8">
        <v>0.03099311357371022</v>
      </c>
      <c r="W106" s="8">
        <v>0.03091929464839751</v>
      </c>
      <c r="X106" s="8">
        <v>0.03084514249618166</v>
      </c>
      <c r="Y106" s="8">
        <v>0.03077066084346285</v>
      </c>
      <c r="Z106" s="8">
        <v>0.03069585344157701</v>
      </c>
      <c r="AA106" s="8">
        <v>0.03062072406653016</v>
      </c>
      <c r="AB106" s="8">
        <v>0.03054527651870274</v>
      </c>
      <c r="AC106" s="8">
        <v>0.03046951462254697</v>
      </c>
      <c r="AD106" s="8">
        <v>0.03039344222631115</v>
      </c>
      <c r="AE106" s="8">
        <v>0.03031706320173981</v>
      </c>
      <c r="AF106" s="8">
        <v>0.03024038144376249</v>
      </c>
      <c r="AG106" s="8">
        <v>0.03016340087020382</v>
      </c>
      <c r="AH106" s="8">
        <v>0.03008612542148654</v>
      </c>
      <c r="AI106" s="8">
        <v>0.03000855906031461</v>
      </c>
      <c r="AJ106" s="8">
        <v>0.029930705771379</v>
      </c>
      <c r="AK106" s="8">
        <v>0.02985256956103939</v>
      </c>
      <c r="AL106" s="8">
        <v>0.02977415445700871</v>
      </c>
      <c r="AM106" s="8">
        <v>0.02969546450809588</v>
      </c>
      <c r="AN106" s="8">
        <v>0.0296165037837909</v>
      </c>
      <c r="AO106" s="8">
        <v>0.02953727637404597</v>
      </c>
      <c r="AP106" s="8">
        <v>0.02945778638890601</v>
      </c>
      <c r="AQ106" s="8">
        <v>0.02937803795821026</v>
      </c>
      <c r="AR106" s="8">
        <v>0.02929803523124548</v>
      </c>
      <c r="AS106" s="8">
        <v>0.02921778237648169</v>
      </c>
      <c r="AT106" s="8">
        <v>0.02913728358115861</v>
      </c>
    </row>
    <row r="107" spans="1:46">
      <c r="A107" s="7">
        <v>37.3</v>
      </c>
      <c r="B107" s="8">
        <v>0.03222768192379419</v>
      </c>
      <c r="C107" s="8">
        <v>0.03216205244387708</v>
      </c>
      <c r="D107" s="8">
        <v>0.03209602828245437</v>
      </c>
      <c r="E107" s="8">
        <v>0.03202961257121047</v>
      </c>
      <c r="F107" s="8">
        <v>0.03196280847154895</v>
      </c>
      <c r="G107" s="8">
        <v>0.03189561917435668</v>
      </c>
      <c r="H107" s="8">
        <v>0.03182804789973517</v>
      </c>
      <c r="I107" s="8">
        <v>0.03176009789680876</v>
      </c>
      <c r="J107" s="8">
        <v>0.03169177244344325</v>
      </c>
      <c r="K107" s="8">
        <v>0.03162307484601144</v>
      </c>
      <c r="L107" s="8">
        <v>0.03155400843913725</v>
      </c>
      <c r="M107" s="8">
        <v>0.0314845765854642</v>
      </c>
      <c r="N107" s="8">
        <v>0.03141478267537821</v>
      </c>
      <c r="O107" s="8">
        <v>0.03134463012675752</v>
      </c>
      <c r="P107" s="8">
        <v>0.03127412238474676</v>
      </c>
      <c r="Q107" s="8">
        <v>0.03120326292141158</v>
      </c>
      <c r="R107" s="8">
        <v>0.03113205523559372</v>
      </c>
      <c r="S107" s="8">
        <v>0.0310605028525174</v>
      </c>
      <c r="T107" s="8">
        <v>0.03098860932363436</v>
      </c>
      <c r="U107" s="8">
        <v>0.03091637822627718</v>
      </c>
      <c r="V107" s="8">
        <v>0.03084381316341904</v>
      </c>
      <c r="W107" s="8">
        <v>0.03077091776339955</v>
      </c>
      <c r="X107" s="8">
        <v>0.03069769567961487</v>
      </c>
      <c r="Y107" s="8">
        <v>0.03062415059029178</v>
      </c>
      <c r="Z107" s="8">
        <v>0.03055028619816227</v>
      </c>
      <c r="AA107" s="8">
        <v>0.03047610623018926</v>
      </c>
      <c r="AB107" s="8">
        <v>0.03040161443729801</v>
      </c>
      <c r="AC107" s="8">
        <v>0.03032681459405637</v>
      </c>
      <c r="AD107" s="8">
        <v>0.03025171049843465</v>
      </c>
      <c r="AE107" s="8">
        <v>0.03017630597143892</v>
      </c>
      <c r="AF107" s="8">
        <v>0.03010060485690076</v>
      </c>
      <c r="AG107" s="8">
        <v>0.03002461102110772</v>
      </c>
      <c r="AH107" s="8">
        <v>0.02994832835256034</v>
      </c>
      <c r="AI107" s="8">
        <v>0.02987176076162399</v>
      </c>
      <c r="AJ107" s="8">
        <v>0.02979491218028017</v>
      </c>
      <c r="AK107" s="8">
        <v>0.02971778656178401</v>
      </c>
      <c r="AL107" s="8">
        <v>0.02964038788034173</v>
      </c>
      <c r="AM107" s="8">
        <v>0.02956272013085624</v>
      </c>
      <c r="AN107" s="8">
        <v>0.02948478732859314</v>
      </c>
      <c r="AO107" s="8">
        <v>0.02940659350884829</v>
      </c>
      <c r="AP107" s="8">
        <v>0.02932814272666633</v>
      </c>
      <c r="AQ107" s="8">
        <v>0.02924943905650536</v>
      </c>
      <c r="AR107" s="8">
        <v>0.0291704865919229</v>
      </c>
      <c r="AS107" s="8">
        <v>0.02909128944526458</v>
      </c>
      <c r="AT107" s="8">
        <v>0.02901185174735161</v>
      </c>
    </row>
    <row r="108" spans="1:46">
      <c r="A108" s="7">
        <v>37.4</v>
      </c>
      <c r="B108" s="8">
        <v>0.03206209797184698</v>
      </c>
      <c r="C108" s="8">
        <v>0.03199724828043884</v>
      </c>
      <c r="D108" s="8">
        <v>0.0319320112789427</v>
      </c>
      <c r="E108" s="8">
        <v>0.03186639006035534</v>
      </c>
      <c r="F108" s="8">
        <v>0.03180038774688683</v>
      </c>
      <c r="G108" s="8">
        <v>0.03173400748974871</v>
      </c>
      <c r="H108" s="8">
        <v>0.03166725246888831</v>
      </c>
      <c r="I108" s="8">
        <v>0.03160012589277415</v>
      </c>
      <c r="J108" s="8">
        <v>0.03153263099812591</v>
      </c>
      <c r="K108" s="8">
        <v>0.03146477104971553</v>
      </c>
      <c r="L108" s="8">
        <v>0.0313965493400957</v>
      </c>
      <c r="M108" s="8">
        <v>0.03132796918932854</v>
      </c>
      <c r="N108" s="8">
        <v>0.03125903394478798</v>
      </c>
      <c r="O108" s="8">
        <v>0.03118974698085708</v>
      </c>
      <c r="P108" s="8">
        <v>0.03112011169870641</v>
      </c>
      <c r="Q108" s="8">
        <v>0.03105013152601401</v>
      </c>
      <c r="R108" s="8">
        <v>0.03097980991671392</v>
      </c>
      <c r="S108" s="8">
        <v>0.03090915035074744</v>
      </c>
      <c r="T108" s="8">
        <v>0.03083815633376901</v>
      </c>
      <c r="U108" s="8">
        <v>0.03076683139689749</v>
      </c>
      <c r="V108" s="8">
        <v>0.03069517909643622</v>
      </c>
      <c r="W108" s="8">
        <v>0.03062320301363144</v>
      </c>
      <c r="X108" s="8">
        <v>0.03055090675434968</v>
      </c>
      <c r="Y108" s="8">
        <v>0.03047829394883621</v>
      </c>
      <c r="Z108" s="8">
        <v>0.03040536825143789</v>
      </c>
      <c r="AA108" s="8">
        <v>0.0303321333402863</v>
      </c>
      <c r="AB108" s="8">
        <v>0.03025859291707036</v>
      </c>
      <c r="AC108" s="8">
        <v>0.0301847507066995</v>
      </c>
      <c r="AD108" s="8">
        <v>0.03011061045705503</v>
      </c>
      <c r="AE108" s="8">
        <v>0.03003617593868029</v>
      </c>
      <c r="AF108" s="8">
        <v>0.02996145094450071</v>
      </c>
      <c r="AG108" s="8">
        <v>0.02988643928951831</v>
      </c>
      <c r="AH108" s="8">
        <v>0.02981114481052316</v>
      </c>
      <c r="AI108" s="8">
        <v>0.02973557136582201</v>
      </c>
      <c r="AJ108" s="8">
        <v>0.02965972283489009</v>
      </c>
      <c r="AK108" s="8">
        <v>0.02958360311811106</v>
      </c>
      <c r="AL108" s="8">
        <v>0.02950721613645442</v>
      </c>
      <c r="AM108" s="8">
        <v>0.02943056583119841</v>
      </c>
      <c r="AN108" s="8">
        <v>0.02935365616357331</v>
      </c>
      <c r="AO108" s="8">
        <v>0.0292764911145099</v>
      </c>
      <c r="AP108" s="8">
        <v>0.02919907468429415</v>
      </c>
      <c r="AQ108" s="8">
        <v>0.02912141089227589</v>
      </c>
      <c r="AR108" s="8">
        <v>0.02904350377653486</v>
      </c>
      <c r="AS108" s="8">
        <v>0.02896535739358654</v>
      </c>
      <c r="AT108" s="8">
        <v>0.02888697581806099</v>
      </c>
    </row>
    <row r="109" spans="1:46">
      <c r="A109" s="7">
        <v>37.5</v>
      </c>
      <c r="B109" s="8">
        <v>0.03189725773610945</v>
      </c>
      <c r="C109" s="8">
        <v>0.03183318438973117</v>
      </c>
      <c r="D109" s="8">
        <v>0.03176873106521185</v>
      </c>
      <c r="E109" s="8">
        <v>0.03170390081697434</v>
      </c>
      <c r="F109" s="8">
        <v>0.03163869672822273</v>
      </c>
      <c r="G109" s="8">
        <v>0.0315731219106226</v>
      </c>
      <c r="H109" s="8">
        <v>0.03150717950410069</v>
      </c>
      <c r="I109" s="8">
        <v>0.03144087267664304</v>
      </c>
      <c r="J109" s="8">
        <v>0.03137420462400655</v>
      </c>
      <c r="K109" s="8">
        <v>0.03130717856950582</v>
      </c>
      <c r="L109" s="8">
        <v>0.03123979776375734</v>
      </c>
      <c r="M109" s="8">
        <v>0.03117206548446205</v>
      </c>
      <c r="N109" s="8">
        <v>0.03110398503611691</v>
      </c>
      <c r="O109" s="8">
        <v>0.03103555974979315</v>
      </c>
      <c r="P109" s="8">
        <v>0.03096679298288763</v>
      </c>
      <c r="Q109" s="8">
        <v>0.03089768811884568</v>
      </c>
      <c r="R109" s="8">
        <v>0.03082824856691104</v>
      </c>
      <c r="S109" s="8">
        <v>0.03075847776188567</v>
      </c>
      <c r="T109" s="8">
        <v>0.03068837916384268</v>
      </c>
      <c r="U109" s="8">
        <v>0.03061795625787482</v>
      </c>
      <c r="V109" s="8">
        <v>0.03054721255383441</v>
      </c>
      <c r="W109" s="8">
        <v>0.03047615158604771</v>
      </c>
      <c r="X109" s="8">
        <v>0.03040477691306194</v>
      </c>
      <c r="Y109" s="8">
        <v>0.03033309211736111</v>
      </c>
      <c r="Z109" s="8">
        <v>0.03026110080509028</v>
      </c>
      <c r="AA109" s="8">
        <v>0.03018880660579839</v>
      </c>
      <c r="AB109" s="8">
        <v>0.03011621317211706</v>
      </c>
      <c r="AC109" s="8">
        <v>0.03004332417954174</v>
      </c>
      <c r="AD109" s="8">
        <v>0.02997014332608927</v>
      </c>
      <c r="AE109" s="8">
        <v>0.02989667433203493</v>
      </c>
      <c r="AF109" s="8">
        <v>0.02982292093965668</v>
      </c>
      <c r="AG109" s="8">
        <v>0.02974888691287845</v>
      </c>
      <c r="AH109" s="8">
        <v>0.02967457603704844</v>
      </c>
      <c r="AI109" s="8">
        <v>0.0295999921185981</v>
      </c>
      <c r="AJ109" s="8">
        <v>0.0295251389847806</v>
      </c>
      <c r="AK109" s="8">
        <v>0.02945002048334544</v>
      </c>
      <c r="AL109" s="8">
        <v>0.02937464048225706</v>
      </c>
      <c r="AM109" s="8">
        <v>0.02929900286940779</v>
      </c>
      <c r="AN109" s="8">
        <v>0.02922311155227248</v>
      </c>
      <c r="AO109" s="8">
        <v>0.02914697045764427</v>
      </c>
      <c r="AP109" s="8">
        <v>0.02907058353133323</v>
      </c>
      <c r="AQ109" s="8">
        <v>0.0289939547378097</v>
      </c>
      <c r="AR109" s="8">
        <v>0.02891708805996984</v>
      </c>
      <c r="AS109" s="8">
        <v>0.02883998749873768</v>
      </c>
      <c r="AT109" s="8">
        <v>0.02876265707283494</v>
      </c>
    </row>
    <row r="110" spans="1:46">
      <c r="A110" s="7">
        <v>37.6</v>
      </c>
      <c r="B110" s="8">
        <v>0.03173316223192728</v>
      </c>
      <c r="C110" s="8">
        <v>0.03166986179556943</v>
      </c>
      <c r="D110" s="8">
        <v>0.03160618867338769</v>
      </c>
      <c r="E110" s="8">
        <v>0.03154214588142708</v>
      </c>
      <c r="F110" s="8">
        <v>0.03147773646397382</v>
      </c>
      <c r="G110" s="8">
        <v>0.03141296349332236</v>
      </c>
      <c r="H110" s="8">
        <v>0.03134783006954933</v>
      </c>
      <c r="I110" s="8">
        <v>0.0312823393202919</v>
      </c>
      <c r="J110" s="8">
        <v>0.03121649440049197</v>
      </c>
      <c r="K110" s="8">
        <v>0.03115029849217308</v>
      </c>
      <c r="L110" s="8">
        <v>0.03108375480421444</v>
      </c>
      <c r="M110" s="8">
        <v>0.03101686657207807</v>
      </c>
      <c r="N110" s="8">
        <v>0.03094963705759</v>
      </c>
      <c r="O110" s="8">
        <v>0.03088206954866308</v>
      </c>
      <c r="P110" s="8">
        <v>0.03081416735910665</v>
      </c>
      <c r="Q110" s="8">
        <v>0.03074593382830528</v>
      </c>
      <c r="R110" s="8">
        <v>0.03067737232100427</v>
      </c>
      <c r="S110" s="8">
        <v>0.03060848622706231</v>
      </c>
      <c r="T110" s="8">
        <v>0.03053927896114317</v>
      </c>
      <c r="U110" s="8">
        <v>0.03046975396252947</v>
      </c>
      <c r="V110" s="8">
        <v>0.03039991469478451</v>
      </c>
      <c r="W110" s="8">
        <v>0.03032976464554906</v>
      </c>
      <c r="X110" s="8">
        <v>0.03025930732623721</v>
      </c>
      <c r="Y110" s="8">
        <v>0.03018854627177632</v>
      </c>
      <c r="Z110" s="8">
        <v>0.0301174850403342</v>
      </c>
      <c r="AA110" s="8">
        <v>0.03004612721305762</v>
      </c>
      <c r="AB110" s="8">
        <v>0.029974476393771</v>
      </c>
      <c r="AC110" s="8">
        <v>0.0299025362087491</v>
      </c>
      <c r="AD110" s="8">
        <v>0.02983031030637449</v>
      </c>
      <c r="AE110" s="8">
        <v>0.02975780235688603</v>
      </c>
      <c r="AF110" s="8">
        <v>0.02968501605211884</v>
      </c>
      <c r="AG110" s="8">
        <v>0.02961195510517882</v>
      </c>
      <c r="AH110" s="8">
        <v>0.02953862325017553</v>
      </c>
      <c r="AI110" s="8">
        <v>0.02946502424192943</v>
      </c>
      <c r="AJ110" s="8">
        <v>0.0293911618556848</v>
      </c>
      <c r="AK110" s="8">
        <v>0.02931703988682273</v>
      </c>
      <c r="AL110" s="8">
        <v>0.02924266215052853</v>
      </c>
      <c r="AM110" s="8">
        <v>0.02916803248155873</v>
      </c>
      <c r="AN110" s="8">
        <v>0.02909315473388432</v>
      </c>
      <c r="AO110" s="8">
        <v>0.02901803278043502</v>
      </c>
      <c r="AP110" s="8">
        <v>0.02894267051276671</v>
      </c>
      <c r="AQ110" s="8">
        <v>0.028867071840763</v>
      </c>
      <c r="AR110" s="8">
        <v>0.02879124069235956</v>
      </c>
      <c r="AS110" s="8">
        <v>0.02871518101318316</v>
      </c>
      <c r="AT110" s="8">
        <v>0.02863889676630578</v>
      </c>
    </row>
    <row r="111" spans="1:46">
      <c r="A111" s="7">
        <v>37.7</v>
      </c>
      <c r="B111" s="8">
        <v>0.0315698124567092</v>
      </c>
      <c r="C111" s="8">
        <v>0.03150728150360891</v>
      </c>
      <c r="D111" s="8">
        <v>0.03144438511729106</v>
      </c>
      <c r="E111" s="8">
        <v>0.03138112627552943</v>
      </c>
      <c r="F111" s="8">
        <v>0.03131750798384871</v>
      </c>
      <c r="G111" s="8">
        <v>0.03125353327532139</v>
      </c>
      <c r="H111" s="8">
        <v>0.03118920521031327</v>
      </c>
      <c r="I111" s="8">
        <v>0.03112452687627752</v>
      </c>
      <c r="J111" s="8">
        <v>0.03105950138750444</v>
      </c>
      <c r="K111" s="8">
        <v>0.03099413188489421</v>
      </c>
      <c r="L111" s="8">
        <v>0.03092842153571667</v>
      </c>
      <c r="M111" s="8">
        <v>0.03086237353339811</v>
      </c>
      <c r="N111" s="8">
        <v>0.03079599109723574</v>
      </c>
      <c r="O111" s="8">
        <v>0.03072927747219723</v>
      </c>
      <c r="P111" s="8">
        <v>0.03066223592863793</v>
      </c>
      <c r="Q111" s="8">
        <v>0.0305948697620849</v>
      </c>
      <c r="R111" s="8">
        <v>0.03052718229296687</v>
      </c>
      <c r="S111" s="8">
        <v>0.03045917686636841</v>
      </c>
      <c r="T111" s="8">
        <v>0.03039085685177269</v>
      </c>
      <c r="U111" s="8">
        <v>0.03032222564279721</v>
      </c>
      <c r="V111" s="8">
        <v>0.03025328665694928</v>
      </c>
      <c r="W111" s="8">
        <v>0.03018404333536324</v>
      </c>
      <c r="X111" s="8">
        <v>0.03011449914252751</v>
      </c>
      <c r="Y111" s="8">
        <v>0.03004465756601178</v>
      </c>
      <c r="Z111" s="8">
        <v>0.02997452211621692</v>
      </c>
      <c r="AA111" s="8">
        <v>0.02990409632610493</v>
      </c>
      <c r="AB111" s="8">
        <v>0.02983338375091904</v>
      </c>
      <c r="AC111" s="8">
        <v>0.02976238796789943</v>
      </c>
      <c r="AD111" s="8">
        <v>0.02969111257602606</v>
      </c>
      <c r="AE111" s="8">
        <v>0.0296195611957458</v>
      </c>
      <c r="AF111" s="8">
        <v>0.0295477374686584</v>
      </c>
      <c r="AG111" s="8">
        <v>0.029475645057272</v>
      </c>
      <c r="AH111" s="8">
        <v>0.029403287644719</v>
      </c>
      <c r="AI111" s="8">
        <v>0.02933066893441207</v>
      </c>
      <c r="AJ111" s="8">
        <v>0.02925779264984385</v>
      </c>
      <c r="AK111" s="8">
        <v>0.02918466253424725</v>
      </c>
      <c r="AL111" s="8">
        <v>0.0291112823503056</v>
      </c>
      <c r="AM111" s="8">
        <v>0.0290376558798684</v>
      </c>
      <c r="AN111" s="8">
        <v>0.02896378692365147</v>
      </c>
      <c r="AO111" s="8">
        <v>0.02888967930096271</v>
      </c>
      <c r="AP111" s="8">
        <v>0.02881533684938091</v>
      </c>
      <c r="AQ111" s="8">
        <v>0.02874076342444738</v>
      </c>
      <c r="AR111" s="8">
        <v>0.02866596289940162</v>
      </c>
      <c r="AS111" s="8">
        <v>0.0285909391648488</v>
      </c>
      <c r="AT111" s="8">
        <v>0.02851569612845992</v>
      </c>
    </row>
    <row r="112" spans="1:46">
      <c r="A112" s="7">
        <v>37.8</v>
      </c>
      <c r="B112" s="8">
        <v>0.03140720939030217</v>
      </c>
      <c r="C112" s="8">
        <v>0.03134544450179248</v>
      </c>
      <c r="D112" s="8">
        <v>0.03128332139278314</v>
      </c>
      <c r="E112" s="8">
        <v>0.03122084300295285</v>
      </c>
      <c r="F112" s="8">
        <v>0.0311580122992055</v>
      </c>
      <c r="G112" s="8">
        <v>0.03109483227554222</v>
      </c>
      <c r="H112" s="8">
        <v>0.03103130595275871</v>
      </c>
      <c r="I112" s="8">
        <v>0.03096743637828183</v>
      </c>
      <c r="J112" s="8">
        <v>0.03090322662589102</v>
      </c>
      <c r="K112" s="8">
        <v>0.03083867979553787</v>
      </c>
      <c r="L112" s="8">
        <v>0.03077379901305619</v>
      </c>
      <c r="M112" s="8">
        <v>0.03070858742999292</v>
      </c>
      <c r="N112" s="8">
        <v>0.03064304822328836</v>
      </c>
      <c r="O112" s="8">
        <v>0.03057718459511136</v>
      </c>
      <c r="P112" s="8">
        <v>0.0305109997725836</v>
      </c>
      <c r="Q112" s="8">
        <v>0.03044449700753376</v>
      </c>
      <c r="R112" s="8">
        <v>0.03037767957625306</v>
      </c>
      <c r="S112" s="8">
        <v>0.0303105507792381</v>
      </c>
      <c r="T112" s="8">
        <v>0.03024311394097197</v>
      </c>
      <c r="U112" s="8">
        <v>0.03017537240961872</v>
      </c>
      <c r="V112" s="8">
        <v>0.03010732955681732</v>
      </c>
      <c r="W112" s="8">
        <v>0.03003898877738322</v>
      </c>
      <c r="X112" s="8">
        <v>0.02997035348908526</v>
      </c>
      <c r="Y112" s="8">
        <v>0.0299014271323486</v>
      </c>
      <c r="Z112" s="8">
        <v>0.02983221317001323</v>
      </c>
      <c r="AA112" s="8">
        <v>0.02976271508706247</v>
      </c>
      <c r="AB112" s="8">
        <v>0.02969293639034874</v>
      </c>
      <c r="AC112" s="8">
        <v>0.02962288060833771</v>
      </c>
      <c r="AD112" s="8">
        <v>0.02955255129081564</v>
      </c>
      <c r="AE112" s="8">
        <v>0.02948195200861932</v>
      </c>
      <c r="AF112" s="8">
        <v>0.0294110863533902</v>
      </c>
      <c r="AG112" s="8">
        <v>0.02933995793723767</v>
      </c>
      <c r="AH112" s="8">
        <v>0.02926857039253718</v>
      </c>
      <c r="AI112" s="8">
        <v>0.02919692737157504</v>
      </c>
      <c r="AJ112" s="8">
        <v>0.02912503254630536</v>
      </c>
      <c r="AK112" s="8">
        <v>0.02905288960803745</v>
      </c>
      <c r="AL112" s="8">
        <v>0.02898050226720272</v>
      </c>
      <c r="AM112" s="8">
        <v>0.02890787425299237</v>
      </c>
      <c r="AN112" s="8">
        <v>0.02883500931312568</v>
      </c>
      <c r="AO112" s="8">
        <v>0.02876191121353742</v>
      </c>
      <c r="AP112" s="8">
        <v>0.02868858373806944</v>
      </c>
      <c r="AQ112" s="8">
        <v>0.02861503068819644</v>
      </c>
      <c r="AR112" s="8">
        <v>0.02854125588271614</v>
      </c>
      <c r="AS112" s="8">
        <v>0.02846726315745514</v>
      </c>
      <c r="AT112" s="8">
        <v>0.02839305636497755</v>
      </c>
    </row>
    <row r="113" spans="1:46">
      <c r="A113" s="7">
        <v>37.9</v>
      </c>
      <c r="B113" s="8">
        <v>0.03124535399539781</v>
      </c>
      <c r="C113" s="8">
        <v>0.03118435176065049</v>
      </c>
      <c r="D113" s="8">
        <v>0.03112299847815905</v>
      </c>
      <c r="E113" s="8">
        <v>0.03106129704961518</v>
      </c>
      <c r="F113" s="8">
        <v>0.03099925040346392</v>
      </c>
      <c r="G113" s="8">
        <v>0.03093686149475729</v>
      </c>
      <c r="H113" s="8">
        <v>0.03087413330489426</v>
      </c>
      <c r="I113" s="8">
        <v>0.03081106884142031</v>
      </c>
      <c r="J113" s="8">
        <v>0.03074767113777028</v>
      </c>
      <c r="K113" s="8">
        <v>0.03068394325308361</v>
      </c>
      <c r="L113" s="8">
        <v>0.03061988827194142</v>
      </c>
      <c r="M113" s="8">
        <v>0.03055550930415905</v>
      </c>
      <c r="N113" s="8">
        <v>0.03049080948449756</v>
      </c>
      <c r="O113" s="8">
        <v>0.03042579197251314</v>
      </c>
      <c r="P113" s="8">
        <v>0.03036045995224868</v>
      </c>
      <c r="Q113" s="8">
        <v>0.03029481663201637</v>
      </c>
      <c r="R113" s="8">
        <v>0.03022886524414758</v>
      </c>
      <c r="S113" s="8">
        <v>0.03016260904476411</v>
      </c>
      <c r="T113" s="8">
        <v>0.03009605131349531</v>
      </c>
      <c r="U113" s="8">
        <v>0.03002919535327351</v>
      </c>
      <c r="V113" s="8">
        <v>0.02996204449004409</v>
      </c>
      <c r="W113" s="8">
        <v>0.02989460207251682</v>
      </c>
      <c r="X113" s="8">
        <v>0.02982687147193701</v>
      </c>
      <c r="Y113" s="8">
        <v>0.0297588560817843</v>
      </c>
      <c r="Z113" s="8">
        <v>0.02969055931754099</v>
      </c>
      <c r="AA113" s="8">
        <v>0.02962198461643339</v>
      </c>
      <c r="AB113" s="8">
        <v>0.02955313543713061</v>
      </c>
      <c r="AC113" s="8">
        <v>0.0294840152595242</v>
      </c>
      <c r="AD113" s="8">
        <v>0.02941462758443976</v>
      </c>
      <c r="AE113" s="8">
        <v>0.02934497593333276</v>
      </c>
      <c r="AF113" s="8">
        <v>0.02927506384809107</v>
      </c>
      <c r="AG113" s="8">
        <v>0.02920489489069524</v>
      </c>
      <c r="AH113" s="8">
        <v>0.02913447264295001</v>
      </c>
      <c r="AI113" s="8">
        <v>0.0290638007062455</v>
      </c>
      <c r="AJ113" s="8">
        <v>0.02899288270124743</v>
      </c>
      <c r="AK113" s="8">
        <v>0.02892172226760721</v>
      </c>
      <c r="AL113" s="8">
        <v>0.02885032306371613</v>
      </c>
      <c r="AM113" s="8">
        <v>0.02877868876636853</v>
      </c>
      <c r="AN113" s="8">
        <v>0.02870682307052874</v>
      </c>
      <c r="AO113" s="8">
        <v>0.02863472968899572</v>
      </c>
      <c r="AP113" s="8">
        <v>0.02856241235215151</v>
      </c>
      <c r="AQ113" s="8">
        <v>0.02848987480763441</v>
      </c>
      <c r="AR113" s="8">
        <v>0.0284171208200874</v>
      </c>
      <c r="AS113" s="8">
        <v>0.02834415417081147</v>
      </c>
      <c r="AT113" s="8">
        <v>0.02827097865752961</v>
      </c>
    </row>
    <row r="114" spans="1:46">
      <c r="A114" s="7">
        <v>38</v>
      </c>
      <c r="B114" s="8">
        <v>0.03108424721790328</v>
      </c>
      <c r="C114" s="8">
        <v>0.03102400423375258</v>
      </c>
      <c r="D114" s="8">
        <v>0.03096341733452306</v>
      </c>
      <c r="E114" s="8">
        <v>0.03090248938403448</v>
      </c>
      <c r="F114" s="8">
        <v>0.03084122327242938</v>
      </c>
      <c r="G114" s="8">
        <v>0.03077962191595986</v>
      </c>
      <c r="H114" s="8">
        <v>0.03071768825676315</v>
      </c>
      <c r="I114" s="8">
        <v>0.0306554252626583</v>
      </c>
      <c r="J114" s="8">
        <v>0.03059283592689326</v>
      </c>
      <c r="K114" s="8">
        <v>0.030529923267963</v>
      </c>
      <c r="L114" s="8">
        <v>0.03046669032933948</v>
      </c>
      <c r="M114" s="8">
        <v>0.0304031401792713</v>
      </c>
      <c r="N114" s="8">
        <v>0.03033927591053782</v>
      </c>
      <c r="O114" s="8">
        <v>0.03027510064022039</v>
      </c>
      <c r="P114" s="8">
        <v>0.03021061750946927</v>
      </c>
      <c r="Q114" s="8">
        <v>0.03014582968325925</v>
      </c>
      <c r="R114" s="8">
        <v>0.03008074035014942</v>
      </c>
      <c r="S114" s="8">
        <v>0.03001535272204876</v>
      </c>
      <c r="T114" s="8">
        <v>0.02994967003395601</v>
      </c>
      <c r="U114" s="8">
        <v>0.02988369554373094</v>
      </c>
      <c r="V114" s="8">
        <v>0.02981743253182572</v>
      </c>
      <c r="W114" s="8">
        <v>0.02975088430104904</v>
      </c>
      <c r="X114" s="8">
        <v>0.02968405417630891</v>
      </c>
      <c r="Y114" s="8">
        <v>0.0296169455043497</v>
      </c>
      <c r="Z114" s="8">
        <v>0.02954956165350921</v>
      </c>
      <c r="AA114" s="8">
        <v>0.02948190601345004</v>
      </c>
      <c r="AB114" s="8">
        <v>0.02941398199488674</v>
      </c>
      <c r="AC114" s="8">
        <v>0.02934579302935134</v>
      </c>
      <c r="AD114" s="8">
        <v>0.02927734256889636</v>
      </c>
      <c r="AE114" s="8">
        <v>0.02920863408586598</v>
      </c>
      <c r="AF114" s="8">
        <v>0.02913967107258486</v>
      </c>
      <c r="AG114" s="8">
        <v>0.02907045704111084</v>
      </c>
      <c r="AH114" s="8">
        <v>0.02900099552295927</v>
      </c>
      <c r="AI114" s="8">
        <v>0.02893129006883726</v>
      </c>
      <c r="AJ114" s="8">
        <v>0.02886134424835518</v>
      </c>
      <c r="AK114" s="8">
        <v>0.02879116164974391</v>
      </c>
      <c r="AL114" s="8">
        <v>0.02872074587958053</v>
      </c>
      <c r="AM114" s="8">
        <v>0.02865010056253397</v>
      </c>
      <c r="AN114" s="8">
        <v>0.02857922934104096</v>
      </c>
      <c r="AO114" s="8">
        <v>0.02850813587503467</v>
      </c>
      <c r="AP114" s="8">
        <v>0.02843682384167323</v>
      </c>
      <c r="AQ114" s="8">
        <v>0.02836529693503707</v>
      </c>
      <c r="AR114" s="8">
        <v>0.0282935588658475</v>
      </c>
      <c r="AS114" s="8">
        <v>0.02822161336115698</v>
      </c>
      <c r="AT114" s="8">
        <v>0.02814946416409185</v>
      </c>
    </row>
    <row r="115" spans="1:46">
      <c r="A115" s="7">
        <v>38.1</v>
      </c>
      <c r="B115" s="8">
        <v>0.03092388998726676</v>
      </c>
      <c r="C115" s="8">
        <v>0.03086440285801899</v>
      </c>
      <c r="D115" s="8">
        <v>0.03080457890612536</v>
      </c>
      <c r="E115" s="8">
        <v>0.03074442095768717</v>
      </c>
      <c r="F115" s="8">
        <v>0.03068393186467375</v>
      </c>
      <c r="G115" s="8">
        <v>0.03062311450468656</v>
      </c>
      <c r="H115" s="8">
        <v>0.03056197178075735</v>
      </c>
      <c r="I115" s="8">
        <v>0.03050050662111516</v>
      </c>
      <c r="J115" s="8">
        <v>0.0304387219789902</v>
      </c>
      <c r="K115" s="8">
        <v>0.03037662083237791</v>
      </c>
      <c r="L115" s="8">
        <v>0.03031420618380878</v>
      </c>
      <c r="M115" s="8">
        <v>0.03025148106013376</v>
      </c>
      <c r="N115" s="8">
        <v>0.03018844851229687</v>
      </c>
      <c r="O115" s="8">
        <v>0.03012511161509508</v>
      </c>
      <c r="P115" s="8">
        <v>0.0300614734669594</v>
      </c>
      <c r="Q115" s="8">
        <v>0.02999753718969345</v>
      </c>
      <c r="R115" s="8">
        <v>0.02993330592827448</v>
      </c>
      <c r="S115" s="8">
        <v>0.0298687828505706</v>
      </c>
      <c r="T115" s="8">
        <v>0.02980397114713895</v>
      </c>
      <c r="U115" s="8">
        <v>0.02973887403096427</v>
      </c>
      <c r="V115" s="8">
        <v>0.02967349473719452</v>
      </c>
      <c r="W115" s="8">
        <v>0.02960783652292918</v>
      </c>
      <c r="X115" s="8">
        <v>0.02954190266694639</v>
      </c>
      <c r="Y115" s="8">
        <v>0.02947569646945283</v>
      </c>
      <c r="Z115" s="8">
        <v>0.02940922125183931</v>
      </c>
      <c r="AA115" s="8">
        <v>0.02934248035641929</v>
      </c>
      <c r="AB115" s="8">
        <v>0.02927547714616452</v>
      </c>
      <c r="AC115" s="8">
        <v>0.02920821500445214</v>
      </c>
      <c r="AD115" s="8">
        <v>0.02914069733480886</v>
      </c>
      <c r="AE115" s="8">
        <v>0.02907292756064805</v>
      </c>
      <c r="AF115" s="8">
        <v>0.02900490912496707</v>
      </c>
      <c r="AG115" s="8">
        <v>0.02893664549014972</v>
      </c>
      <c r="AH115" s="8">
        <v>0.0288681401376337</v>
      </c>
      <c r="AI115" s="8">
        <v>0.0287993965676705</v>
      </c>
      <c r="AJ115" s="8">
        <v>0.02873041829905105</v>
      </c>
      <c r="AK115" s="8">
        <v>0.02866120886881873</v>
      </c>
      <c r="AL115" s="8">
        <v>0.02859177183202206</v>
      </c>
      <c r="AM115" s="8">
        <v>0.02852211076139781</v>
      </c>
      <c r="AN115" s="8">
        <v>0.02845222924710953</v>
      </c>
      <c r="AO115" s="8">
        <v>0.02838213089649315</v>
      </c>
      <c r="AP115" s="8">
        <v>0.0283118193337188</v>
      </c>
      <c r="AQ115" s="8">
        <v>0.02824129819956767</v>
      </c>
      <c r="AR115" s="8">
        <v>0.02817057115109946</v>
      </c>
      <c r="AS115" s="8">
        <v>0.02809964186137677</v>
      </c>
      <c r="AT115" s="8">
        <v>0.02802851401920634</v>
      </c>
    </row>
    <row r="116" spans="1:46">
      <c r="A116" s="7">
        <v>38.2</v>
      </c>
      <c r="B116" s="8">
        <v>0.03076428321686535</v>
      </c>
      <c r="C116" s="8">
        <v>0.03070554855407721</v>
      </c>
      <c r="D116" s="8">
        <v>0.03064648412072018</v>
      </c>
      <c r="E116" s="8">
        <v>0.03058709270534479</v>
      </c>
      <c r="F116" s="8">
        <v>0.03052737712186939</v>
      </c>
      <c r="G116" s="8">
        <v>0.03046734020938544</v>
      </c>
      <c r="H116" s="8">
        <v>0.03040698483197133</v>
      </c>
      <c r="I116" s="8">
        <v>0.03034631387843234</v>
      </c>
      <c r="J116" s="8">
        <v>0.0302853302621088</v>
      </c>
      <c r="K116" s="8">
        <v>0.03022403692066291</v>
      </c>
      <c r="L116" s="8">
        <v>0.03016243681584854</v>
      </c>
      <c r="M116" s="8">
        <v>0.03010053293327673</v>
      </c>
      <c r="N116" s="8">
        <v>0.03003832828223096</v>
      </c>
      <c r="O116" s="8">
        <v>0.02997582589539007</v>
      </c>
      <c r="P116" s="8">
        <v>0.02991302882862499</v>
      </c>
      <c r="Q116" s="8">
        <v>0.0298499401607728</v>
      </c>
      <c r="R116" s="8">
        <v>0.02978656299336677</v>
      </c>
      <c r="S116" s="8">
        <v>0.02972290045047004</v>
      </c>
      <c r="T116" s="8">
        <v>0.02965895567833883</v>
      </c>
      <c r="U116" s="8">
        <v>0.02959473184528463</v>
      </c>
      <c r="V116" s="8">
        <v>0.02953023214135442</v>
      </c>
      <c r="W116" s="8">
        <v>0.02946545977811894</v>
      </c>
      <c r="X116" s="8">
        <v>0.02940041798842969</v>
      </c>
      <c r="Y116" s="8">
        <v>0.02933511002616172</v>
      </c>
      <c r="Z116" s="8">
        <v>0.02926953916595494</v>
      </c>
      <c r="AA116" s="8">
        <v>0.02920370870298967</v>
      </c>
      <c r="AB116" s="8">
        <v>0.0291376219527038</v>
      </c>
      <c r="AC116" s="8">
        <v>0.02907128225052702</v>
      </c>
      <c r="AD116" s="8">
        <v>0.02900469295167767</v>
      </c>
      <c r="AE116" s="8">
        <v>0.02893785743085857</v>
      </c>
      <c r="AF116" s="8">
        <v>0.02887077908197995</v>
      </c>
      <c r="AG116" s="8">
        <v>0.02880346131795335</v>
      </c>
      <c r="AH116" s="8">
        <v>0.02873590757036482</v>
      </c>
      <c r="AI116" s="8">
        <v>0.02866812128926313</v>
      </c>
      <c r="AJ116" s="8">
        <v>0.0286001059428429</v>
      </c>
      <c r="AK116" s="8">
        <v>0.0285318650172087</v>
      </c>
      <c r="AL116" s="8">
        <v>0.02846340201608513</v>
      </c>
      <c r="AM116" s="8">
        <v>0.02839472046054538</v>
      </c>
      <c r="AN116" s="8">
        <v>0.02832582388874556</v>
      </c>
      <c r="AO116" s="8">
        <v>0.02825671585563612</v>
      </c>
      <c r="AP116" s="8">
        <v>0.02818739993267911</v>
      </c>
      <c r="AQ116" s="8">
        <v>0.02811787970760378</v>
      </c>
      <c r="AR116" s="8">
        <v>0.02804815878405407</v>
      </c>
      <c r="AS116" s="8">
        <v>0.02797824078137694</v>
      </c>
      <c r="AT116" s="8">
        <v>0.02790812933430686</v>
      </c>
    </row>
    <row r="117" spans="1:46">
      <c r="A117" s="7">
        <v>38.3</v>
      </c>
      <c r="B117" s="8">
        <v>0.03060542780432485</v>
      </c>
      <c r="C117" s="8">
        <v>0.03054744222658599</v>
      </c>
      <c r="D117" s="8">
        <v>0.0304891338899111</v>
      </c>
      <c r="E117" s="8">
        <v>0.0304305055454094</v>
      </c>
      <c r="F117" s="8">
        <v>0.03037155996910741</v>
      </c>
      <c r="G117" s="8">
        <v>0.03031229996173863</v>
      </c>
      <c r="H117" s="8">
        <v>0.03025272834854604</v>
      </c>
      <c r="I117" s="8">
        <v>0.03019284797907318</v>
      </c>
      <c r="J117" s="8">
        <v>0.03013266172693392</v>
      </c>
      <c r="K117" s="8">
        <v>0.03007217248960359</v>
      </c>
      <c r="L117" s="8">
        <v>0.03001138318821859</v>
      </c>
      <c r="M117" s="8">
        <v>0.02995029676732912</v>
      </c>
      <c r="N117" s="8">
        <v>0.02988891619469598</v>
      </c>
      <c r="O117" s="8">
        <v>0.02982724446105749</v>
      </c>
      <c r="P117" s="8">
        <v>0.02976528457990781</v>
      </c>
      <c r="Q117" s="8">
        <v>0.02970303958727953</v>
      </c>
      <c r="R117" s="8">
        <v>0.02964051254146938</v>
      </c>
      <c r="S117" s="8">
        <v>0.02957770652286484</v>
      </c>
      <c r="T117" s="8">
        <v>0.02951462463365999</v>
      </c>
      <c r="U117" s="8">
        <v>0.02945126999764653</v>
      </c>
      <c r="V117" s="8">
        <v>0.02938764575997226</v>
      </c>
      <c r="W117" s="8">
        <v>0.02932375508687955</v>
      </c>
      <c r="X117" s="8">
        <v>0.02925960116548509</v>
      </c>
      <c r="Y117" s="8">
        <v>0.02919518720353551</v>
      </c>
      <c r="Z117" s="8">
        <v>0.02913051642911739</v>
      </c>
      <c r="AA117" s="8">
        <v>0.02906559209049107</v>
      </c>
      <c r="AB117" s="8">
        <v>0.02900041745574953</v>
      </c>
      <c r="AC117" s="8">
        <v>0.02893499581263654</v>
      </c>
      <c r="AD117" s="8">
        <v>0.02886933046823543</v>
      </c>
      <c r="AE117" s="8">
        <v>0.02880342474876443</v>
      </c>
      <c r="AF117" s="8">
        <v>0.02873728199927257</v>
      </c>
      <c r="AG117" s="8">
        <v>0.02867090558342511</v>
      </c>
      <c r="AH117" s="8">
        <v>0.02860429888318805</v>
      </c>
      <c r="AI117" s="8">
        <v>0.02853746529862491</v>
      </c>
      <c r="AJ117" s="8">
        <v>0.02847040824759262</v>
      </c>
      <c r="AK117" s="8">
        <v>0.02840313116546298</v>
      </c>
      <c r="AL117" s="8">
        <v>0.028335637504901</v>
      </c>
      <c r="AM117" s="8">
        <v>0.02826793073555223</v>
      </c>
      <c r="AN117" s="8">
        <v>0.02820001434380402</v>
      </c>
      <c r="AO117" s="8">
        <v>0.02813189183247147</v>
      </c>
      <c r="AP117" s="8">
        <v>0.02806356672056722</v>
      </c>
      <c r="AQ117" s="8">
        <v>0.02799504254299308</v>
      </c>
      <c r="AR117" s="8">
        <v>0.02792632285027992</v>
      </c>
      <c r="AS117" s="8">
        <v>0.02785741120829641</v>
      </c>
      <c r="AT117" s="8">
        <v>0.02778831119796763</v>
      </c>
    </row>
    <row r="118" spans="1:46">
      <c r="A118" s="7">
        <v>38.4</v>
      </c>
      <c r="B118" s="8">
        <v>0.03044732463182385</v>
      </c>
      <c r="C118" s="8">
        <v>0.03039008476456218</v>
      </c>
      <c r="D118" s="8">
        <v>0.03033252910942963</v>
      </c>
      <c r="E118" s="8">
        <v>0.0302746603802305</v>
      </c>
      <c r="F118" s="8">
        <v>0.03021648131522312</v>
      </c>
      <c r="G118" s="8">
        <v>0.03015799467694507</v>
      </c>
      <c r="H118" s="8">
        <v>0.0300992032519531</v>
      </c>
      <c r="I118" s="8">
        <v>0.03004010985065548</v>
      </c>
      <c r="J118" s="8">
        <v>0.02998071730710308</v>
      </c>
      <c r="K118" s="8">
        <v>0.02992102847874776</v>
      </c>
      <c r="L118" s="8">
        <v>0.02986104624625199</v>
      </c>
      <c r="M118" s="8">
        <v>0.02980077351326997</v>
      </c>
      <c r="N118" s="8">
        <v>0.02974021320621318</v>
      </c>
      <c r="O118" s="8">
        <v>0.02967936827404856</v>
      </c>
      <c r="P118" s="8">
        <v>0.02961824168806544</v>
      </c>
      <c r="Q118" s="8">
        <v>0.02955683644164964</v>
      </c>
      <c r="R118" s="8">
        <v>0.02949515555004751</v>
      </c>
      <c r="S118" s="8">
        <v>0.02943320205016988</v>
      </c>
      <c r="T118" s="8">
        <v>0.02937097900030921</v>
      </c>
      <c r="U118" s="8">
        <v>0.02930848947994065</v>
      </c>
      <c r="V118" s="8">
        <v>0.02924573658949612</v>
      </c>
      <c r="W118" s="8">
        <v>0.0291827234500829</v>
      </c>
      <c r="X118" s="8">
        <v>0.02911945320327902</v>
      </c>
      <c r="Y118" s="8">
        <v>0.02905592901088596</v>
      </c>
      <c r="Z118" s="8">
        <v>0.02899215405468709</v>
      </c>
      <c r="AA118" s="8">
        <v>0.02892813153619045</v>
      </c>
      <c r="AB118" s="8">
        <v>0.0288638646763772</v>
      </c>
      <c r="AC118" s="8">
        <v>0.02879935671547145</v>
      </c>
      <c r="AD118" s="8">
        <v>0.02873461091268581</v>
      </c>
      <c r="AE118" s="8">
        <v>0.02866963054595289</v>
      </c>
      <c r="AF118" s="8">
        <v>0.02860441891167795</v>
      </c>
      <c r="AG118" s="8">
        <v>0.0285389793245102</v>
      </c>
      <c r="AH118" s="8">
        <v>0.02847331511704141</v>
      </c>
      <c r="AI118" s="8">
        <v>0.02840742963954739</v>
      </c>
      <c r="AJ118" s="8">
        <v>0.02834132625978327</v>
      </c>
      <c r="AK118" s="8">
        <v>0.0282750083626496</v>
      </c>
      <c r="AL118" s="8">
        <v>0.02820847934997204</v>
      </c>
      <c r="AM118" s="8">
        <v>0.02814174264021432</v>
      </c>
      <c r="AN118" s="8">
        <v>0.02807480166823097</v>
      </c>
      <c r="AO118" s="8">
        <v>0.02800765988497318</v>
      </c>
      <c r="AP118" s="8">
        <v>0.02794032075722868</v>
      </c>
      <c r="AQ118" s="8">
        <v>0.02787278776735036</v>
      </c>
      <c r="AR118" s="8">
        <v>0.02780506441298911</v>
      </c>
      <c r="AS118" s="8">
        <v>0.02773715420678684</v>
      </c>
      <c r="AT118" s="8">
        <v>0.02766906067615338</v>
      </c>
    </row>
    <row r="119" spans="1:46">
      <c r="A119" s="7">
        <v>38.5</v>
      </c>
      <c r="B119" s="8">
        <v>0.03028997456643907</v>
      </c>
      <c r="C119" s="8">
        <v>0.03023347704170902</v>
      </c>
      <c r="D119" s="8">
        <v>0.03017667065949041</v>
      </c>
      <c r="E119" s="8">
        <v>0.03011955809640909</v>
      </c>
      <c r="F119" s="8">
        <v>0.03006214205313427</v>
      </c>
      <c r="G119" s="8">
        <v>0.03000442525408573</v>
      </c>
      <c r="H119" s="8">
        <v>0.02994641044731736</v>
      </c>
      <c r="I119" s="8">
        <v>0.02988810040425278</v>
      </c>
      <c r="J119" s="8">
        <v>0.0298294979195191</v>
      </c>
      <c r="K119" s="8">
        <v>0.02977060581069679</v>
      </c>
      <c r="L119" s="8">
        <v>0.02971142691814492</v>
      </c>
      <c r="M119" s="8">
        <v>0.02965196410477091</v>
      </c>
      <c r="N119" s="8">
        <v>0.0295922202558188</v>
      </c>
      <c r="O119" s="8">
        <v>0.02953219827863478</v>
      </c>
      <c r="P119" s="8">
        <v>0.02947190110246822</v>
      </c>
      <c r="Q119" s="8">
        <v>0.02941133167825995</v>
      </c>
      <c r="R119" s="8">
        <v>0.0293504929783623</v>
      </c>
      <c r="S119" s="8">
        <v>0.02928938799638843</v>
      </c>
      <c r="T119" s="8">
        <v>0.02922801974691112</v>
      </c>
      <c r="U119" s="8">
        <v>0.02916639126530072</v>
      </c>
      <c r="V119" s="8">
        <v>0.02910450560743101</v>
      </c>
      <c r="W119" s="8">
        <v>0.02904236584948166</v>
      </c>
      <c r="X119" s="8">
        <v>0.02897997508769947</v>
      </c>
      <c r="Y119" s="8">
        <v>0.02891733643813978</v>
      </c>
      <c r="Z119" s="8">
        <v>0.02885445303645042</v>
      </c>
      <c r="AA119" s="8">
        <v>0.02879132803761451</v>
      </c>
      <c r="AB119" s="8">
        <v>0.02872796461570886</v>
      </c>
      <c r="AC119" s="8">
        <v>0.0286643659636681</v>
      </c>
      <c r="AD119" s="8">
        <v>0.02860053529302462</v>
      </c>
      <c r="AE119" s="8">
        <v>0.0285364758336442</v>
      </c>
      <c r="AF119" s="8">
        <v>0.02847219083354275</v>
      </c>
      <c r="AG119" s="8">
        <v>0.02840768355853385</v>
      </c>
      <c r="AH119" s="8">
        <v>0.02834295729205252</v>
      </c>
      <c r="AI119" s="8">
        <v>0.02827801533487673</v>
      </c>
      <c r="AJ119" s="8">
        <v>0.02821286100483889</v>
      </c>
      <c r="AK119" s="8">
        <v>0.02814749763662121</v>
      </c>
      <c r="AL119" s="8">
        <v>0.02808192858144594</v>
      </c>
      <c r="AM119" s="8">
        <v>0.0280161572068522</v>
      </c>
      <c r="AN119" s="8">
        <v>0.02795018689639335</v>
      </c>
      <c r="AO119" s="8">
        <v>0.02788402104939394</v>
      </c>
      <c r="AP119" s="8">
        <v>0.02781766308067404</v>
      </c>
      <c r="AQ119" s="8">
        <v>0.02775111642029771</v>
      </c>
      <c r="AR119" s="8">
        <v>0.02768438451327881</v>
      </c>
      <c r="AS119" s="8">
        <v>0.02761747081931674</v>
      </c>
      <c r="AT119" s="8">
        <v>0.02755037881253486</v>
      </c>
    </row>
    <row r="120" spans="1:46">
      <c r="A120" s="7">
        <v>38.6</v>
      </c>
      <c r="B120" s="8">
        <v>0.03013337846042674</v>
      </c>
      <c r="C120" s="8">
        <v>0.03007761991670179</v>
      </c>
      <c r="D120" s="8">
        <v>0.03002155940506981</v>
      </c>
      <c r="E120" s="8">
        <v>0.02996519956513453</v>
      </c>
      <c r="F120" s="8">
        <v>0.02990854306007264</v>
      </c>
      <c r="G120" s="8">
        <v>0.02985159257637946</v>
      </c>
      <c r="H120" s="8">
        <v>0.02979435082371253</v>
      </c>
      <c r="I120" s="8">
        <v>0.02973682053468281</v>
      </c>
      <c r="J120" s="8">
        <v>0.02967900446462153</v>
      </c>
      <c r="K120" s="8">
        <v>0.029620905391414</v>
      </c>
      <c r="L120" s="8">
        <v>0.02956252611526509</v>
      </c>
      <c r="M120" s="8">
        <v>0.02950386945848606</v>
      </c>
      <c r="N120" s="8">
        <v>0.02944493826531271</v>
      </c>
      <c r="O120" s="8">
        <v>0.0293857354016609</v>
      </c>
      <c r="P120" s="8">
        <v>0.02932626375490486</v>
      </c>
      <c r="Q120" s="8">
        <v>0.02926652623369961</v>
      </c>
      <c r="R120" s="8">
        <v>0.02920652576768958</v>
      </c>
      <c r="S120" s="8">
        <v>0.02914626530736797</v>
      </c>
      <c r="T120" s="8">
        <v>0.0290857478237811</v>
      </c>
      <c r="U120" s="8">
        <v>0.02902497630835086</v>
      </c>
      <c r="V120" s="8">
        <v>0.02896395377262024</v>
      </c>
      <c r="W120" s="8">
        <v>0.02890268324800616</v>
      </c>
      <c r="X120" s="8">
        <v>0.0288411677856331</v>
      </c>
      <c r="Y120" s="8">
        <v>0.02877941045599641</v>
      </c>
      <c r="Z120" s="8">
        <v>0.02871741434882296</v>
      </c>
      <c r="AA120" s="8">
        <v>0.0286551825727841</v>
      </c>
      <c r="AB120" s="8">
        <v>0.02859271825523848</v>
      </c>
      <c r="AC120" s="8">
        <v>0.02853002454204585</v>
      </c>
      <c r="AD120" s="8">
        <v>0.02846710459727859</v>
      </c>
      <c r="AE120" s="8">
        <v>0.02840396160297019</v>
      </c>
      <c r="AF120" s="8">
        <v>0.02834059875891342</v>
      </c>
      <c r="AG120" s="8">
        <v>0.02827701928236195</v>
      </c>
      <c r="AH120" s="8">
        <v>0.02821322640780721</v>
      </c>
      <c r="AI120" s="8">
        <v>0.0281492233867354</v>
      </c>
      <c r="AJ120" s="8">
        <v>0.02808501348732761</v>
      </c>
      <c r="AK120" s="8">
        <v>0.02802059999425239</v>
      </c>
      <c r="AL120" s="8">
        <v>0.02795598620838859</v>
      </c>
      <c r="AM120" s="8">
        <v>0.02789117544655397</v>
      </c>
      <c r="AN120" s="8">
        <v>0.02782617104126928</v>
      </c>
      <c r="AO120" s="8">
        <v>0.02776097634048398</v>
      </c>
      <c r="AP120" s="8">
        <v>0.02769559470729632</v>
      </c>
      <c r="AQ120" s="8">
        <v>0.02763002951973164</v>
      </c>
      <c r="AR120" s="8">
        <v>0.0275642841704169</v>
      </c>
      <c r="AS120" s="8">
        <v>0.02749836206637184</v>
      </c>
      <c r="AT120" s="8">
        <v>0.0274322666286821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T120"/>
  <sheetViews>
    <sheetView workbookViewId="0">
      <pane xSplit="1" topLeftCell="B1" activePane="topRight" state="frozen"/>
      <selection pane="topRight"/>
    </sheetView>
  </sheetViews>
  <sheetFormatPr defaultRowHeight="15"/>
  <cols>
    <col min="1" max="46" width="9.7109375" customWidth="1"/>
  </cols>
  <sheetData>
    <row r="1" spans="1:46">
      <c r="A1" s="7" t="s">
        <v>4</v>
      </c>
    </row>
    <row r="2" spans="1:46">
      <c r="B2" s="7">
        <v>125.5</v>
      </c>
      <c r="C2" s="7">
        <v>125.6</v>
      </c>
      <c r="D2" s="7">
        <v>125.7</v>
      </c>
      <c r="E2" s="7">
        <v>125.8</v>
      </c>
      <c r="F2" s="7">
        <v>125.9</v>
      </c>
      <c r="G2" s="7">
        <v>126</v>
      </c>
      <c r="H2" s="7">
        <v>126.1</v>
      </c>
      <c r="I2" s="7">
        <v>126.2</v>
      </c>
      <c r="J2" s="7">
        <v>126.3</v>
      </c>
      <c r="K2" s="7">
        <v>126.4</v>
      </c>
      <c r="L2" s="7">
        <v>126.5</v>
      </c>
      <c r="M2" s="7">
        <v>126.6</v>
      </c>
      <c r="N2" s="7">
        <v>126.7</v>
      </c>
      <c r="O2" s="7">
        <v>126.8</v>
      </c>
      <c r="P2" s="7">
        <v>126.9</v>
      </c>
      <c r="Q2" s="7">
        <v>127</v>
      </c>
      <c r="R2" s="7">
        <v>127.1</v>
      </c>
      <c r="S2" s="7">
        <v>127.2</v>
      </c>
      <c r="T2" s="7">
        <v>127.3</v>
      </c>
      <c r="U2" s="7">
        <v>127.4</v>
      </c>
      <c r="V2" s="7">
        <v>127.5</v>
      </c>
      <c r="W2" s="7">
        <v>127.6</v>
      </c>
      <c r="X2" s="7">
        <v>127.7</v>
      </c>
      <c r="Y2" s="7">
        <v>127.8</v>
      </c>
      <c r="Z2" s="7">
        <v>127.9</v>
      </c>
      <c r="AA2" s="7">
        <v>128</v>
      </c>
      <c r="AB2" s="7">
        <v>128.1</v>
      </c>
      <c r="AC2" s="7">
        <v>128.2</v>
      </c>
      <c r="AD2" s="7">
        <v>128.3</v>
      </c>
      <c r="AE2" s="7">
        <v>128.4</v>
      </c>
      <c r="AF2" s="7">
        <v>128.5</v>
      </c>
      <c r="AG2" s="7">
        <v>128.6</v>
      </c>
      <c r="AH2" s="7">
        <v>128.7</v>
      </c>
      <c r="AI2" s="7">
        <v>128.8</v>
      </c>
      <c r="AJ2" s="7">
        <v>128.9</v>
      </c>
      <c r="AK2" s="7">
        <v>129</v>
      </c>
      <c r="AL2" s="7">
        <v>129.1</v>
      </c>
      <c r="AM2" s="7">
        <v>129.2</v>
      </c>
      <c r="AN2" s="7">
        <v>129.3</v>
      </c>
      <c r="AO2" s="7">
        <v>129.4</v>
      </c>
      <c r="AP2" s="7">
        <v>129.5</v>
      </c>
      <c r="AQ2" s="7">
        <v>129.6</v>
      </c>
      <c r="AR2" s="7">
        <v>129.7</v>
      </c>
      <c r="AS2" s="7">
        <v>129.8</v>
      </c>
      <c r="AT2" s="7">
        <v>129.9</v>
      </c>
    </row>
    <row r="3" spans="1:46">
      <c r="A3" s="7">
        <v>33</v>
      </c>
      <c r="B3" s="8">
        <v>49206.0991521349</v>
      </c>
      <c r="C3" s="8">
        <v>49181.11968150368</v>
      </c>
      <c r="D3" s="8">
        <v>49156.080325096</v>
      </c>
      <c r="E3" s="8">
        <v>49130.9816374847</v>
      </c>
      <c r="F3" s="8">
        <v>49105.82417499612</v>
      </c>
      <c r="G3" s="8">
        <v>49080.60849566938</v>
      </c>
      <c r="H3" s="8">
        <v>49055.33515921584</v>
      </c>
      <c r="I3" s="8">
        <v>49030.00472697836</v>
      </c>
      <c r="J3" s="8">
        <v>49004.61776189037</v>
      </c>
      <c r="K3" s="8">
        <v>48979.17482843524</v>
      </c>
      <c r="L3" s="8">
        <v>48953.67649260523</v>
      </c>
      <c r="M3" s="8">
        <v>48928.12332186064</v>
      </c>
      <c r="N3" s="8">
        <v>48902.51588508881</v>
      </c>
      <c r="O3" s="8">
        <v>48876.8547525633</v>
      </c>
      <c r="P3" s="8">
        <v>48851.14049590261</v>
      </c>
      <c r="Q3" s="8">
        <v>48825.37368802944</v>
      </c>
      <c r="R3" s="8">
        <v>48799.5549031297</v>
      </c>
      <c r="S3" s="8">
        <v>48773.68471661122</v>
      </c>
      <c r="T3" s="8">
        <v>48747.76370506313</v>
      </c>
      <c r="U3" s="8">
        <v>48721.79244621468</v>
      </c>
      <c r="V3" s="8">
        <v>48695.77151889433</v>
      </c>
      <c r="W3" s="8">
        <v>48669.70150298893</v>
      </c>
      <c r="X3" s="8">
        <v>48643.58297940277</v>
      </c>
      <c r="Y3" s="8">
        <v>48617.41653001676</v>
      </c>
      <c r="Z3" s="8">
        <v>48591.20273764776</v>
      </c>
      <c r="AA3" s="8">
        <v>48564.94218600779</v>
      </c>
      <c r="AB3" s="8">
        <v>48538.63545966337</v>
      </c>
      <c r="AC3" s="8">
        <v>48512.28314399508</v>
      </c>
      <c r="AD3" s="8">
        <v>48485.88582515688</v>
      </c>
      <c r="AE3" s="8">
        <v>48459.44409003593</v>
      </c>
      <c r="AF3" s="8">
        <v>48432.95852621209</v>
      </c>
      <c r="AG3" s="8">
        <v>48406.42972191787</v>
      </c>
      <c r="AH3" s="8">
        <v>48379.85826599816</v>
      </c>
      <c r="AI3" s="8">
        <v>48353.24474787042</v>
      </c>
      <c r="AJ3" s="8">
        <v>48326.58975748469</v>
      </c>
      <c r="AK3" s="8">
        <v>48299.89388528387</v>
      </c>
      <c r="AL3" s="8">
        <v>48273.15772216404</v>
      </c>
      <c r="AM3" s="8">
        <v>48246.38185943517</v>
      </c>
      <c r="AN3" s="8">
        <v>48219.5668887815</v>
      </c>
      <c r="AO3" s="8">
        <v>48192.71340222267</v>
      </c>
      <c r="AP3" s="8">
        <v>48165.82199207439</v>
      </c>
      <c r="AQ3" s="8">
        <v>48138.89325090975</v>
      </c>
      <c r="AR3" s="8">
        <v>48111.92777152041</v>
      </c>
      <c r="AS3" s="8">
        <v>48084.92614687814</v>
      </c>
      <c r="AT3" s="8">
        <v>48057.88897009648</v>
      </c>
    </row>
    <row r="4" spans="1:46">
      <c r="A4" s="7">
        <v>33.1</v>
      </c>
      <c r="B4" s="8">
        <v>49262.50601468269</v>
      </c>
      <c r="C4" s="8">
        <v>49237.52123657745</v>
      </c>
      <c r="D4" s="8">
        <v>49212.47655041782</v>
      </c>
      <c r="E4" s="8">
        <v>49187.3725103304</v>
      </c>
      <c r="F4" s="8">
        <v>49162.20967219242</v>
      </c>
      <c r="G4" s="8">
        <v>49136.98859359132</v>
      </c>
      <c r="H4" s="8">
        <v>49111.7098337842</v>
      </c>
      <c r="I4" s="8">
        <v>49086.37395365722</v>
      </c>
      <c r="J4" s="8">
        <v>49060.98151568494</v>
      </c>
      <c r="K4" s="8">
        <v>49035.53308388977</v>
      </c>
      <c r="L4" s="8">
        <v>49010.02922380097</v>
      </c>
      <c r="M4" s="8">
        <v>48984.47050241417</v>
      </c>
      <c r="N4" s="8">
        <v>48958.8574881503</v>
      </c>
      <c r="O4" s="8">
        <v>48933.19075081497</v>
      </c>
      <c r="P4" s="8">
        <v>48907.47086155749</v>
      </c>
      <c r="Q4" s="8">
        <v>48881.69839283008</v>
      </c>
      <c r="R4" s="8">
        <v>48855.87391834703</v>
      </c>
      <c r="S4" s="8">
        <v>48829.99801304377</v>
      </c>
      <c r="T4" s="8">
        <v>48804.07125303613</v>
      </c>
      <c r="U4" s="8">
        <v>48778.09421557941</v>
      </c>
      <c r="V4" s="8">
        <v>48752.06747902774</v>
      </c>
      <c r="W4" s="8">
        <v>48725.99162279315</v>
      </c>
      <c r="X4" s="8">
        <v>48699.86722730494</v>
      </c>
      <c r="Y4" s="8">
        <v>48673.694873969</v>
      </c>
      <c r="Z4" s="8">
        <v>48647.47514512719</v>
      </c>
      <c r="AA4" s="8">
        <v>48621.20862401668</v>
      </c>
      <c r="AB4" s="8">
        <v>48594.89589472955</v>
      </c>
      <c r="AC4" s="8">
        <v>48568.53754217241</v>
      </c>
      <c r="AD4" s="8">
        <v>48542.13415202587</v>
      </c>
      <c r="AE4" s="8">
        <v>48515.68631070442</v>
      </c>
      <c r="AF4" s="8">
        <v>48489.1946053162</v>
      </c>
      <c r="AG4" s="8">
        <v>48462.65962362297</v>
      </c>
      <c r="AH4" s="8">
        <v>48436.0819540001</v>
      </c>
      <c r="AI4" s="8">
        <v>48409.46218539668</v>
      </c>
      <c r="AJ4" s="8">
        <v>48382.80090729587</v>
      </c>
      <c r="AK4" s="8">
        <v>48356.09870967517</v>
      </c>
      <c r="AL4" s="8">
        <v>48329.35618296705</v>
      </c>
      <c r="AM4" s="8">
        <v>48302.57391801947</v>
      </c>
      <c r="AN4" s="8">
        <v>48275.75250605675</v>
      </c>
      <c r="AO4" s="8">
        <v>48248.89253864049</v>
      </c>
      <c r="AP4" s="8">
        <v>48221.99460763063</v>
      </c>
      <c r="AQ4" s="8">
        <v>48195.05930514671</v>
      </c>
      <c r="AR4" s="8">
        <v>48168.08722352931</v>
      </c>
      <c r="AS4" s="8">
        <v>48141.07895530156</v>
      </c>
      <c r="AT4" s="8">
        <v>48114.03509313099</v>
      </c>
    </row>
    <row r="5" spans="1:46">
      <c r="A5" s="7">
        <v>33.2</v>
      </c>
      <c r="B5" s="8">
        <v>49318.89339121291</v>
      </c>
      <c r="C5" s="8">
        <v>49293.90376537834</v>
      </c>
      <c r="D5" s="8">
        <v>49268.8542106915</v>
      </c>
      <c r="E5" s="8">
        <v>49243.74528081987</v>
      </c>
      <c r="F5" s="8">
        <v>49218.57753117859</v>
      </c>
      <c r="G5" s="8">
        <v>49193.35151889035</v>
      </c>
      <c r="H5" s="8">
        <v>49168.0678027448</v>
      </c>
      <c r="I5" s="8">
        <v>49142.72694315822</v>
      </c>
      <c r="J5" s="8">
        <v>49117.32950213314</v>
      </c>
      <c r="K5" s="8">
        <v>49091.87604321753</v>
      </c>
      <c r="L5" s="8">
        <v>49066.36713146444</v>
      </c>
      <c r="M5" s="8">
        <v>49040.80333339126</v>
      </c>
      <c r="N5" s="8">
        <v>49015.18521693908</v>
      </c>
      <c r="O5" s="8">
        <v>48989.51335143202</v>
      </c>
      <c r="P5" s="8">
        <v>48963.78830753654</v>
      </c>
      <c r="Q5" s="8">
        <v>48938.01065722072</v>
      </c>
      <c r="R5" s="8">
        <v>48912.18097371357</v>
      </c>
      <c r="S5" s="8">
        <v>48886.29983146423</v>
      </c>
      <c r="T5" s="8">
        <v>48860.36780610145</v>
      </c>
      <c r="U5" s="8">
        <v>48834.38547439277</v>
      </c>
      <c r="V5" s="8">
        <v>48808.3534142039</v>
      </c>
      <c r="W5" s="8">
        <v>48782.27220445815</v>
      </c>
      <c r="X5" s="8">
        <v>48756.14242509582</v>
      </c>
      <c r="Y5" s="8">
        <v>48729.96465703365</v>
      </c>
      <c r="Z5" s="8">
        <v>48703.73948212429</v>
      </c>
      <c r="AA5" s="8">
        <v>48677.46748311599</v>
      </c>
      <c r="AB5" s="8">
        <v>48651.14924361214</v>
      </c>
      <c r="AC5" s="8">
        <v>48624.78534803107</v>
      </c>
      <c r="AD5" s="8">
        <v>48598.37638156572</v>
      </c>
      <c r="AE5" s="8">
        <v>48571.92293014356</v>
      </c>
      <c r="AF5" s="8">
        <v>48545.42558038662</v>
      </c>
      <c r="AG5" s="8">
        <v>48518.88491957144</v>
      </c>
      <c r="AH5" s="8">
        <v>48492.30153558934</v>
      </c>
      <c r="AI5" s="8">
        <v>48465.67601690655</v>
      </c>
      <c r="AJ5" s="8">
        <v>48439.0089525248</v>
      </c>
      <c r="AK5" s="8">
        <v>48412.30093194162</v>
      </c>
      <c r="AL5" s="8">
        <v>48385.55254511111</v>
      </c>
      <c r="AM5" s="8">
        <v>48358.76438240464</v>
      </c>
      <c r="AN5" s="8">
        <v>48331.93703457181</v>
      </c>
      <c r="AO5" s="8">
        <v>48305.07109270152</v>
      </c>
      <c r="AP5" s="8">
        <v>48278.16714818315</v>
      </c>
      <c r="AQ5" s="8">
        <v>48251.22579266786</v>
      </c>
      <c r="AR5" s="8">
        <v>48224.24761803027</v>
      </c>
      <c r="AS5" s="8">
        <v>48197.23321633005</v>
      </c>
      <c r="AT5" s="8">
        <v>48170.18317977376</v>
      </c>
    </row>
    <row r="6" spans="1:46">
      <c r="A6" s="7">
        <v>33.3</v>
      </c>
      <c r="B6" s="8">
        <v>49375.25973315032</v>
      </c>
      <c r="C6" s="8">
        <v>49350.26571939998</v>
      </c>
      <c r="D6" s="8">
        <v>49325.21175748095</v>
      </c>
      <c r="E6" s="8">
        <v>49300.09840058871</v>
      </c>
      <c r="F6" s="8">
        <v>49274.92620366353</v>
      </c>
      <c r="G6" s="8">
        <v>49249.6957233502</v>
      </c>
      <c r="H6" s="8">
        <v>49224.40751795807</v>
      </c>
      <c r="I6" s="8">
        <v>49199.06214742045</v>
      </c>
      <c r="J6" s="8">
        <v>49173.66017325455</v>
      </c>
      <c r="K6" s="8">
        <v>49148.20215852084</v>
      </c>
      <c r="L6" s="8">
        <v>49122.68866778278</v>
      </c>
      <c r="M6" s="8">
        <v>49097.12026706624</v>
      </c>
      <c r="N6" s="8">
        <v>49071.49752381907</v>
      </c>
      <c r="O6" s="8">
        <v>49045.82100687047</v>
      </c>
      <c r="P6" s="8">
        <v>49020.0912863905</v>
      </c>
      <c r="Q6" s="8">
        <v>48994.30893384957</v>
      </c>
      <c r="R6" s="8">
        <v>48968.47452197776</v>
      </c>
      <c r="S6" s="8">
        <v>48942.58862472431</v>
      </c>
      <c r="T6" s="8">
        <v>48916.65181721711</v>
      </c>
      <c r="U6" s="8">
        <v>48890.66467572214</v>
      </c>
      <c r="V6" s="8">
        <v>48864.62777760297</v>
      </c>
      <c r="W6" s="8">
        <v>48838.54170128024</v>
      </c>
      <c r="X6" s="8">
        <v>48812.40702619129</v>
      </c>
      <c r="Y6" s="8">
        <v>48786.2243327497</v>
      </c>
      <c r="Z6" s="8">
        <v>48759.99420230499</v>
      </c>
      <c r="AA6" s="8">
        <v>48733.71721710236</v>
      </c>
      <c r="AB6" s="8">
        <v>48707.39396024239</v>
      </c>
      <c r="AC6" s="8">
        <v>48681.02501564095</v>
      </c>
      <c r="AD6" s="8">
        <v>48654.61096798907</v>
      </c>
      <c r="AE6" s="8">
        <v>48628.15240271299</v>
      </c>
      <c r="AF6" s="8">
        <v>48601.6499059343</v>
      </c>
      <c r="AG6" s="8">
        <v>48575.10406443</v>
      </c>
      <c r="AH6" s="8">
        <v>48548.51546559296</v>
      </c>
      <c r="AI6" s="8">
        <v>48521.88469739217</v>
      </c>
      <c r="AJ6" s="8">
        <v>48495.2123483334</v>
      </c>
      <c r="AK6" s="8">
        <v>48468.49900741971</v>
      </c>
      <c r="AL6" s="8">
        <v>48441.74526411232</v>
      </c>
      <c r="AM6" s="8">
        <v>48414.9517082915</v>
      </c>
      <c r="AN6" s="8">
        <v>48388.11893021744</v>
      </c>
      <c r="AO6" s="8">
        <v>48361.24752049174</v>
      </c>
      <c r="AP6" s="8">
        <v>48334.33807001847</v>
      </c>
      <c r="AQ6" s="8">
        <v>48307.39116996577</v>
      </c>
      <c r="AR6" s="8">
        <v>48280.40741172753</v>
      </c>
      <c r="AS6" s="8">
        <v>48253.38738688517</v>
      </c>
      <c r="AT6" s="8">
        <v>48226.33168716963</v>
      </c>
    </row>
    <row r="7" spans="1:46">
      <c r="A7" s="7">
        <v>33.4</v>
      </c>
      <c r="B7" s="8">
        <v>49431.60349970797</v>
      </c>
      <c r="C7" s="8">
        <v>49406.60555790212</v>
      </c>
      <c r="D7" s="8">
        <v>49381.54765009384</v>
      </c>
      <c r="E7" s="8">
        <v>49356.43032899395</v>
      </c>
      <c r="F7" s="8">
        <v>49331.25414905493</v>
      </c>
      <c r="G7" s="8">
        <v>49306.01966643104</v>
      </c>
      <c r="H7" s="8">
        <v>49280.72743893821</v>
      </c>
      <c r="I7" s="8">
        <v>49255.37802601386</v>
      </c>
      <c r="J7" s="8">
        <v>49229.97198867684</v>
      </c>
      <c r="K7" s="8">
        <v>49204.50988948704</v>
      </c>
      <c r="L7" s="8">
        <v>49178.99229250513</v>
      </c>
      <c r="M7" s="8">
        <v>49153.4197632523</v>
      </c>
      <c r="N7" s="8">
        <v>49127.79286866977</v>
      </c>
      <c r="O7" s="8">
        <v>49102.11217707854</v>
      </c>
      <c r="P7" s="8">
        <v>49076.3782581389</v>
      </c>
      <c r="Q7" s="8">
        <v>49050.59168281008</v>
      </c>
      <c r="R7" s="8">
        <v>49024.75302330973</v>
      </c>
      <c r="S7" s="8">
        <v>48998.86285307366</v>
      </c>
      <c r="T7" s="8">
        <v>48972.92174671528</v>
      </c>
      <c r="U7" s="8">
        <v>48946.93027998534</v>
      </c>
      <c r="V7" s="8">
        <v>48920.88902973146</v>
      </c>
      <c r="W7" s="8">
        <v>48894.79857385794</v>
      </c>
      <c r="X7" s="8">
        <v>48868.65949128527</v>
      </c>
      <c r="Y7" s="8">
        <v>48842.47236191006</v>
      </c>
      <c r="Z7" s="8">
        <v>48816.23776656476</v>
      </c>
      <c r="AA7" s="8">
        <v>48789.9562869775</v>
      </c>
      <c r="AB7" s="8">
        <v>48763.62850573205</v>
      </c>
      <c r="AC7" s="8">
        <v>48737.25500622777</v>
      </c>
      <c r="AD7" s="8">
        <v>48710.83637263969</v>
      </c>
      <c r="AE7" s="8">
        <v>48684.37318987869</v>
      </c>
      <c r="AF7" s="8">
        <v>48657.86604355166</v>
      </c>
      <c r="AG7" s="8">
        <v>48631.31551992187</v>
      </c>
      <c r="AH7" s="8">
        <v>48604.72220586948</v>
      </c>
      <c r="AI7" s="8">
        <v>48578.08668885186</v>
      </c>
      <c r="AJ7" s="8">
        <v>48551.4095568645</v>
      </c>
      <c r="AK7" s="8">
        <v>48524.69139840162</v>
      </c>
      <c r="AL7" s="8">
        <v>48497.93280241713</v>
      </c>
      <c r="AM7" s="8">
        <v>48471.13435828558</v>
      </c>
      <c r="AN7" s="8">
        <v>48444.29665576345</v>
      </c>
      <c r="AO7" s="8">
        <v>48417.42028495037</v>
      </c>
      <c r="AP7" s="8">
        <v>48390.50583625063</v>
      </c>
      <c r="AQ7" s="8">
        <v>48363.55390033467</v>
      </c>
      <c r="AR7" s="8">
        <v>48336.56506810107</v>
      </c>
      <c r="AS7" s="8">
        <v>48309.5399306383</v>
      </c>
      <c r="AT7" s="8">
        <v>48282.47907918692</v>
      </c>
    </row>
    <row r="8" spans="1:46">
      <c r="A8" s="7">
        <v>33.5</v>
      </c>
      <c r="B8" s="8">
        <v>49487.92315788418</v>
      </c>
      <c r="C8" s="8">
        <v>49462.92174790758</v>
      </c>
      <c r="D8" s="8">
        <v>49437.86035557877</v>
      </c>
      <c r="E8" s="8">
        <v>49412.73953311118</v>
      </c>
      <c r="F8" s="8">
        <v>49387.55983445685</v>
      </c>
      <c r="G8" s="8">
        <v>49362.32181526671</v>
      </c>
      <c r="H8" s="8">
        <v>49337.02603285051</v>
      </c>
      <c r="I8" s="8">
        <v>49311.67304613691</v>
      </c>
      <c r="J8" s="8">
        <v>49286.26341563343</v>
      </c>
      <c r="K8" s="8">
        <v>49260.79770338639</v>
      </c>
      <c r="L8" s="8">
        <v>49235.27647294065</v>
      </c>
      <c r="M8" s="8">
        <v>49209.70028929951</v>
      </c>
      <c r="N8" s="8">
        <v>49184.06971888449</v>
      </c>
      <c r="O8" s="8">
        <v>49158.38532949509</v>
      </c>
      <c r="P8" s="8">
        <v>49132.64769026857</v>
      </c>
      <c r="Q8" s="8">
        <v>49106.85737163961</v>
      </c>
      <c r="R8" s="8">
        <v>49081.01494530009</v>
      </c>
      <c r="S8" s="8">
        <v>49055.12098415881</v>
      </c>
      <c r="T8" s="8">
        <v>49029.1760623013</v>
      </c>
      <c r="U8" s="8">
        <v>49003.18075494943</v>
      </c>
      <c r="V8" s="8">
        <v>48977.13563842134</v>
      </c>
      <c r="W8" s="8">
        <v>48951.04129009123</v>
      </c>
      <c r="X8" s="8">
        <v>48924.89828834914</v>
      </c>
      <c r="Y8" s="8">
        <v>48898.7072125609</v>
      </c>
      <c r="Z8" s="8">
        <v>48872.46864302801</v>
      </c>
      <c r="AA8" s="8">
        <v>48846.18316094771</v>
      </c>
      <c r="AB8" s="8">
        <v>48819.85134837313</v>
      </c>
      <c r="AC8" s="8">
        <v>48793.47378817305</v>
      </c>
      <c r="AD8" s="8">
        <v>48767.05106399259</v>
      </c>
      <c r="AE8" s="8">
        <v>48740.58376021311</v>
      </c>
      <c r="AF8" s="8">
        <v>48714.07246191282</v>
      </c>
      <c r="AG8" s="8">
        <v>48687.51775482712</v>
      </c>
      <c r="AH8" s="8">
        <v>48660.92022530919</v>
      </c>
      <c r="AI8" s="8">
        <v>48634.28046029068</v>
      </c>
      <c r="AJ8" s="8">
        <v>48607.59904724253</v>
      </c>
      <c r="AK8" s="8">
        <v>48580.87657413584</v>
      </c>
      <c r="AL8" s="8">
        <v>48554.11362940279</v>
      </c>
      <c r="AM8" s="8">
        <v>48527.31080189801</v>
      </c>
      <c r="AN8" s="8">
        <v>48500.46868085971</v>
      </c>
      <c r="AO8" s="8">
        <v>48473.58785587123</v>
      </c>
      <c r="AP8" s="8">
        <v>48446.66891682252</v>
      </c>
      <c r="AQ8" s="8">
        <v>48419.71245387189</v>
      </c>
      <c r="AR8" s="8">
        <v>48392.71905740802</v>
      </c>
      <c r="AS8" s="8">
        <v>48365.6893180119</v>
      </c>
      <c r="AT8" s="8">
        <v>48338.62382641911</v>
      </c>
    </row>
    <row r="9" spans="1:46">
      <c r="A9" s="7">
        <v>33.6</v>
      </c>
      <c r="B9" s="8">
        <v>49544.2171824582</v>
      </c>
      <c r="C9" s="8">
        <v>49519.21276419834</v>
      </c>
      <c r="D9" s="8">
        <v>49494.14834872138</v>
      </c>
      <c r="E9" s="8">
        <v>49469.02448773089</v>
      </c>
      <c r="F9" s="8">
        <v>49443.84173466592</v>
      </c>
      <c r="G9" s="8">
        <v>49418.6006446614</v>
      </c>
      <c r="H9" s="8">
        <v>49393.30177450822</v>
      </c>
      <c r="I9" s="8">
        <v>49367.94568261343</v>
      </c>
      <c r="J9" s="8">
        <v>49342.53292896052</v>
      </c>
      <c r="K9" s="8">
        <v>49317.06407506925</v>
      </c>
      <c r="L9" s="8">
        <v>49291.53968395568</v>
      </c>
      <c r="M9" s="8">
        <v>49265.96032009234</v>
      </c>
      <c r="N9" s="8">
        <v>49240.32654936787</v>
      </c>
      <c r="O9" s="8">
        <v>49214.63893904722</v>
      </c>
      <c r="P9" s="8">
        <v>49188.89805773141</v>
      </c>
      <c r="Q9" s="8">
        <v>49163.10447531726</v>
      </c>
      <c r="R9" s="8">
        <v>49137.25876295766</v>
      </c>
      <c r="S9" s="8">
        <v>49111.36149302112</v>
      </c>
      <c r="T9" s="8">
        <v>49085.4132390517</v>
      </c>
      <c r="U9" s="8">
        <v>49059.41457572909</v>
      </c>
      <c r="V9" s="8">
        <v>49033.36607882842</v>
      </c>
      <c r="W9" s="8">
        <v>49007.26832518019</v>
      </c>
      <c r="X9" s="8">
        <v>48981.12189263041</v>
      </c>
      <c r="Y9" s="8">
        <v>48954.9273600004</v>
      </c>
      <c r="Z9" s="8">
        <v>48928.68530704708</v>
      </c>
      <c r="AA9" s="8">
        <v>48902.39631442312</v>
      </c>
      <c r="AB9" s="8">
        <v>48876.06096363695</v>
      </c>
      <c r="AC9" s="8">
        <v>48849.67983701325</v>
      </c>
      <c r="AD9" s="8">
        <v>48823.25351765306</v>
      </c>
      <c r="AE9" s="8">
        <v>48796.78258939451</v>
      </c>
      <c r="AF9" s="8">
        <v>48770.267636773</v>
      </c>
      <c r="AG9" s="8">
        <v>48743.70924498207</v>
      </c>
      <c r="AH9" s="8">
        <v>48717.10799983389</v>
      </c>
      <c r="AI9" s="8">
        <v>48690.46448772027</v>
      </c>
      <c r="AJ9" s="8">
        <v>48663.77929557347</v>
      </c>
      <c r="AK9" s="8">
        <v>48637.05301082717</v>
      </c>
      <c r="AL9" s="8">
        <v>48610.28622137778</v>
      </c>
      <c r="AM9" s="8">
        <v>48583.47951554564</v>
      </c>
      <c r="AN9" s="8">
        <v>48556.63348203646</v>
      </c>
      <c r="AO9" s="8">
        <v>48529.7487099029</v>
      </c>
      <c r="AP9" s="8">
        <v>48502.8257885062</v>
      </c>
      <c r="AQ9" s="8">
        <v>48475.86530747823</v>
      </c>
      <c r="AR9" s="8">
        <v>48448.86785668326</v>
      </c>
      <c r="AS9" s="8">
        <v>48421.83402618035</v>
      </c>
      <c r="AT9" s="8">
        <v>48394.76440618566</v>
      </c>
    </row>
    <row r="10" spans="1:46">
      <c r="A10" s="7">
        <v>33.7</v>
      </c>
      <c r="B10" s="8">
        <v>49600.48405598552</v>
      </c>
      <c r="C10" s="8">
        <v>49575.47708931066</v>
      </c>
      <c r="D10" s="8">
        <v>49550.41011203971</v>
      </c>
      <c r="E10" s="8">
        <v>49525.28367535401</v>
      </c>
      <c r="F10" s="8">
        <v>49500.09833216715</v>
      </c>
      <c r="G10" s="8">
        <v>49474.85463708542</v>
      </c>
      <c r="H10" s="8">
        <v>49449.55314636831</v>
      </c>
      <c r="I10" s="8">
        <v>49424.19441788869</v>
      </c>
      <c r="J10" s="8">
        <v>49398.77901109317</v>
      </c>
      <c r="K10" s="8">
        <v>49373.30748696213</v>
      </c>
      <c r="L10" s="8">
        <v>49347.78040797017</v>
      </c>
      <c r="M10" s="8">
        <v>49322.19833804595</v>
      </c>
      <c r="N10" s="8">
        <v>49296.56184253244</v>
      </c>
      <c r="O10" s="8">
        <v>49270.87148814693</v>
      </c>
      <c r="P10" s="8">
        <v>49245.12784294099</v>
      </c>
      <c r="Q10" s="8">
        <v>49219.33147626078</v>
      </c>
      <c r="R10" s="8">
        <v>49193.48295870679</v>
      </c>
      <c r="S10" s="8">
        <v>49167.58286209388</v>
      </c>
      <c r="T10" s="8">
        <v>49141.63175941166</v>
      </c>
      <c r="U10" s="8">
        <v>49115.63022478409</v>
      </c>
      <c r="V10" s="8">
        <v>49089.57883342991</v>
      </c>
      <c r="W10" s="8">
        <v>49063.47816162251</v>
      </c>
      <c r="X10" s="8">
        <v>49037.32878665032</v>
      </c>
      <c r="Y10" s="8">
        <v>49011.13128677662</v>
      </c>
      <c r="Z10" s="8">
        <v>48984.88624120026</v>
      </c>
      <c r="AA10" s="8">
        <v>48958.59423001548</v>
      </c>
      <c r="AB10" s="8">
        <v>48932.25583417255</v>
      </c>
      <c r="AC10" s="8">
        <v>48905.87163543809</v>
      </c>
      <c r="AD10" s="8">
        <v>48879.44221635549</v>
      </c>
      <c r="AE10" s="8">
        <v>48852.9681602056</v>
      </c>
      <c r="AF10" s="8">
        <v>48826.45005096729</v>
      </c>
      <c r="AG10" s="8">
        <v>48799.88847327826</v>
      </c>
      <c r="AH10" s="8">
        <v>48773.28401239582</v>
      </c>
      <c r="AI10" s="8">
        <v>48746.63725415779</v>
      </c>
      <c r="AJ10" s="8">
        <v>48719.94878494382</v>
      </c>
      <c r="AK10" s="8">
        <v>48693.21919163607</v>
      </c>
      <c r="AL10" s="8">
        <v>48666.44906158103</v>
      </c>
      <c r="AM10" s="8">
        <v>48639.63898255064</v>
      </c>
      <c r="AN10" s="8">
        <v>48612.78954270384</v>
      </c>
      <c r="AO10" s="8">
        <v>48585.90133054848</v>
      </c>
      <c r="AP10" s="8">
        <v>48558.97493490286</v>
      </c>
      <c r="AQ10" s="8">
        <v>48532.01094485795</v>
      </c>
      <c r="AR10" s="8">
        <v>48505.00994973947</v>
      </c>
      <c r="AS10" s="8">
        <v>48477.9725390701</v>
      </c>
      <c r="AT10" s="8">
        <v>48450.89930253217</v>
      </c>
    </row>
    <row r="11" spans="1:46">
      <c r="A11" s="7">
        <v>33.8</v>
      </c>
      <c r="B11" s="8">
        <v>49656.72226879232</v>
      </c>
      <c r="C11" s="8">
        <v>49631.71321352979</v>
      </c>
      <c r="D11" s="8">
        <v>49606.64413577901</v>
      </c>
      <c r="E11" s="8">
        <v>49581.5155861867</v>
      </c>
      <c r="F11" s="8">
        <v>49556.32811712867</v>
      </c>
      <c r="G11" s="8">
        <v>49531.08228267019</v>
      </c>
      <c r="H11" s="8">
        <v>49505.77863852679</v>
      </c>
      <c r="I11" s="8">
        <v>49480.41774202457</v>
      </c>
      <c r="J11" s="8">
        <v>49455.00015206065</v>
      </c>
      <c r="K11" s="8">
        <v>49429.52642906349</v>
      </c>
      <c r="L11" s="8">
        <v>49403.99713495332</v>
      </c>
      <c r="M11" s="8">
        <v>49378.41283310227</v>
      </c>
      <c r="N11" s="8">
        <v>49352.77408829462</v>
      </c>
      <c r="O11" s="8">
        <v>49327.08146668714</v>
      </c>
      <c r="P11" s="8">
        <v>49301.33553576924</v>
      </c>
      <c r="Q11" s="8">
        <v>49275.53686432302</v>
      </c>
      <c r="R11" s="8">
        <v>49249.68602238358</v>
      </c>
      <c r="S11" s="8">
        <v>49223.78358119931</v>
      </c>
      <c r="T11" s="8">
        <v>49197.83011319175</v>
      </c>
      <c r="U11" s="8">
        <v>49171.82619191609</v>
      </c>
      <c r="V11" s="8">
        <v>49145.77239202143</v>
      </c>
      <c r="W11" s="8">
        <v>49119.66928921067</v>
      </c>
      <c r="X11" s="8">
        <v>49093.51746020122</v>
      </c>
      <c r="Y11" s="8">
        <v>49067.31748268504</v>
      </c>
      <c r="Z11" s="8">
        <v>49041.06993528913</v>
      </c>
      <c r="AA11" s="8">
        <v>49014.77539753604</v>
      </c>
      <c r="AB11" s="8">
        <v>48988.43444980412</v>
      </c>
      <c r="AC11" s="8">
        <v>48962.04767328839</v>
      </c>
      <c r="AD11" s="8">
        <v>48935.61564996086</v>
      </c>
      <c r="AE11" s="8">
        <v>48909.13896253147</v>
      </c>
      <c r="AF11" s="8">
        <v>48882.61819440876</v>
      </c>
      <c r="AG11" s="8">
        <v>48856.05392966069</v>
      </c>
      <c r="AH11" s="8">
        <v>48829.44675297591</v>
      </c>
      <c r="AI11" s="8">
        <v>48802.79724962444</v>
      </c>
      <c r="AJ11" s="8">
        <v>48776.10600541921</v>
      </c>
      <c r="AK11" s="8">
        <v>48749.37360667712</v>
      </c>
      <c r="AL11" s="8">
        <v>48722.60064018056</v>
      </c>
      <c r="AM11" s="8">
        <v>48695.78769313909</v>
      </c>
      <c r="AN11" s="8">
        <v>48668.93535315084</v>
      </c>
      <c r="AO11" s="8">
        <v>48642.04420816464</v>
      </c>
      <c r="AP11" s="8">
        <v>48615.1148464417</v>
      </c>
      <c r="AQ11" s="8">
        <v>48588.147856518</v>
      </c>
      <c r="AR11" s="8">
        <v>48561.14382716634</v>
      </c>
      <c r="AS11" s="8">
        <v>48534.10334735891</v>
      </c>
      <c r="AT11" s="8">
        <v>48507.02700622982</v>
      </c>
    </row>
    <row r="12" spans="1:46">
      <c r="A12" s="7">
        <v>33.9</v>
      </c>
      <c r="B12" s="8">
        <v>49712.93031896902</v>
      </c>
      <c r="C12" s="8">
        <v>49687.91963488371</v>
      </c>
      <c r="D12" s="8">
        <v>49662.84891790556</v>
      </c>
      <c r="E12" s="8">
        <v>49637.71871813454</v>
      </c>
      <c r="F12" s="8">
        <v>49612.52958739627</v>
      </c>
      <c r="G12" s="8">
        <v>49587.28207920274</v>
      </c>
      <c r="H12" s="8">
        <v>49561.97674871315</v>
      </c>
      <c r="I12" s="8">
        <v>49536.61415269436</v>
      </c>
      <c r="J12" s="8">
        <v>49511.19484948154</v>
      </c>
      <c r="K12" s="8">
        <v>49485.71939893859</v>
      </c>
      <c r="L12" s="8">
        <v>49460.18836241878</v>
      </c>
      <c r="M12" s="8">
        <v>49434.60230272492</v>
      </c>
      <c r="N12" s="8">
        <v>49408.96178407004</v>
      </c>
      <c r="O12" s="8">
        <v>49383.26737203751</v>
      </c>
      <c r="P12" s="8">
        <v>49357.51963354152</v>
      </c>
      <c r="Q12" s="8">
        <v>49331.71913678743</v>
      </c>
      <c r="R12" s="8">
        <v>49305.86645123201</v>
      </c>
      <c r="S12" s="8">
        <v>49279.96214754391</v>
      </c>
      <c r="T12" s="8">
        <v>49254.00679756379</v>
      </c>
      <c r="U12" s="8">
        <v>49228.00097426487</v>
      </c>
      <c r="V12" s="8">
        <v>49201.94525171327</v>
      </c>
      <c r="W12" s="8">
        <v>49175.8402050283</v>
      </c>
      <c r="X12" s="8">
        <v>49149.68641034307</v>
      </c>
      <c r="Y12" s="8">
        <v>49123.48444476479</v>
      </c>
      <c r="Z12" s="8">
        <v>49097.23488633543</v>
      </c>
      <c r="AA12" s="8">
        <v>49070.93831399215</v>
      </c>
      <c r="AB12" s="8">
        <v>49044.59530752814</v>
      </c>
      <c r="AC12" s="8">
        <v>49018.20644755317</v>
      </c>
      <c r="AD12" s="8">
        <v>48991.77231545431</v>
      </c>
      <c r="AE12" s="8">
        <v>48965.29349335699</v>
      </c>
      <c r="AF12" s="8">
        <v>48938.77056408572</v>
      </c>
      <c r="AG12" s="8">
        <v>48912.20411112521</v>
      </c>
      <c r="AH12" s="8">
        <v>48885.59471858147</v>
      </c>
      <c r="AI12" s="8">
        <v>48858.94297114306</v>
      </c>
      <c r="AJ12" s="8">
        <v>48832.24945404239</v>
      </c>
      <c r="AK12" s="8">
        <v>48805.5147530171</v>
      </c>
      <c r="AL12" s="8">
        <v>48778.73945427176</v>
      </c>
      <c r="AM12" s="8">
        <v>48751.92414443944</v>
      </c>
      <c r="AN12" s="8">
        <v>48725.06941054358</v>
      </c>
      <c r="AO12" s="8">
        <v>48698.17583995993</v>
      </c>
      <c r="AP12" s="8">
        <v>48671.24402037863</v>
      </c>
      <c r="AQ12" s="8">
        <v>48644.2745397665</v>
      </c>
      <c r="AR12" s="8">
        <v>48617.2679863294</v>
      </c>
      <c r="AS12" s="8">
        <v>48590.22494847477</v>
      </c>
      <c r="AT12" s="8">
        <v>48563.14601477445</v>
      </c>
    </row>
    <row r="13" spans="1:46">
      <c r="A13" s="7">
        <v>34</v>
      </c>
      <c r="B13" s="8">
        <v>49769.10671236303</v>
      </c>
      <c r="C13" s="8">
        <v>49744.09485913593</v>
      </c>
      <c r="D13" s="8">
        <v>49719.02296409968</v>
      </c>
      <c r="E13" s="8">
        <v>49693.89157679531</v>
      </c>
      <c r="F13" s="8">
        <v>49668.70124848621</v>
      </c>
      <c r="G13" s="8">
        <v>49643.45253211885</v>
      </c>
      <c r="H13" s="8">
        <v>49618.14598228378</v>
      </c>
      <c r="I13" s="8">
        <v>49592.78215517625</v>
      </c>
      <c r="J13" s="8">
        <v>49567.36160855707</v>
      </c>
      <c r="K13" s="8">
        <v>49541.88490171319</v>
      </c>
      <c r="L13" s="8">
        <v>49516.35259541828</v>
      </c>
      <c r="M13" s="8">
        <v>49490.76525189338</v>
      </c>
      <c r="N13" s="8">
        <v>49465.12343476755</v>
      </c>
      <c r="O13" s="8">
        <v>49439.42770903806</v>
      </c>
      <c r="P13" s="8">
        <v>49413.67864103123</v>
      </c>
      <c r="Q13" s="8">
        <v>49387.87679836279</v>
      </c>
      <c r="R13" s="8">
        <v>49362.0227498983</v>
      </c>
      <c r="S13" s="8">
        <v>49336.11706571373</v>
      </c>
      <c r="T13" s="8">
        <v>49310.16031705598</v>
      </c>
      <c r="U13" s="8">
        <v>49284.15307630319</v>
      </c>
      <c r="V13" s="8">
        <v>49258.09591692548</v>
      </c>
      <c r="W13" s="8">
        <v>49231.98941344546</v>
      </c>
      <c r="X13" s="8">
        <v>49205.83414139874</v>
      </c>
      <c r="Y13" s="8">
        <v>49179.63067729452</v>
      </c>
      <c r="Z13" s="8">
        <v>49153.37959857642</v>
      </c>
      <c r="AA13" s="8">
        <v>49127.08148358312</v>
      </c>
      <c r="AB13" s="8">
        <v>49100.73691150909</v>
      </c>
      <c r="AC13" s="8">
        <v>49074.34646236543</v>
      </c>
      <c r="AD13" s="8">
        <v>49047.91071694095</v>
      </c>
      <c r="AE13" s="8">
        <v>49021.4302567629</v>
      </c>
      <c r="AF13" s="8">
        <v>48994.90566405832</v>
      </c>
      <c r="AG13" s="8">
        <v>48968.33752171497</v>
      </c>
      <c r="AH13" s="8">
        <v>48941.72641324272</v>
      </c>
      <c r="AI13" s="8">
        <v>48915.07292273493</v>
      </c>
      <c r="AJ13" s="8">
        <v>48888.37763482973</v>
      </c>
      <c r="AK13" s="8">
        <v>48861.64113467183</v>
      </c>
      <c r="AL13" s="8">
        <v>48834.86400787409</v>
      </c>
      <c r="AM13" s="8">
        <v>48808.0468404794</v>
      </c>
      <c r="AN13" s="8">
        <v>48781.19021892245</v>
      </c>
      <c r="AO13" s="8">
        <v>48754.29472999216</v>
      </c>
      <c r="AP13" s="8">
        <v>48727.36096079355</v>
      </c>
      <c r="AQ13" s="8">
        <v>48700.38949871036</v>
      </c>
      <c r="AR13" s="8">
        <v>48673.38093136745</v>
      </c>
      <c r="AS13" s="8">
        <v>48646.33584659356</v>
      </c>
      <c r="AT13" s="8">
        <v>48619.25483238405</v>
      </c>
    </row>
    <row r="14" spans="1:46">
      <c r="A14" s="7">
        <v>34.1</v>
      </c>
      <c r="B14" s="8">
        <v>49825.24996257107</v>
      </c>
      <c r="C14" s="8">
        <v>49800.23739977805</v>
      </c>
      <c r="D14" s="8">
        <v>49775.16478774833</v>
      </c>
      <c r="E14" s="8">
        <v>49750.03267545215</v>
      </c>
      <c r="F14" s="8">
        <v>49724.84161357854</v>
      </c>
      <c r="G14" s="8">
        <v>49699.59215449631</v>
      </c>
      <c r="H14" s="8">
        <v>49674.28485221521</v>
      </c>
      <c r="I14" s="8">
        <v>49648.92026234667</v>
      </c>
      <c r="J14" s="8">
        <v>49623.49894206483</v>
      </c>
      <c r="K14" s="8">
        <v>49598.02145006724</v>
      </c>
      <c r="L14" s="8">
        <v>49572.48834653573</v>
      </c>
      <c r="M14" s="8">
        <v>49546.90019309702</v>
      </c>
      <c r="N14" s="8">
        <v>49521.25755278354</v>
      </c>
      <c r="O14" s="8">
        <v>49495.56098999405</v>
      </c>
      <c r="P14" s="8">
        <v>49469.81107045424</v>
      </c>
      <c r="Q14" s="8">
        <v>49444.00836117756</v>
      </c>
      <c r="R14" s="8">
        <v>49418.15343042556</v>
      </c>
      <c r="S14" s="8">
        <v>49392.24684766886</v>
      </c>
      <c r="T14" s="8">
        <v>49366.28918354752</v>
      </c>
      <c r="U14" s="8">
        <v>49340.28100983188</v>
      </c>
      <c r="V14" s="8">
        <v>49314.22289938307</v>
      </c>
      <c r="W14" s="8">
        <v>49288.11542611386</v>
      </c>
      <c r="X14" s="8">
        <v>49261.95916494933</v>
      </c>
      <c r="Y14" s="8">
        <v>49235.7546917877</v>
      </c>
      <c r="Z14" s="8">
        <v>49209.50258346096</v>
      </c>
      <c r="AA14" s="8">
        <v>49183.20341769607</v>
      </c>
      <c r="AB14" s="8">
        <v>49156.85777307546</v>
      </c>
      <c r="AC14" s="8">
        <v>49130.46622899846</v>
      </c>
      <c r="AD14" s="8">
        <v>49104.02936564208</v>
      </c>
      <c r="AE14" s="8">
        <v>49077.54776392211</v>
      </c>
      <c r="AF14" s="8">
        <v>49051.02200545464</v>
      </c>
      <c r="AG14" s="8">
        <v>49024.45267251698</v>
      </c>
      <c r="AH14" s="8">
        <v>48997.84034800941</v>
      </c>
      <c r="AI14" s="8">
        <v>48971.18561541634</v>
      </c>
      <c r="AJ14" s="8">
        <v>48944.48905876822</v>
      </c>
      <c r="AK14" s="8">
        <v>48917.75126260307</v>
      </c>
      <c r="AL14" s="8">
        <v>48890.9728119284</v>
      </c>
      <c r="AM14" s="8">
        <v>48864.15429218306</v>
      </c>
      <c r="AN14" s="8">
        <v>48837.29628919945</v>
      </c>
      <c r="AO14" s="8">
        <v>48810.39938916566</v>
      </c>
      <c r="AP14" s="8">
        <v>48783.46417858786</v>
      </c>
      <c r="AQ14" s="8">
        <v>48756.49124425283</v>
      </c>
      <c r="AR14" s="8">
        <v>48729.48117319048</v>
      </c>
      <c r="AS14" s="8">
        <v>48702.43455263689</v>
      </c>
      <c r="AT14" s="8">
        <v>48675.35196999703</v>
      </c>
    </row>
    <row r="15" spans="1:46">
      <c r="A15" s="7">
        <v>34.2</v>
      </c>
      <c r="B15" s="8">
        <v>49881.35859093057</v>
      </c>
      <c r="C15" s="8">
        <v>49856.3457780211</v>
      </c>
      <c r="D15" s="8">
        <v>49831.27290993679</v>
      </c>
      <c r="E15" s="8">
        <v>49806.14053506506</v>
      </c>
      <c r="F15" s="8">
        <v>49780.94920350866</v>
      </c>
      <c r="G15" s="8">
        <v>49755.69946704675</v>
      </c>
      <c r="H15" s="8">
        <v>49730.39187909622</v>
      </c>
      <c r="I15" s="8">
        <v>49705.02699467257</v>
      </c>
      <c r="J15" s="8">
        <v>49679.60537035103</v>
      </c>
      <c r="K15" s="8">
        <v>49654.12756422753</v>
      </c>
      <c r="L15" s="8">
        <v>49628.59413587971</v>
      </c>
      <c r="M15" s="8">
        <v>49603.00564632759</v>
      </c>
      <c r="N15" s="8">
        <v>49577.36265799466</v>
      </c>
      <c r="O15" s="8">
        <v>49551.66573466855</v>
      </c>
      <c r="P15" s="8">
        <v>49525.91544146188</v>
      </c>
      <c r="Q15" s="8">
        <v>49500.11234477314</v>
      </c>
      <c r="R15" s="8">
        <v>49474.25701224739</v>
      </c>
      <c r="S15" s="8">
        <v>49448.35001273701</v>
      </c>
      <c r="T15" s="8">
        <v>49422.3919162626</v>
      </c>
      <c r="U15" s="8">
        <v>49396.38329397372</v>
      </c>
      <c r="V15" s="8">
        <v>49370.3247181098</v>
      </c>
      <c r="W15" s="8">
        <v>49344.21676196087</v>
      </c>
      <c r="X15" s="8">
        <v>49318.05999982855</v>
      </c>
      <c r="Y15" s="8">
        <v>49291.85500698689</v>
      </c>
      <c r="Z15" s="8">
        <v>49265.60235964339</v>
      </c>
      <c r="AA15" s="8">
        <v>49239.30263490004</v>
      </c>
      <c r="AB15" s="8">
        <v>49212.95641071426</v>
      </c>
      <c r="AC15" s="8">
        <v>49186.56426586027</v>
      </c>
      <c r="AD15" s="8">
        <v>49160.12677989001</v>
      </c>
      <c r="AE15" s="8">
        <v>49133.64453309466</v>
      </c>
      <c r="AF15" s="8">
        <v>49107.11810646588</v>
      </c>
      <c r="AG15" s="8">
        <v>49080.54808165727</v>
      </c>
      <c r="AH15" s="8">
        <v>49053.93504094597</v>
      </c>
      <c r="AI15" s="8">
        <v>49027.27956719416</v>
      </c>
      <c r="AJ15" s="8">
        <v>49000.58224381098</v>
      </c>
      <c r="AK15" s="8">
        <v>48973.84365471422</v>
      </c>
      <c r="AL15" s="8">
        <v>48947.06438429246</v>
      </c>
      <c r="AM15" s="8">
        <v>48920.24501736697</v>
      </c>
      <c r="AN15" s="8">
        <v>48893.38613915408</v>
      </c>
      <c r="AO15" s="8">
        <v>48866.48833522746</v>
      </c>
      <c r="AP15" s="8">
        <v>48839.5521914807</v>
      </c>
      <c r="AQ15" s="8">
        <v>48812.57829408973</v>
      </c>
      <c r="AR15" s="8">
        <v>48785.56722947583</v>
      </c>
      <c r="AS15" s="8">
        <v>48758.51958426851</v>
      </c>
      <c r="AT15" s="8">
        <v>48731.43594526853</v>
      </c>
    </row>
    <row r="16" spans="1:46">
      <c r="A16" s="7">
        <v>34.3</v>
      </c>
      <c r="B16" s="8">
        <v>49937.43112651035</v>
      </c>
      <c r="C16" s="8">
        <v>49912.41852278667</v>
      </c>
      <c r="D16" s="8">
        <v>49887.34585943962</v>
      </c>
      <c r="E16" s="8">
        <v>49862.2136842621</v>
      </c>
      <c r="F16" s="8">
        <v>49837.02254675881</v>
      </c>
      <c r="G16" s="8">
        <v>49811.77299810732</v>
      </c>
      <c r="H16" s="8">
        <v>49786.46559111962</v>
      </c>
      <c r="I16" s="8">
        <v>49761.10088020324</v>
      </c>
      <c r="J16" s="8">
        <v>49735.67942132251</v>
      </c>
      <c r="K16" s="8">
        <v>49710.2017719596</v>
      </c>
      <c r="L16" s="8">
        <v>49684.66849107569</v>
      </c>
      <c r="M16" s="8">
        <v>49659.08013907186</v>
      </c>
      <c r="N16" s="8">
        <v>49633.4372777503</v>
      </c>
      <c r="O16" s="8">
        <v>49607.74047027523</v>
      </c>
      <c r="P16" s="8">
        <v>49581.99028113378</v>
      </c>
      <c r="Q16" s="8">
        <v>49556.18727609693</v>
      </c>
      <c r="R16" s="8">
        <v>49530.33202218061</v>
      </c>
      <c r="S16" s="8">
        <v>49504.42508760654</v>
      </c>
      <c r="T16" s="8">
        <v>49478.46704176318</v>
      </c>
      <c r="U16" s="8">
        <v>49452.45845516666</v>
      </c>
      <c r="V16" s="8">
        <v>49426.39989942184</v>
      </c>
      <c r="W16" s="8">
        <v>49400.29194718329</v>
      </c>
      <c r="X16" s="8">
        <v>49374.13517211625</v>
      </c>
      <c r="Y16" s="8">
        <v>49347.93014885779</v>
      </c>
      <c r="Z16" s="8">
        <v>49321.67745297788</v>
      </c>
      <c r="AA16" s="8">
        <v>49295.37766094065</v>
      </c>
      <c r="AB16" s="8">
        <v>49269.03135006541</v>
      </c>
      <c r="AC16" s="8">
        <v>49242.63909848813</v>
      </c>
      <c r="AD16" s="8">
        <v>49216.20148512267</v>
      </c>
      <c r="AE16" s="8">
        <v>49189.71908962233</v>
      </c>
      <c r="AF16" s="8">
        <v>49163.19249234115</v>
      </c>
      <c r="AG16" s="8">
        <v>49136.62227429573</v>
      </c>
      <c r="AH16" s="8">
        <v>49110.00901712677</v>
      </c>
      <c r="AI16" s="8">
        <v>49083.35330306084</v>
      </c>
      <c r="AJ16" s="8">
        <v>49056.65571487239</v>
      </c>
      <c r="AK16" s="8">
        <v>49029.91683584559</v>
      </c>
      <c r="AL16" s="8">
        <v>49003.13724973655</v>
      </c>
      <c r="AM16" s="8">
        <v>48976.31754073551</v>
      </c>
      <c r="AN16" s="8">
        <v>48949.45829342914</v>
      </c>
      <c r="AO16" s="8">
        <v>48922.56009276313</v>
      </c>
      <c r="AP16" s="8">
        <v>48895.62352400472</v>
      </c>
      <c r="AQ16" s="8">
        <v>48868.64917270553</v>
      </c>
      <c r="AR16" s="8">
        <v>48841.63762466444</v>
      </c>
      <c r="AS16" s="8">
        <v>48814.5894658906</v>
      </c>
      <c r="AT16" s="8">
        <v>48787.50528256688</v>
      </c>
    </row>
    <row r="17" spans="1:46">
      <c r="A17" s="7">
        <v>34.4</v>
      </c>
      <c r="B17" s="8">
        <v>49993.46610610063</v>
      </c>
      <c r="C17" s="8">
        <v>49968.45417069672</v>
      </c>
      <c r="D17" s="8">
        <v>49943.38217271088</v>
      </c>
      <c r="E17" s="8">
        <v>49918.25065932994</v>
      </c>
      <c r="F17" s="8">
        <v>49893.06017944856</v>
      </c>
      <c r="G17" s="8">
        <v>49867.81128363107</v>
      </c>
      <c r="H17" s="8">
        <v>49842.50452407273</v>
      </c>
      <c r="I17" s="8">
        <v>49817.14045456117</v>
      </c>
      <c r="J17" s="8">
        <v>49791.71963043776</v>
      </c>
      <c r="K17" s="8">
        <v>49766.24260855892</v>
      </c>
      <c r="L17" s="8">
        <v>49740.70994725726</v>
      </c>
      <c r="M17" s="8">
        <v>49715.12220630281</v>
      </c>
      <c r="N17" s="8">
        <v>49689.47994686432</v>
      </c>
      <c r="O17" s="8">
        <v>49663.78373147015</v>
      </c>
      <c r="P17" s="8">
        <v>49638.03412396961</v>
      </c>
      <c r="Q17" s="8">
        <v>49612.23168949399</v>
      </c>
      <c r="R17" s="8">
        <v>49586.37699441762</v>
      </c>
      <c r="S17" s="8">
        <v>49560.47060631897</v>
      </c>
      <c r="T17" s="8">
        <v>49534.51309394187</v>
      </c>
      <c r="U17" s="8">
        <v>49508.50502715642</v>
      </c>
      <c r="V17" s="8">
        <v>49482.44697692034</v>
      </c>
      <c r="W17" s="8">
        <v>49456.33951523991</v>
      </c>
      <c r="X17" s="8">
        <v>49430.1832151314</v>
      </c>
      <c r="Y17" s="8">
        <v>49403.97865058207</v>
      </c>
      <c r="Z17" s="8">
        <v>49377.72639651151</v>
      </c>
      <c r="AA17" s="8">
        <v>49351.42702873309</v>
      </c>
      <c r="AB17" s="8">
        <v>49325.08112391501</v>
      </c>
      <c r="AC17" s="8">
        <v>49298.68925954216</v>
      </c>
      <c r="AD17" s="8">
        <v>49272.25201387719</v>
      </c>
      <c r="AE17" s="8">
        <v>49245.76996592242</v>
      </c>
      <c r="AF17" s="8">
        <v>49219.24369538126</v>
      </c>
      <c r="AG17" s="8">
        <v>49192.67378262009</v>
      </c>
      <c r="AH17" s="8">
        <v>49166.06080862995</v>
      </c>
      <c r="AI17" s="8">
        <v>49139.40535498864</v>
      </c>
      <c r="AJ17" s="8">
        <v>49112.70800382255</v>
      </c>
      <c r="AK17" s="8">
        <v>49085.96933776892</v>
      </c>
      <c r="AL17" s="8">
        <v>49059.18993993808</v>
      </c>
      <c r="AM17" s="8">
        <v>49032.37039387569</v>
      </c>
      <c r="AN17" s="8">
        <v>49005.51128352545</v>
      </c>
      <c r="AO17" s="8">
        <v>48978.61319319152</v>
      </c>
      <c r="AP17" s="8">
        <v>48951.67670750136</v>
      </c>
      <c r="AQ17" s="8">
        <v>48924.70241136861</v>
      </c>
      <c r="AR17" s="8">
        <v>48897.69088995614</v>
      </c>
      <c r="AS17" s="8">
        <v>48870.6427286393</v>
      </c>
      <c r="AT17" s="8">
        <v>48843.55851296917</v>
      </c>
    </row>
    <row r="18" spans="1:46">
      <c r="A18" s="7">
        <v>34.5</v>
      </c>
      <c r="B18" s="8">
        <v>50049.46207420248</v>
      </c>
      <c r="C18" s="8">
        <v>50024.45126606338</v>
      </c>
      <c r="D18" s="8">
        <v>49999.38039387406</v>
      </c>
      <c r="E18" s="8">
        <v>49974.25000420345</v>
      </c>
      <c r="F18" s="8">
        <v>49949.06064532482</v>
      </c>
      <c r="G18" s="8">
        <v>49923.8128671774</v>
      </c>
      <c r="H18" s="8">
        <v>49898.50722132798</v>
      </c>
      <c r="I18" s="8">
        <v>49873.14426093247</v>
      </c>
      <c r="J18" s="8">
        <v>49847.72454069751</v>
      </c>
      <c r="K18" s="8">
        <v>49822.24861684172</v>
      </c>
      <c r="L18" s="8">
        <v>49796.7170470572</v>
      </c>
      <c r="M18" s="8">
        <v>49771.1303904709</v>
      </c>
      <c r="N18" s="8">
        <v>49745.48920760592</v>
      </c>
      <c r="O18" s="8">
        <v>49719.79406034276</v>
      </c>
      <c r="P18" s="8">
        <v>49694.04551188069</v>
      </c>
      <c r="Q18" s="8">
        <v>49668.24412669891</v>
      </c>
      <c r="R18" s="8">
        <v>49642.39047051792</v>
      </c>
      <c r="S18" s="8">
        <v>49616.48511026059</v>
      </c>
      <c r="T18" s="8">
        <v>49590.52861401356</v>
      </c>
      <c r="U18" s="8">
        <v>49564.5215509886</v>
      </c>
      <c r="V18" s="8">
        <v>49538.4644914836</v>
      </c>
      <c r="W18" s="8">
        <v>49512.35800684414</v>
      </c>
      <c r="X18" s="8">
        <v>49486.20266942471</v>
      </c>
      <c r="Y18" s="8">
        <v>49459.99905255015</v>
      </c>
      <c r="Z18" s="8">
        <v>49433.74773047698</v>
      </c>
      <c r="AA18" s="8">
        <v>49407.44927835495</v>
      </c>
      <c r="AB18" s="8">
        <v>49381.1042721885</v>
      </c>
      <c r="AC18" s="8">
        <v>49354.71328879833</v>
      </c>
      <c r="AD18" s="8">
        <v>49328.27690578315</v>
      </c>
      <c r="AE18" s="8">
        <v>49301.79570148123</v>
      </c>
      <c r="AF18" s="8">
        <v>49275.27025493242</v>
      </c>
      <c r="AG18" s="8">
        <v>49248.70114583972</v>
      </c>
      <c r="AH18" s="8">
        <v>49222.08895453155</v>
      </c>
      <c r="AI18" s="8">
        <v>49195.43426192366</v>
      </c>
      <c r="AJ18" s="8">
        <v>49168.73764948134</v>
      </c>
      <c r="AK18" s="8">
        <v>49141.99969918156</v>
      </c>
      <c r="AL18" s="8">
        <v>49115.22099347568</v>
      </c>
      <c r="AM18" s="8">
        <v>49088.40211525156</v>
      </c>
      <c r="AN18" s="8">
        <v>49061.54364779637</v>
      </c>
      <c r="AO18" s="8">
        <v>49034.64617475956</v>
      </c>
      <c r="AP18" s="8">
        <v>49007.71028011529</v>
      </c>
      <c r="AQ18" s="8">
        <v>48980.73654812583</v>
      </c>
      <c r="AR18" s="8">
        <v>48953.72556330458</v>
      </c>
      <c r="AS18" s="8">
        <v>48926.67791037942</v>
      </c>
      <c r="AT18" s="8">
        <v>48899.59417425626</v>
      </c>
    </row>
    <row r="19" spans="1:46">
      <c r="A19" s="7">
        <v>34.6</v>
      </c>
      <c r="B19" s="8">
        <v>50105.41758301652</v>
      </c>
      <c r="C19" s="8">
        <v>50080.40836087785</v>
      </c>
      <c r="D19" s="8">
        <v>50055.33907471084</v>
      </c>
      <c r="E19" s="8">
        <v>50030.21027045525</v>
      </c>
      <c r="F19" s="8">
        <v>50005.0224957512</v>
      </c>
      <c r="G19" s="8">
        <v>49979.77629990137</v>
      </c>
      <c r="H19" s="8">
        <v>49954.4722338324</v>
      </c>
      <c r="I19" s="8">
        <v>49929.11085005682</v>
      </c>
      <c r="J19" s="8">
        <v>49903.69270263464</v>
      </c>
      <c r="K19" s="8">
        <v>49878.21834713497</v>
      </c>
      <c r="L19" s="8">
        <v>49852.68834059752</v>
      </c>
      <c r="M19" s="8">
        <v>49827.10324149419</v>
      </c>
      <c r="N19" s="8">
        <v>49801.46360969046</v>
      </c>
      <c r="O19" s="8">
        <v>49775.77000640691</v>
      </c>
      <c r="P19" s="8">
        <v>49750.02299418062</v>
      </c>
      <c r="Q19" s="8">
        <v>49724.22313682662</v>
      </c>
      <c r="R19" s="8">
        <v>49698.37099939925</v>
      </c>
      <c r="S19" s="8">
        <v>49672.4671481536</v>
      </c>
      <c r="T19" s="8">
        <v>49646.51215050695</v>
      </c>
      <c r="U19" s="8">
        <v>49620.50657500001</v>
      </c>
      <c r="V19" s="8">
        <v>49594.45099125876</v>
      </c>
      <c r="W19" s="8">
        <v>49568.34596995539</v>
      </c>
      <c r="X19" s="8">
        <v>49542.19208277023</v>
      </c>
      <c r="Y19" s="8">
        <v>49515.98990235307</v>
      </c>
      <c r="Z19" s="8">
        <v>49489.74000228471</v>
      </c>
      <c r="AA19" s="8">
        <v>49463.44295703867</v>
      </c>
      <c r="AB19" s="8">
        <v>49437.09934194279</v>
      </c>
      <c r="AC19" s="8">
        <v>49410.70973314103</v>
      </c>
      <c r="AD19" s="8">
        <v>49384.27470755512</v>
      </c>
      <c r="AE19" s="8">
        <v>49357.79484284665</v>
      </c>
      <c r="AF19" s="8">
        <v>49331.27071737879</v>
      </c>
      <c r="AG19" s="8">
        <v>49304.7029101784</v>
      </c>
      <c r="AH19" s="8">
        <v>49278.09200089822</v>
      </c>
      <c r="AI19" s="8">
        <v>49251.4385697789</v>
      </c>
      <c r="AJ19" s="8">
        <v>49224.74319761154</v>
      </c>
      <c r="AK19" s="8">
        <v>49198.00646569987</v>
      </c>
      <c r="AL19" s="8">
        <v>49171.22895582292</v>
      </c>
      <c r="AM19" s="8">
        <v>49144.41125019768</v>
      </c>
      <c r="AN19" s="8">
        <v>49117.55393144165</v>
      </c>
      <c r="AO19" s="8">
        <v>49090.65758253605</v>
      </c>
      <c r="AP19" s="8">
        <v>49063.72278678866</v>
      </c>
      <c r="AQ19" s="8">
        <v>49036.75012779691</v>
      </c>
      <c r="AR19" s="8">
        <v>49009.74018941136</v>
      </c>
      <c r="AS19" s="8">
        <v>48982.69355569914</v>
      </c>
      <c r="AT19" s="8">
        <v>48955.61081090735</v>
      </c>
    </row>
    <row r="20" spans="1:46">
      <c r="A20" s="7">
        <v>34.7</v>
      </c>
      <c r="B20" s="8">
        <v>50161.33119243081</v>
      </c>
      <c r="C20" s="8">
        <v>50136.32401479827</v>
      </c>
      <c r="D20" s="8">
        <v>50111.25677464954</v>
      </c>
      <c r="E20" s="8">
        <v>50086.13001728366</v>
      </c>
      <c r="F20" s="8">
        <v>50060.94428969647</v>
      </c>
      <c r="G20" s="8">
        <v>50035.70014054233</v>
      </c>
      <c r="H20" s="8">
        <v>50010.39812009636</v>
      </c>
      <c r="I20" s="8">
        <v>49985.03878021605</v>
      </c>
      <c r="J20" s="8">
        <v>49959.62267430322</v>
      </c>
      <c r="K20" s="8">
        <v>49934.15035726561</v>
      </c>
      <c r="L20" s="8">
        <v>49908.62238547887</v>
      </c>
      <c r="M20" s="8">
        <v>49883.03931674792</v>
      </c>
      <c r="N20" s="8">
        <v>49857.40171026882</v>
      </c>
      <c r="O20" s="8">
        <v>49831.71012659023</v>
      </c>
      <c r="P20" s="8">
        <v>49805.96512757515</v>
      </c>
      <c r="Q20" s="8">
        <v>49780.16727636222</v>
      </c>
      <c r="R20" s="8">
        <v>49754.31713732774</v>
      </c>
      <c r="S20" s="8">
        <v>49728.41527604665</v>
      </c>
      <c r="T20" s="8">
        <v>49702.46225925467</v>
      </c>
      <c r="U20" s="8">
        <v>49676.45865480944</v>
      </c>
      <c r="V20" s="8">
        <v>49650.40503165239</v>
      </c>
      <c r="W20" s="8">
        <v>49624.3019597702</v>
      </c>
      <c r="X20" s="8">
        <v>49598.1500101565</v>
      </c>
      <c r="Y20" s="8">
        <v>49571.9497547736</v>
      </c>
      <c r="Z20" s="8">
        <v>49545.70176651406</v>
      </c>
      <c r="AA20" s="8">
        <v>49519.40661916263</v>
      </c>
      <c r="AB20" s="8">
        <v>49493.06488735797</v>
      </c>
      <c r="AC20" s="8">
        <v>49466.67714655457</v>
      </c>
      <c r="AD20" s="8">
        <v>49440.2439729846</v>
      </c>
      <c r="AE20" s="8">
        <v>49413.76594362003</v>
      </c>
      <c r="AF20" s="8">
        <v>49387.24363613476</v>
      </c>
      <c r="AG20" s="8">
        <v>49360.67762886659</v>
      </c>
      <c r="AH20" s="8">
        <v>49334.06850077966</v>
      </c>
      <c r="AI20" s="8">
        <v>49307.41683142669</v>
      </c>
      <c r="AJ20" s="8">
        <v>49280.72320091154</v>
      </c>
      <c r="AK20" s="8">
        <v>49253.98818985173</v>
      </c>
      <c r="AL20" s="8">
        <v>49227.21237934102</v>
      </c>
      <c r="AM20" s="8">
        <v>49200.39635091223</v>
      </c>
      <c r="AN20" s="8">
        <v>49173.54068650021</v>
      </c>
      <c r="AO20" s="8">
        <v>49146.64596840483</v>
      </c>
      <c r="AP20" s="8">
        <v>49119.71277925415</v>
      </c>
      <c r="AQ20" s="8">
        <v>49092.74170196764</v>
      </c>
      <c r="AR20" s="8">
        <v>49065.73331971969</v>
      </c>
      <c r="AS20" s="8">
        <v>49038.68821590329</v>
      </c>
      <c r="AT20" s="8">
        <v>49011.60697409359</v>
      </c>
    </row>
    <row r="21" spans="1:46">
      <c r="A21" s="7">
        <v>34.8</v>
      </c>
      <c r="B21" s="8">
        <v>50217.20147000856</v>
      </c>
      <c r="C21" s="8">
        <v>50192.19679513769</v>
      </c>
      <c r="D21" s="8">
        <v>50167.13206075279</v>
      </c>
      <c r="E21" s="8">
        <v>50142.00781150113</v>
      </c>
      <c r="F21" s="8">
        <v>50116.8245937227</v>
      </c>
      <c r="G21" s="8">
        <v>50091.58295541242</v>
      </c>
      <c r="H21" s="8">
        <v>50066.28344618229</v>
      </c>
      <c r="I21" s="8">
        <v>50040.92661722324</v>
      </c>
      <c r="J21" s="8">
        <v>50015.51302126738</v>
      </c>
      <c r="K21" s="8">
        <v>49990.04321254957</v>
      </c>
      <c r="L21" s="8">
        <v>49964.5177467696</v>
      </c>
      <c r="M21" s="8">
        <v>49938.93718105379</v>
      </c>
      <c r="N21" s="8">
        <v>49913.30207391694</v>
      </c>
      <c r="O21" s="8">
        <v>49887.612985224</v>
      </c>
      <c r="P21" s="8">
        <v>49861.8704761519</v>
      </c>
      <c r="Q21" s="8">
        <v>49836.07510915119</v>
      </c>
      <c r="R21" s="8">
        <v>49810.22744790778</v>
      </c>
      <c r="S21" s="8">
        <v>49784.32805730473</v>
      </c>
      <c r="T21" s="8">
        <v>49758.37750338396</v>
      </c>
      <c r="U21" s="8">
        <v>49732.37635330784</v>
      </c>
      <c r="V21" s="8">
        <v>49706.32517532117</v>
      </c>
      <c r="W21" s="8">
        <v>49680.22453871276</v>
      </c>
      <c r="X21" s="8">
        <v>49654.07501377733</v>
      </c>
      <c r="Y21" s="8">
        <v>49627.87717177722</v>
      </c>
      <c r="Z21" s="8">
        <v>49601.63158490448</v>
      </c>
      <c r="AA21" s="8">
        <v>49575.33882624261</v>
      </c>
      <c r="AB21" s="8">
        <v>49548.99946972857</v>
      </c>
      <c r="AC21" s="8">
        <v>49522.61409011482</v>
      </c>
      <c r="AD21" s="8">
        <v>49496.18326293136</v>
      </c>
      <c r="AE21" s="8">
        <v>49469.70756444806</v>
      </c>
      <c r="AF21" s="8">
        <v>49443.18757163668</v>
      </c>
      <c r="AG21" s="8">
        <v>49416.62386213328</v>
      </c>
      <c r="AH21" s="8">
        <v>49390.01701420068</v>
      </c>
      <c r="AI21" s="8">
        <v>49363.36760669087</v>
      </c>
      <c r="AJ21" s="8">
        <v>49336.67621900761</v>
      </c>
      <c r="AK21" s="8">
        <v>49309.94343106925</v>
      </c>
      <c r="AL21" s="8">
        <v>49283.16982327132</v>
      </c>
      <c r="AM21" s="8">
        <v>49256.35597644961</v>
      </c>
      <c r="AN21" s="8">
        <v>49229.50247184325</v>
      </c>
      <c r="AO21" s="8">
        <v>49202.60989105768</v>
      </c>
      <c r="AP21" s="8">
        <v>49175.67881602817</v>
      </c>
      <c r="AQ21" s="8">
        <v>49148.70982898305</v>
      </c>
      <c r="AR21" s="8">
        <v>49121.70351240748</v>
      </c>
      <c r="AS21" s="8">
        <v>49094.66044900704</v>
      </c>
      <c r="AT21" s="8">
        <v>49067.58122167164</v>
      </c>
    </row>
    <row r="22" spans="1:46">
      <c r="A22" s="7">
        <v>34.9</v>
      </c>
      <c r="B22" s="8">
        <v>50273.02699097462</v>
      </c>
      <c r="C22" s="8">
        <v>50248.02527685065</v>
      </c>
      <c r="D22" s="8">
        <v>50222.96350770474</v>
      </c>
      <c r="E22" s="8">
        <v>50197.84222752105</v>
      </c>
      <c r="F22" s="8">
        <v>50172.66198197265</v>
      </c>
      <c r="G22" s="8">
        <v>50147.42331838374</v>
      </c>
      <c r="H22" s="8">
        <v>50122.12678569181</v>
      </c>
      <c r="I22" s="8">
        <v>50096.77293440996</v>
      </c>
      <c r="J22" s="8">
        <v>50071.36231658899</v>
      </c>
      <c r="K22" s="8">
        <v>50045.89548577953</v>
      </c>
      <c r="L22" s="8">
        <v>50020.37299699381</v>
      </c>
      <c r="M22" s="8">
        <v>49994.79540666803</v>
      </c>
      <c r="N22" s="8">
        <v>49969.16327262404</v>
      </c>
      <c r="O22" s="8">
        <v>49943.47715403137</v>
      </c>
      <c r="P22" s="8">
        <v>49917.73761136905</v>
      </c>
      <c r="Q22" s="8">
        <v>49891.94520638767</v>
      </c>
      <c r="R22" s="8">
        <v>49866.10050207103</v>
      </c>
      <c r="S22" s="8">
        <v>49840.20406259821</v>
      </c>
      <c r="T22" s="8">
        <v>49814.2564533054</v>
      </c>
      <c r="U22" s="8">
        <v>49788.25824064772</v>
      </c>
      <c r="V22" s="8">
        <v>49762.20999216113</v>
      </c>
      <c r="W22" s="8">
        <v>49736.11227642444</v>
      </c>
      <c r="X22" s="8">
        <v>49709.96566302128</v>
      </c>
      <c r="Y22" s="8">
        <v>49683.77072250189</v>
      </c>
      <c r="Z22" s="8">
        <v>49657.5280263454</v>
      </c>
      <c r="AA22" s="8">
        <v>49631.23814692168</v>
      </c>
      <c r="AB22" s="8">
        <v>49604.90165745371</v>
      </c>
      <c r="AC22" s="8">
        <v>49578.51913197941</v>
      </c>
      <c r="AD22" s="8">
        <v>49552.09114531421</v>
      </c>
      <c r="AE22" s="8">
        <v>49525.61827301321</v>
      </c>
      <c r="AF22" s="8">
        <v>49499.10109133359</v>
      </c>
      <c r="AG22" s="8">
        <v>49472.54017719704</v>
      </c>
      <c r="AH22" s="8">
        <v>49445.93610815235</v>
      </c>
      <c r="AI22" s="8">
        <v>49419.28946233806</v>
      </c>
      <c r="AJ22" s="8">
        <v>49392.60081844513</v>
      </c>
      <c r="AK22" s="8">
        <v>49365.87075567991</v>
      </c>
      <c r="AL22" s="8">
        <v>49339.09985372696</v>
      </c>
      <c r="AM22" s="8">
        <v>49312.28869271213</v>
      </c>
      <c r="AN22" s="8">
        <v>49285.43785316584</v>
      </c>
      <c r="AO22" s="8">
        <v>49258.54791598624</v>
      </c>
      <c r="AP22" s="8">
        <v>49231.61946240278</v>
      </c>
      <c r="AQ22" s="8">
        <v>49204.6530739397</v>
      </c>
      <c r="AR22" s="8">
        <v>49177.64933237975</v>
      </c>
      <c r="AS22" s="8">
        <v>49150.60881972812</v>
      </c>
      <c r="AT22" s="8">
        <v>49123.53211817624</v>
      </c>
    </row>
    <row r="23" spans="1:46">
      <c r="A23" s="7">
        <v>35</v>
      </c>
      <c r="B23" s="8">
        <v>50328.806338202</v>
      </c>
      <c r="C23" s="8">
        <v>50303.80804251987</v>
      </c>
      <c r="D23" s="8">
        <v>50278.74969779736</v>
      </c>
      <c r="E23" s="8">
        <v>50253.63184734463</v>
      </c>
      <c r="F23" s="8">
        <v>50228.4550361566</v>
      </c>
      <c r="G23" s="8">
        <v>50203.21981087555</v>
      </c>
      <c r="H23" s="8">
        <v>50177.92671975329</v>
      </c>
      <c r="I23" s="8">
        <v>50152.57631261387</v>
      </c>
      <c r="J23" s="8">
        <v>50127.16914081538</v>
      </c>
      <c r="K23" s="8">
        <v>50101.70575721271</v>
      </c>
      <c r="L23" s="8">
        <v>50076.18671611933</v>
      </c>
      <c r="M23" s="8">
        <v>50050.61257326961</v>
      </c>
      <c r="N23" s="8">
        <v>50024.98388578094</v>
      </c>
      <c r="O23" s="8">
        <v>49999.3012121158</v>
      </c>
      <c r="P23" s="8">
        <v>49973.56511204373</v>
      </c>
      <c r="Q23" s="8">
        <v>49947.77614660353</v>
      </c>
      <c r="R23" s="8">
        <v>49921.93487806519</v>
      </c>
      <c r="S23" s="8">
        <v>49896.04186989196</v>
      </c>
      <c r="T23" s="8">
        <v>49870.09768670238</v>
      </c>
      <c r="U23" s="8">
        <v>49844.10289423234</v>
      </c>
      <c r="V23" s="8">
        <v>49818.05805929708</v>
      </c>
      <c r="W23" s="8">
        <v>49791.9637497534</v>
      </c>
      <c r="X23" s="8">
        <v>49765.82053446166</v>
      </c>
      <c r="Y23" s="8">
        <v>49739.62898324792</v>
      </c>
      <c r="Z23" s="8">
        <v>49713.38966686611</v>
      </c>
      <c r="AA23" s="8">
        <v>49687.10315696045</v>
      </c>
      <c r="AB23" s="8">
        <v>49660.77002602735</v>
      </c>
      <c r="AC23" s="8">
        <v>49634.39084737816</v>
      </c>
      <c r="AD23" s="8">
        <v>49607.96619510118</v>
      </c>
      <c r="AE23" s="8">
        <v>49581.49664402442</v>
      </c>
      <c r="AF23" s="8">
        <v>49554.98276967801</v>
      </c>
      <c r="AG23" s="8">
        <v>49528.42514825665</v>
      </c>
      <c r="AH23" s="8">
        <v>49501.82435658269</v>
      </c>
      <c r="AI23" s="8">
        <v>49475.18097206853</v>
      </c>
      <c r="AJ23" s="8">
        <v>49448.49557267984</v>
      </c>
      <c r="AK23" s="8">
        <v>49421.76873689815</v>
      </c>
      <c r="AL23" s="8">
        <v>49395.00104368429</v>
      </c>
      <c r="AM23" s="8">
        <v>49368.19307244151</v>
      </c>
      <c r="AN23" s="8">
        <v>49341.34540297866</v>
      </c>
      <c r="AO23" s="8">
        <v>49314.45861547382</v>
      </c>
      <c r="AP23" s="8">
        <v>49287.53329043773</v>
      </c>
      <c r="AQ23" s="8">
        <v>49260.5700086776</v>
      </c>
      <c r="AR23" s="8">
        <v>49233.56935126079</v>
      </c>
      <c r="AS23" s="8">
        <v>49206.5318994791</v>
      </c>
      <c r="AT23" s="8">
        <v>49179.45823481255</v>
      </c>
    </row>
    <row r="24" spans="1:46">
      <c r="A24" s="7">
        <v>35.1</v>
      </c>
      <c r="B24" s="8">
        <v>50384.53810219714</v>
      </c>
      <c r="C24" s="8">
        <v>50359.54368234174</v>
      </c>
      <c r="D24" s="8">
        <v>50334.48922091664</v>
      </c>
      <c r="E24" s="8">
        <v>50309.37526054693</v>
      </c>
      <c r="F24" s="8">
        <v>50284.20234553856</v>
      </c>
      <c r="G24" s="8">
        <v>50258.97102184063</v>
      </c>
      <c r="H24" s="8">
        <v>50233.68183700839</v>
      </c>
      <c r="I24" s="8">
        <v>50208.33534016535</v>
      </c>
      <c r="J24" s="8">
        <v>50182.93208196596</v>
      </c>
      <c r="K24" s="8">
        <v>50157.47261455795</v>
      </c>
      <c r="L24" s="8">
        <v>50131.95749154462</v>
      </c>
      <c r="M24" s="8">
        <v>50106.38726794727</v>
      </c>
      <c r="N24" s="8">
        <v>50080.76250016726</v>
      </c>
      <c r="O24" s="8">
        <v>50055.08374594854</v>
      </c>
      <c r="P24" s="8">
        <v>50029.35156433959</v>
      </c>
      <c r="Q24" s="8">
        <v>50003.56651565585</v>
      </c>
      <c r="R24" s="8">
        <v>49977.72916144178</v>
      </c>
      <c r="S24" s="8">
        <v>49951.84006443305</v>
      </c>
      <c r="T24" s="8">
        <v>49925.89978851887</v>
      </c>
      <c r="U24" s="8">
        <v>49899.908898704</v>
      </c>
      <c r="V24" s="8">
        <v>49873.86796107118</v>
      </c>
      <c r="W24" s="8">
        <v>49847.77754274312</v>
      </c>
      <c r="X24" s="8">
        <v>49821.63821184499</v>
      </c>
      <c r="Y24" s="8">
        <v>49795.45053746665</v>
      </c>
      <c r="Z24" s="8">
        <v>49769.21508962486</v>
      </c>
      <c r="AA24" s="8">
        <v>49742.93243922586</v>
      </c>
      <c r="AB24" s="8">
        <v>49716.60315802762</v>
      </c>
      <c r="AC24" s="8">
        <v>49690.22781860236</v>
      </c>
      <c r="AD24" s="8">
        <v>49663.80699429925</v>
      </c>
      <c r="AE24" s="8">
        <v>49637.34125920678</v>
      </c>
      <c r="AF24" s="8">
        <v>49610.8311881156</v>
      </c>
      <c r="AG24" s="8">
        <v>49584.27735648126</v>
      </c>
      <c r="AH24" s="8">
        <v>49557.68034038704</v>
      </c>
      <c r="AI24" s="8">
        <v>49531.04071650681</v>
      </c>
      <c r="AJ24" s="8">
        <v>49504.35906206819</v>
      </c>
      <c r="AK24" s="8">
        <v>49477.6359548156</v>
      </c>
      <c r="AL24" s="8">
        <v>49450.87197297349</v>
      </c>
      <c r="AM24" s="8">
        <v>49424.06769520968</v>
      </c>
      <c r="AN24" s="8">
        <v>49397.22370059894</v>
      </c>
      <c r="AO24" s="8">
        <v>49370.34056858647</v>
      </c>
      <c r="AP24" s="8">
        <v>49343.41887895152</v>
      </c>
      <c r="AQ24" s="8">
        <v>49316.45921177143</v>
      </c>
      <c r="AR24" s="8">
        <v>49289.46214738543</v>
      </c>
      <c r="AS24" s="8">
        <v>49262.42826635893</v>
      </c>
      <c r="AT24" s="8">
        <v>49235.35814944768</v>
      </c>
    </row>
    <row r="25" spans="1:46">
      <c r="A25" s="7">
        <v>35.2</v>
      </c>
      <c r="B25" s="8">
        <v>50440.22088108522</v>
      </c>
      <c r="C25" s="8">
        <v>50415.23079411171</v>
      </c>
      <c r="D25" s="8">
        <v>50390.18067452766</v>
      </c>
      <c r="E25" s="8">
        <v>50365.07106426243</v>
      </c>
      <c r="F25" s="8">
        <v>50339.90250692177</v>
      </c>
      <c r="G25" s="8">
        <v>50314.67554775103</v>
      </c>
      <c r="H25" s="8">
        <v>50289.39073359757</v>
      </c>
      <c r="I25" s="8">
        <v>50264.04861287354</v>
      </c>
      <c r="J25" s="8">
        <v>50238.64973551845</v>
      </c>
      <c r="K25" s="8">
        <v>50213.19465296179</v>
      </c>
      <c r="L25" s="8">
        <v>50187.68391808547</v>
      </c>
      <c r="M25" s="8">
        <v>50162.11808518627</v>
      </c>
      <c r="N25" s="8">
        <v>50136.49770993836</v>
      </c>
      <c r="O25" s="8">
        <v>50110.82334935562</v>
      </c>
      <c r="P25" s="8">
        <v>50085.09556175413</v>
      </c>
      <c r="Q25" s="8">
        <v>50059.31490671438</v>
      </c>
      <c r="R25" s="8">
        <v>50033.48194504367</v>
      </c>
      <c r="S25" s="8">
        <v>50007.59723873868</v>
      </c>
      <c r="T25" s="8">
        <v>49981.66135094746</v>
      </c>
      <c r="U25" s="8">
        <v>49955.67484593201</v>
      </c>
      <c r="V25" s="8">
        <v>49929.63828903068</v>
      </c>
      <c r="W25" s="8">
        <v>49903.55224662045</v>
      </c>
      <c r="X25" s="8">
        <v>49877.41728607939</v>
      </c>
      <c r="Y25" s="8">
        <v>49851.23397574914</v>
      </c>
      <c r="Z25" s="8">
        <v>49825.0028848974</v>
      </c>
      <c r="AA25" s="8">
        <v>49798.72458368037</v>
      </c>
      <c r="AB25" s="8">
        <v>49772.39964310553</v>
      </c>
      <c r="AC25" s="8">
        <v>49746.02863499395</v>
      </c>
      <c r="AD25" s="8">
        <v>49719.61213194339</v>
      </c>
      <c r="AE25" s="8">
        <v>49693.1507072907</v>
      </c>
      <c r="AF25" s="8">
        <v>49666.64493507482</v>
      </c>
      <c r="AG25" s="8">
        <v>49640.09538999979</v>
      </c>
      <c r="AH25" s="8">
        <v>49613.50264739745</v>
      </c>
      <c r="AI25" s="8">
        <v>49586.86728319088</v>
      </c>
      <c r="AJ25" s="8">
        <v>49560.18987385723</v>
      </c>
      <c r="AK25" s="8">
        <v>49533.47099639126</v>
      </c>
      <c r="AL25" s="8">
        <v>49506.71122826857</v>
      </c>
      <c r="AM25" s="8">
        <v>49479.9111474091</v>
      </c>
      <c r="AN25" s="8">
        <v>49453.07133214084</v>
      </c>
      <c r="AO25" s="8">
        <v>49426.19236116344</v>
      </c>
      <c r="AP25" s="8">
        <v>49399.27481351207</v>
      </c>
      <c r="AQ25" s="8">
        <v>49372.31926852145</v>
      </c>
      <c r="AR25" s="8">
        <v>49345.32630579005</v>
      </c>
      <c r="AS25" s="8">
        <v>49318.29650514403</v>
      </c>
      <c r="AT25" s="8">
        <v>49291.23044660209</v>
      </c>
    </row>
    <row r="26" spans="1:46">
      <c r="A26" s="7">
        <v>35.3</v>
      </c>
      <c r="B26" s="8">
        <v>50495.85328059446</v>
      </c>
      <c r="C26" s="8">
        <v>50470.86798320873</v>
      </c>
      <c r="D26" s="8">
        <v>50445.82266365953</v>
      </c>
      <c r="E26" s="8">
        <v>50420.71786316961</v>
      </c>
      <c r="F26" s="8">
        <v>50395.55412463399</v>
      </c>
      <c r="G26" s="8">
        <v>50370.33199258323</v>
      </c>
      <c r="H26" s="8">
        <v>50345.05201314594</v>
      </c>
      <c r="I26" s="8">
        <v>50319.71473401192</v>
      </c>
      <c r="J26" s="8">
        <v>50294.32070439478</v>
      </c>
      <c r="K26" s="8">
        <v>50268.8704749946</v>
      </c>
      <c r="L26" s="8">
        <v>50243.3645979608</v>
      </c>
      <c r="M26" s="8">
        <v>50217.80362685457</v>
      </c>
      <c r="N26" s="8">
        <v>50192.18811661151</v>
      </c>
      <c r="O26" s="8">
        <v>50166.51862350429</v>
      </c>
      <c r="P26" s="8">
        <v>50140.79570510504</v>
      </c>
      <c r="Q26" s="8">
        <v>50115.019920248</v>
      </c>
      <c r="R26" s="8">
        <v>50089.19182899201</v>
      </c>
      <c r="S26" s="8">
        <v>50063.31199258298</v>
      </c>
      <c r="T26" s="8">
        <v>50037.3809734164</v>
      </c>
      <c r="U26" s="8">
        <v>50011.39933499989</v>
      </c>
      <c r="V26" s="8">
        <v>49985.36764191576</v>
      </c>
      <c r="W26" s="8">
        <v>49959.28645978348</v>
      </c>
      <c r="X26" s="8">
        <v>49933.15635522226</v>
      </c>
      <c r="Y26" s="8">
        <v>49906.97789581387</v>
      </c>
      <c r="Z26" s="8">
        <v>49880.7516500649</v>
      </c>
      <c r="AA26" s="8">
        <v>49854.47818736976</v>
      </c>
      <c r="AB26" s="8">
        <v>49828.15807797336</v>
      </c>
      <c r="AC26" s="8">
        <v>49801.79189293378</v>
      </c>
      <c r="AD26" s="8">
        <v>49775.38020408515</v>
      </c>
      <c r="AE26" s="8">
        <v>49748.92358400065</v>
      </c>
      <c r="AF26" s="8">
        <v>49722.4226059555</v>
      </c>
      <c r="AG26" s="8">
        <v>49695.87784388984</v>
      </c>
      <c r="AH26" s="8">
        <v>49669.28987237209</v>
      </c>
      <c r="AI26" s="8">
        <v>49642.65926656195</v>
      </c>
      <c r="AJ26" s="8">
        <v>49615.98660217408</v>
      </c>
      <c r="AK26" s="8">
        <v>49589.27245544111</v>
      </c>
      <c r="AL26" s="8">
        <v>49562.51740307735</v>
      </c>
      <c r="AM26" s="8">
        <v>49535.72202224246</v>
      </c>
      <c r="AN26" s="8">
        <v>49508.88689050514</v>
      </c>
      <c r="AO26" s="8">
        <v>49482.0125858071</v>
      </c>
      <c r="AP26" s="8">
        <v>49455.09968642678</v>
      </c>
      <c r="AQ26" s="8">
        <v>49428.14877094384</v>
      </c>
      <c r="AR26" s="8">
        <v>49401.16041820296</v>
      </c>
      <c r="AS26" s="8">
        <v>49374.13520727875</v>
      </c>
      <c r="AT26" s="8">
        <v>49347.07371743994</v>
      </c>
    </row>
    <row r="27" spans="1:46">
      <c r="A27" s="7">
        <v>35.4</v>
      </c>
      <c r="B27" s="8">
        <v>50551.43391404014</v>
      </c>
      <c r="C27" s="8">
        <v>50526.45386257952</v>
      </c>
      <c r="D27" s="8">
        <v>50501.41380088959</v>
      </c>
      <c r="E27" s="8">
        <v>50476.3142694759</v>
      </c>
      <c r="F27" s="8">
        <v>50451.15581051203</v>
      </c>
      <c r="G27" s="8">
        <v>50425.93896780295</v>
      </c>
      <c r="H27" s="8">
        <v>50400.66428674789</v>
      </c>
      <c r="I27" s="8">
        <v>50375.3323143033</v>
      </c>
      <c r="J27" s="8">
        <v>50349.94359894595</v>
      </c>
      <c r="K27" s="8">
        <v>50324.49869063577</v>
      </c>
      <c r="L27" s="8">
        <v>50298.99814077843</v>
      </c>
      <c r="M27" s="8">
        <v>50273.44250218853</v>
      </c>
      <c r="N27" s="8">
        <v>50247.83232905194</v>
      </c>
      <c r="O27" s="8">
        <v>50222.16817688891</v>
      </c>
      <c r="P27" s="8">
        <v>50196.4506025165</v>
      </c>
      <c r="Q27" s="8">
        <v>50170.68016401144</v>
      </c>
      <c r="R27" s="8">
        <v>50144.8574206725</v>
      </c>
      <c r="S27" s="8">
        <v>50118.98293298366</v>
      </c>
      <c r="T27" s="8">
        <v>50093.05726257634</v>
      </c>
      <c r="U27" s="8">
        <v>50067.08097219226</v>
      </c>
      <c r="V27" s="8">
        <v>50041.05462564612</v>
      </c>
      <c r="W27" s="8">
        <v>50014.97878778836</v>
      </c>
      <c r="X27" s="8">
        <v>49988.85402446772</v>
      </c>
      <c r="Y27" s="8">
        <v>49962.6809024942</v>
      </c>
      <c r="Z27" s="8">
        <v>49936.45998960171</v>
      </c>
      <c r="AA27" s="8">
        <v>49910.19185441103</v>
      </c>
      <c r="AB27" s="8">
        <v>49883.87706639266</v>
      </c>
      <c r="AC27" s="8">
        <v>49857.51619582966</v>
      </c>
      <c r="AD27" s="8">
        <v>49831.10981378087</v>
      </c>
      <c r="AE27" s="8">
        <v>49804.65849204366</v>
      </c>
      <c r="AF27" s="8">
        <v>49778.16280311739</v>
      </c>
      <c r="AG27" s="8">
        <v>49751.62332016647</v>
      </c>
      <c r="AH27" s="8">
        <v>49725.04061698357</v>
      </c>
      <c r="AI27" s="8">
        <v>49698.41526795313</v>
      </c>
      <c r="AJ27" s="8">
        <v>49671.74784801478</v>
      </c>
      <c r="AK27" s="8">
        <v>49645.03893262694</v>
      </c>
      <c r="AL27" s="8">
        <v>49618.28909773035</v>
      </c>
      <c r="AM27" s="8">
        <v>49591.49891971209</v>
      </c>
      <c r="AN27" s="8">
        <v>49564.66897536923</v>
      </c>
      <c r="AO27" s="8">
        <v>49537.7998418729</v>
      </c>
      <c r="AP27" s="8">
        <v>49510.89209673259</v>
      </c>
      <c r="AQ27" s="8">
        <v>49483.94631776018</v>
      </c>
      <c r="AR27" s="8">
        <v>49456.96308303442</v>
      </c>
      <c r="AS27" s="8">
        <v>49429.94297086546</v>
      </c>
      <c r="AT27" s="8">
        <v>49402.88655975959</v>
      </c>
    </row>
    <row r="28" spans="1:46">
      <c r="A28" s="7">
        <v>35.5</v>
      </c>
      <c r="B28" s="8">
        <v>50606.96140230769</v>
      </c>
      <c r="C28" s="8">
        <v>50581.98705272175</v>
      </c>
      <c r="D28" s="8">
        <v>50556.95270632688</v>
      </c>
      <c r="E28" s="8">
        <v>50531.85890290089</v>
      </c>
      <c r="F28" s="8">
        <v>50506.70618388547</v>
      </c>
      <c r="G28" s="8">
        <v>50481.49509234923</v>
      </c>
      <c r="H28" s="8">
        <v>50456.2261729513</v>
      </c>
      <c r="I28" s="8">
        <v>50430.89997190413</v>
      </c>
      <c r="J28" s="8">
        <v>50405.51703693691</v>
      </c>
      <c r="K28" s="8">
        <v>50380.07791725833</v>
      </c>
      <c r="L28" s="8">
        <v>50354.58316351959</v>
      </c>
      <c r="M28" s="8">
        <v>50329.03332777758</v>
      </c>
      <c r="N28" s="8">
        <v>50303.42896345762</v>
      </c>
      <c r="O28" s="8">
        <v>50277.77062531635</v>
      </c>
      <c r="P28" s="8">
        <v>50252.05886940459</v>
      </c>
      <c r="Q28" s="8">
        <v>50226.29425303025</v>
      </c>
      <c r="R28" s="8">
        <v>50200.47733472116</v>
      </c>
      <c r="S28" s="8">
        <v>50174.60867418782</v>
      </c>
      <c r="T28" s="8">
        <v>50148.68883228627</v>
      </c>
      <c r="U28" s="8">
        <v>50122.71837098098</v>
      </c>
      <c r="V28" s="8">
        <v>50096.69785330759</v>
      </c>
      <c r="W28" s="8">
        <v>50070.627843336</v>
      </c>
      <c r="X28" s="8">
        <v>50044.50890613293</v>
      </c>
      <c r="Y28" s="8">
        <v>50018.34160772509</v>
      </c>
      <c r="Z28" s="8">
        <v>49992.12651506202</v>
      </c>
      <c r="AA28" s="8">
        <v>49965.8641959792</v>
      </c>
      <c r="AB28" s="8">
        <v>49939.55521916101</v>
      </c>
      <c r="AC28" s="8">
        <v>49913.20015410369</v>
      </c>
      <c r="AD28" s="8">
        <v>49886.79957107886</v>
      </c>
      <c r="AE28" s="8">
        <v>49860.35404109639</v>
      </c>
      <c r="AF28" s="8">
        <v>49833.86413586783</v>
      </c>
      <c r="AG28" s="8">
        <v>49807.33042776974</v>
      </c>
      <c r="AH28" s="8">
        <v>49780.75348980726</v>
      </c>
      <c r="AI28" s="8">
        <v>49754.13389557727</v>
      </c>
      <c r="AJ28" s="8">
        <v>49727.47221923249</v>
      </c>
      <c r="AK28" s="8">
        <v>49700.76903544488</v>
      </c>
      <c r="AL28" s="8">
        <v>49674.02491936953</v>
      </c>
      <c r="AM28" s="8">
        <v>49647.24044660855</v>
      </c>
      <c r="AN28" s="8">
        <v>49620.41619317516</v>
      </c>
      <c r="AO28" s="8">
        <v>49593.55273545784</v>
      </c>
      <c r="AP28" s="8">
        <v>49566.65065018454</v>
      </c>
      <c r="AQ28" s="8">
        <v>49539.71051438706</v>
      </c>
      <c r="AR28" s="8">
        <v>49512.73290536573</v>
      </c>
      <c r="AS28" s="8">
        <v>49485.71840065393</v>
      </c>
      <c r="AT28" s="8">
        <v>49458.66757798295</v>
      </c>
    </row>
    <row r="29" spans="1:46">
      <c r="A29" s="7">
        <v>35.6</v>
      </c>
      <c r="B29" s="8">
        <v>50662.43437383601</v>
      </c>
      <c r="C29" s="8">
        <v>50637.46618166743</v>
      </c>
      <c r="D29" s="8">
        <v>50612.43800759565</v>
      </c>
      <c r="E29" s="8">
        <v>50587.3503906603</v>
      </c>
      <c r="F29" s="8">
        <v>50562.20387156043</v>
      </c>
      <c r="G29" s="8">
        <v>50536.99899261813</v>
      </c>
      <c r="H29" s="8">
        <v>50511.73629774166</v>
      </c>
      <c r="I29" s="8">
        <v>50486.41633238888</v>
      </c>
      <c r="J29" s="8">
        <v>50461.03964353059</v>
      </c>
      <c r="K29" s="8">
        <v>50435.60677961352</v>
      </c>
      <c r="L29" s="8">
        <v>50410.11829052374</v>
      </c>
      <c r="M29" s="8">
        <v>50384.57472754948</v>
      </c>
      <c r="N29" s="8">
        <v>50358.97664334445</v>
      </c>
      <c r="O29" s="8">
        <v>50333.32459189089</v>
      </c>
      <c r="P29" s="8">
        <v>50307.61912846229</v>
      </c>
      <c r="Q29" s="8">
        <v>50281.86080958676</v>
      </c>
      <c r="R29" s="8">
        <v>50256.05019300988</v>
      </c>
      <c r="S29" s="8">
        <v>50230.18783765756</v>
      </c>
      <c r="T29" s="8">
        <v>50204.27430359938</v>
      </c>
      <c r="U29" s="8">
        <v>50178.31015201104</v>
      </c>
      <c r="V29" s="8">
        <v>50152.29594513807</v>
      </c>
      <c r="W29" s="8">
        <v>50126.23224625819</v>
      </c>
      <c r="X29" s="8">
        <v>50100.11961964472</v>
      </c>
      <c r="Y29" s="8">
        <v>50073.95863052973</v>
      </c>
      <c r="Z29" s="8">
        <v>50047.74984506676</v>
      </c>
      <c r="AA29" s="8">
        <v>50021.49383029442</v>
      </c>
      <c r="AB29" s="8">
        <v>49995.1911540993</v>
      </c>
      <c r="AC29" s="8">
        <v>49968.84238517931</v>
      </c>
      <c r="AD29" s="8">
        <v>49942.44809300706</v>
      </c>
      <c r="AE29" s="8">
        <v>49916.00884779305</v>
      </c>
      <c r="AF29" s="8">
        <v>49889.52522044933</v>
      </c>
      <c r="AG29" s="8">
        <v>49862.99778255275</v>
      </c>
      <c r="AH29" s="8">
        <v>49836.42710630882</v>
      </c>
      <c r="AI29" s="8">
        <v>49809.81376451527</v>
      </c>
      <c r="AJ29" s="8">
        <v>49783.15833052572</v>
      </c>
      <c r="AK29" s="8">
        <v>49756.46137821367</v>
      </c>
      <c r="AL29" s="8">
        <v>49729.72348193643</v>
      </c>
      <c r="AM29" s="8">
        <v>49702.94521649916</v>
      </c>
      <c r="AN29" s="8">
        <v>49676.12715711902</v>
      </c>
      <c r="AO29" s="8">
        <v>49649.26987938954</v>
      </c>
      <c r="AP29" s="8">
        <v>49622.37395924499</v>
      </c>
      <c r="AQ29" s="8">
        <v>49595.43997292491</v>
      </c>
      <c r="AR29" s="8">
        <v>49568.46849693876</v>
      </c>
      <c r="AS29" s="8">
        <v>49541.46010803081</v>
      </c>
      <c r="AT29" s="8">
        <v>49514.41538314497</v>
      </c>
    </row>
    <row r="30" spans="1:46">
      <c r="A30" s="7">
        <v>35.7</v>
      </c>
      <c r="B30" s="8">
        <v>50717.85146459936</v>
      </c>
      <c r="C30" s="8">
        <v>50692.88988496525</v>
      </c>
      <c r="D30" s="8">
        <v>50667.86833981776</v>
      </c>
      <c r="E30" s="8">
        <v>50642.78736744813</v>
      </c>
      <c r="F30" s="8">
        <v>50617.64750780253</v>
      </c>
      <c r="G30" s="8">
        <v>50592.44930244584</v>
      </c>
      <c r="H30" s="8">
        <v>50567.19329452508</v>
      </c>
      <c r="I30" s="8">
        <v>50541.88002873296</v>
      </c>
      <c r="J30" s="8">
        <v>50516.51005127135</v>
      </c>
      <c r="K30" s="8">
        <v>50491.08390981444</v>
      </c>
      <c r="L30" s="8">
        <v>50465.60215347222</v>
      </c>
      <c r="M30" s="8">
        <v>50440.06533275373</v>
      </c>
      <c r="N30" s="8">
        <v>50414.47399953024</v>
      </c>
      <c r="O30" s="8">
        <v>50388.82870699854</v>
      </c>
      <c r="P30" s="8">
        <v>50363.13000964412</v>
      </c>
      <c r="Q30" s="8">
        <v>50337.37846320419</v>
      </c>
      <c r="R30" s="8">
        <v>50311.57462463106</v>
      </c>
      <c r="S30" s="8">
        <v>50285.71905205512</v>
      </c>
      <c r="T30" s="8">
        <v>50259.81230474805</v>
      </c>
      <c r="U30" s="8">
        <v>50233.85494308601</v>
      </c>
      <c r="V30" s="8">
        <v>50207.84752851283</v>
      </c>
      <c r="W30" s="8">
        <v>50181.79062350303</v>
      </c>
      <c r="X30" s="8">
        <v>50155.6847915252</v>
      </c>
      <c r="Y30" s="8">
        <v>50129.53059700514</v>
      </c>
      <c r="Z30" s="8">
        <v>50103.32860528928</v>
      </c>
      <c r="AA30" s="8">
        <v>50077.07938260776</v>
      </c>
      <c r="AB30" s="8">
        <v>50050.78349603792</v>
      </c>
      <c r="AC30" s="8">
        <v>50024.44151346769</v>
      </c>
      <c r="AD30" s="8">
        <v>49998.05400355906</v>
      </c>
      <c r="AE30" s="8">
        <v>49971.62153571162</v>
      </c>
      <c r="AF30" s="8">
        <v>49945.14468002612</v>
      </c>
      <c r="AG30" s="8">
        <v>49918.62400726804</v>
      </c>
      <c r="AH30" s="8">
        <v>49892.06008883152</v>
      </c>
      <c r="AI30" s="8">
        <v>49865.45349670311</v>
      </c>
      <c r="AJ30" s="8">
        <v>49838.80480342552</v>
      </c>
      <c r="AK30" s="8">
        <v>49812.11458206198</v>
      </c>
      <c r="AL30" s="8">
        <v>49785.38340615996</v>
      </c>
      <c r="AM30" s="8">
        <v>49758.61184971565</v>
      </c>
      <c r="AN30" s="8">
        <v>49731.80048713816</v>
      </c>
      <c r="AO30" s="8">
        <v>49704.94989321403</v>
      </c>
      <c r="AP30" s="8">
        <v>49678.06064307168</v>
      </c>
      <c r="AQ30" s="8">
        <v>49651.13331214614</v>
      </c>
      <c r="AR30" s="8">
        <v>49624.16847614391</v>
      </c>
      <c r="AS30" s="8">
        <v>49597.16671100783</v>
      </c>
      <c r="AT30" s="8">
        <v>49570.12859288221</v>
      </c>
    </row>
    <row r="31" spans="1:46">
      <c r="A31" s="7">
        <v>35.8</v>
      </c>
      <c r="B31" s="8">
        <v>50773.21131808935</v>
      </c>
      <c r="C31" s="8">
        <v>50748.25680566244</v>
      </c>
      <c r="D31" s="8">
        <v>50723.24234559498</v>
      </c>
      <c r="E31" s="8">
        <v>50698.1684754195</v>
      </c>
      <c r="F31" s="8">
        <v>50673.03573431911</v>
      </c>
      <c r="G31" s="8">
        <v>50647.84466309117</v>
      </c>
      <c r="H31" s="8">
        <v>50622.59580411108</v>
      </c>
      <c r="I31" s="8">
        <v>50597.28970129599</v>
      </c>
      <c r="J31" s="8">
        <v>50571.92690006828</v>
      </c>
      <c r="K31" s="8">
        <v>50546.50794731908</v>
      </c>
      <c r="L31" s="8">
        <v>50521.03339137177</v>
      </c>
      <c r="M31" s="8">
        <v>50495.50378194545</v>
      </c>
      <c r="N31" s="8">
        <v>50469.91967011831</v>
      </c>
      <c r="O31" s="8">
        <v>50444.28160829105</v>
      </c>
      <c r="P31" s="8">
        <v>50418.5901501501</v>
      </c>
      <c r="Q31" s="8">
        <v>50392.84585063105</v>
      </c>
      <c r="R31" s="8">
        <v>50367.049265882</v>
      </c>
      <c r="S31" s="8">
        <v>50341.20095322687</v>
      </c>
      <c r="T31" s="8">
        <v>50315.30147112854</v>
      </c>
      <c r="U31" s="8">
        <v>50289.35137915237</v>
      </c>
      <c r="V31" s="8">
        <v>50263.35123792953</v>
      </c>
      <c r="W31" s="8">
        <v>50237.30160912008</v>
      </c>
      <c r="X31" s="8">
        <v>50211.20305537667</v>
      </c>
      <c r="Y31" s="8">
        <v>50185.05614030777</v>
      </c>
      <c r="Z31" s="8">
        <v>50158.86142844107</v>
      </c>
      <c r="AA31" s="8">
        <v>50132.61948518707</v>
      </c>
      <c r="AB31" s="8">
        <v>50106.33087680241</v>
      </c>
      <c r="AC31" s="8">
        <v>50079.99617035362</v>
      </c>
      <c r="AD31" s="8">
        <v>50053.61593368064</v>
      </c>
      <c r="AE31" s="8">
        <v>50027.19073536045</v>
      </c>
      <c r="AF31" s="8">
        <v>50000.72114467098</v>
      </c>
      <c r="AG31" s="8">
        <v>49974.20773155464</v>
      </c>
      <c r="AH31" s="8">
        <v>49947.65106658265</v>
      </c>
      <c r="AI31" s="8">
        <v>49921.05172091851</v>
      </c>
      <c r="AJ31" s="8">
        <v>49894.41026628248</v>
      </c>
      <c r="AK31" s="8">
        <v>49867.72727491549</v>
      </c>
      <c r="AL31" s="8">
        <v>49841.00331954343</v>
      </c>
      <c r="AM31" s="8">
        <v>49814.23897334161</v>
      </c>
      <c r="AN31" s="8">
        <v>49787.43480989912</v>
      </c>
      <c r="AO31" s="8">
        <v>49760.59140318353</v>
      </c>
      <c r="AP31" s="8">
        <v>49733.70932750538</v>
      </c>
      <c r="AQ31" s="8">
        <v>49706.7891574832</v>
      </c>
      <c r="AR31" s="8">
        <v>49679.83146800841</v>
      </c>
      <c r="AS31" s="8">
        <v>49652.8368342102</v>
      </c>
      <c r="AT31" s="8">
        <v>49625.80583142125</v>
      </c>
    </row>
    <row r="32" spans="1:46">
      <c r="A32" s="7">
        <v>35.9</v>
      </c>
      <c r="B32" s="8">
        <v>50828.51258529627</v>
      </c>
      <c r="C32" s="8">
        <v>50803.56559428628</v>
      </c>
      <c r="D32" s="8">
        <v>50778.55867499037</v>
      </c>
      <c r="E32" s="8">
        <v>50753.49236417213</v>
      </c>
      <c r="F32" s="8">
        <v>50728.3672002414</v>
      </c>
      <c r="G32" s="8">
        <v>50703.18372321786</v>
      </c>
      <c r="H32" s="8">
        <v>50677.94247469502</v>
      </c>
      <c r="I32" s="8">
        <v>50652.64399780415</v>
      </c>
      <c r="J32" s="8">
        <v>50627.28883717767</v>
      </c>
      <c r="K32" s="8">
        <v>50601.87753891335</v>
      </c>
      <c r="L32" s="8">
        <v>50576.41065053736</v>
      </c>
      <c r="M32" s="8">
        <v>50550.88872096844</v>
      </c>
      <c r="N32" s="8">
        <v>50525.31230048097</v>
      </c>
      <c r="O32" s="8">
        <v>50499.68194066895</v>
      </c>
      <c r="P32" s="8">
        <v>50473.99819440914</v>
      </c>
      <c r="Q32" s="8">
        <v>50448.26161582471</v>
      </c>
      <c r="R32" s="8">
        <v>50422.47276024875</v>
      </c>
      <c r="S32" s="8">
        <v>50396.63218418781</v>
      </c>
      <c r="T32" s="8">
        <v>50370.74044528508</v>
      </c>
      <c r="U32" s="8">
        <v>50344.79810228419</v>
      </c>
      <c r="V32" s="8">
        <v>50318.80571499262</v>
      </c>
      <c r="W32" s="8">
        <v>50292.76384424498</v>
      </c>
      <c r="X32" s="8">
        <v>50266.67305186682</v>
      </c>
      <c r="Y32" s="8">
        <v>50240.5339006381</v>
      </c>
      <c r="Z32" s="8">
        <v>50214.34695425667</v>
      </c>
      <c r="AA32" s="8">
        <v>50188.11277730204</v>
      </c>
      <c r="AB32" s="8">
        <v>50161.83193519893</v>
      </c>
      <c r="AC32" s="8">
        <v>50135.50499418109</v>
      </c>
      <c r="AD32" s="8">
        <v>50109.13252125495</v>
      </c>
      <c r="AE32" s="8">
        <v>50082.7150841636</v>
      </c>
      <c r="AF32" s="8">
        <v>50056.25325135056</v>
      </c>
      <c r="AG32" s="8">
        <v>50029.74759192382</v>
      </c>
      <c r="AH32" s="8">
        <v>50003.19867561984</v>
      </c>
      <c r="AI32" s="8">
        <v>49976.60707276763</v>
      </c>
      <c r="AJ32" s="8">
        <v>49949.97335425323</v>
      </c>
      <c r="AK32" s="8">
        <v>49923.29809148364</v>
      </c>
      <c r="AL32" s="8">
        <v>49896.58185635149</v>
      </c>
      <c r="AM32" s="8">
        <v>49869.8252211993</v>
      </c>
      <c r="AN32" s="8">
        <v>49843.02875878441</v>
      </c>
      <c r="AO32" s="8">
        <v>49816.19304224347</v>
      </c>
      <c r="AP32" s="8">
        <v>49789.31864505729</v>
      </c>
      <c r="AQ32" s="8">
        <v>49762.40614101594</v>
      </c>
      <c r="AR32" s="8">
        <v>49735.45610418369</v>
      </c>
      <c r="AS32" s="8">
        <v>49708.46910886431</v>
      </c>
      <c r="AT32" s="8">
        <v>49681.44572956636</v>
      </c>
    </row>
    <row r="33" spans="1:46">
      <c r="A33" s="7">
        <v>36</v>
      </c>
      <c r="B33" s="8">
        <v>50883.75392468994</v>
      </c>
      <c r="C33" s="8">
        <v>50858.81490882546</v>
      </c>
      <c r="D33" s="8">
        <v>50833.8159855098</v>
      </c>
      <c r="E33" s="8">
        <v>50808.75769072785</v>
      </c>
      <c r="F33" s="8">
        <v>50783.64056210603</v>
      </c>
      <c r="G33" s="8">
        <v>50758.46513887622</v>
      </c>
      <c r="H33" s="8">
        <v>50733.23196183987</v>
      </c>
      <c r="I33" s="8">
        <v>50707.94157333211</v>
      </c>
      <c r="J33" s="8">
        <v>50682.59451718532</v>
      </c>
      <c r="K33" s="8">
        <v>50657.19133869329</v>
      </c>
      <c r="L33" s="8">
        <v>50631.73258457489</v>
      </c>
      <c r="M33" s="8">
        <v>50606.21880293779</v>
      </c>
      <c r="N33" s="8">
        <v>50580.65054324232</v>
      </c>
      <c r="O33" s="8">
        <v>50555.02835626502</v>
      </c>
      <c r="P33" s="8">
        <v>50529.3527940625</v>
      </c>
      <c r="Q33" s="8">
        <v>50503.62440993486</v>
      </c>
      <c r="R33" s="8">
        <v>50477.84375838959</v>
      </c>
      <c r="S33" s="8">
        <v>50452.01139510489</v>
      </c>
      <c r="T33" s="8">
        <v>50426.12787689372</v>
      </c>
      <c r="U33" s="8">
        <v>50400.19376166695</v>
      </c>
      <c r="V33" s="8">
        <v>50374.20960839752</v>
      </c>
      <c r="W33" s="8">
        <v>50348.17597708366</v>
      </c>
      <c r="X33" s="8">
        <v>50322.09342871289</v>
      </c>
      <c r="Y33" s="8">
        <v>50295.96252522546</v>
      </c>
      <c r="Z33" s="8">
        <v>50269.78382947844</v>
      </c>
      <c r="AA33" s="8">
        <v>50243.55790520917</v>
      </c>
      <c r="AB33" s="8">
        <v>50217.28531699923</v>
      </c>
      <c r="AC33" s="8">
        <v>50190.96663023835</v>
      </c>
      <c r="AD33" s="8">
        <v>50164.60241108827</v>
      </c>
      <c r="AE33" s="8">
        <v>50138.19322644673</v>
      </c>
      <c r="AF33" s="8">
        <v>50111.73964391159</v>
      </c>
      <c r="AG33" s="8">
        <v>50085.24223174482</v>
      </c>
      <c r="AH33" s="8">
        <v>50058.70155883688</v>
      </c>
      <c r="AI33" s="8">
        <v>50032.11819467077</v>
      </c>
      <c r="AJ33" s="8">
        <v>50005.49270928662</v>
      </c>
      <c r="AK33" s="8">
        <v>49978.82567324597</v>
      </c>
      <c r="AL33" s="8">
        <v>49952.11765759647</v>
      </c>
      <c r="AM33" s="8">
        <v>49925.36923383633</v>
      </c>
      <c r="AN33" s="8">
        <v>49898.58097387931</v>
      </c>
      <c r="AO33" s="8">
        <v>49871.75345001951</v>
      </c>
      <c r="AP33" s="8">
        <v>49844.88723489606</v>
      </c>
      <c r="AQ33" s="8">
        <v>49817.98290145876</v>
      </c>
      <c r="AR33" s="8">
        <v>49791.0410229329</v>
      </c>
      <c r="AS33" s="8">
        <v>49764.06217278475</v>
      </c>
      <c r="AT33" s="8">
        <v>49737.04692468711</v>
      </c>
    </row>
    <row r="34" spans="1:46">
      <c r="A34" s="7">
        <v>36.1</v>
      </c>
      <c r="B34" s="8">
        <v>50938.93400220005</v>
      </c>
      <c r="C34" s="8">
        <v>50914.00341471011</v>
      </c>
      <c r="D34" s="8">
        <v>50889.01294208248</v>
      </c>
      <c r="E34" s="8">
        <v>50863.96311951338</v>
      </c>
      <c r="F34" s="8">
        <v>50838.85448383594</v>
      </c>
      <c r="G34" s="8">
        <v>50813.68757348418</v>
      </c>
      <c r="H34" s="8">
        <v>50788.46292845751</v>
      </c>
      <c r="I34" s="8">
        <v>50763.18109028472</v>
      </c>
      <c r="J34" s="8">
        <v>50737.84260198797</v>
      </c>
      <c r="K34" s="8">
        <v>50712.44800804694</v>
      </c>
      <c r="L34" s="8">
        <v>50686.99785436278</v>
      </c>
      <c r="M34" s="8">
        <v>50661.49268822196</v>
      </c>
      <c r="N34" s="8">
        <v>50635.93305826015</v>
      </c>
      <c r="O34" s="8">
        <v>50610.31951442632</v>
      </c>
      <c r="P34" s="8">
        <v>50584.65260794613</v>
      </c>
      <c r="Q34" s="8">
        <v>50558.93289128626</v>
      </c>
      <c r="R34" s="8">
        <v>50533.16091811781</v>
      </c>
      <c r="S34" s="8">
        <v>50507.33724328025</v>
      </c>
      <c r="T34" s="8">
        <v>50481.46242274538</v>
      </c>
      <c r="U34" s="8">
        <v>50455.53701358081</v>
      </c>
      <c r="V34" s="8">
        <v>50429.56157391399</v>
      </c>
      <c r="W34" s="8">
        <v>50403.53666289597</v>
      </c>
      <c r="X34" s="8">
        <v>50377.46284066534</v>
      </c>
      <c r="Y34" s="8">
        <v>50351.34066831187</v>
      </c>
      <c r="Z34" s="8">
        <v>50325.17070784063</v>
      </c>
      <c r="AA34" s="8">
        <v>50298.95352213582</v>
      </c>
      <c r="AB34" s="8">
        <v>50272.68967492494</v>
      </c>
      <c r="AC34" s="8">
        <v>50246.37973074248</v>
      </c>
      <c r="AD34" s="8">
        <v>50220.02425489431</v>
      </c>
      <c r="AE34" s="8">
        <v>50193.62381342165</v>
      </c>
      <c r="AF34" s="8">
        <v>50167.17897306534</v>
      </c>
      <c r="AG34" s="8">
        <v>50140.6903012302</v>
      </c>
      <c r="AH34" s="8">
        <v>50114.15836594909</v>
      </c>
      <c r="AI34" s="8">
        <v>50087.58373584777</v>
      </c>
      <c r="AJ34" s="8">
        <v>50060.96698010903</v>
      </c>
      <c r="AK34" s="8">
        <v>50034.30866843746</v>
      </c>
      <c r="AL34" s="8">
        <v>50007.60937102416</v>
      </c>
      <c r="AM34" s="8">
        <v>49980.86965851152</v>
      </c>
      <c r="AN34" s="8">
        <v>49954.09010195803</v>
      </c>
      <c r="AO34" s="8">
        <v>49927.27127280351</v>
      </c>
      <c r="AP34" s="8">
        <v>49900.41374283397</v>
      </c>
      <c r="AQ34" s="8">
        <v>49873.51808414704</v>
      </c>
      <c r="AR34" s="8">
        <v>49846.58486911726</v>
      </c>
      <c r="AS34" s="8">
        <v>49819.61467036168</v>
      </c>
      <c r="AT34" s="8">
        <v>49792.60806070534</v>
      </c>
    </row>
    <row r="35" spans="1:46">
      <c r="A35" s="7">
        <v>36.2</v>
      </c>
      <c r="B35" s="8">
        <v>50994.05149119612</v>
      </c>
      <c r="C35" s="8">
        <v>50969.12978479215</v>
      </c>
      <c r="D35" s="8">
        <v>50944.14821704115</v>
      </c>
      <c r="E35" s="8">
        <v>50919.10732234079</v>
      </c>
      <c r="F35" s="8">
        <v>50894.00763672104</v>
      </c>
      <c r="G35" s="8">
        <v>50868.84969780824</v>
      </c>
      <c r="H35" s="8">
        <v>50843.63404478973</v>
      </c>
      <c r="I35" s="8">
        <v>50818.36121837793</v>
      </c>
      <c r="J35" s="8">
        <v>50793.03176077473</v>
      </c>
      <c r="K35" s="8">
        <v>50767.64621563569</v>
      </c>
      <c r="L35" s="8">
        <v>50742.20512803396</v>
      </c>
      <c r="M35" s="8">
        <v>50716.70904442461</v>
      </c>
      <c r="N35" s="8">
        <v>50691.15851260848</v>
      </c>
      <c r="O35" s="8">
        <v>50665.55408169636</v>
      </c>
      <c r="P35" s="8">
        <v>50639.89630207292</v>
      </c>
      <c r="Q35" s="8">
        <v>50614.18572536074</v>
      </c>
      <c r="R35" s="8">
        <v>50588.42290438426</v>
      </c>
      <c r="S35" s="8">
        <v>50562.60839313362</v>
      </c>
      <c r="T35" s="8">
        <v>50536.74274672881</v>
      </c>
      <c r="U35" s="8">
        <v>50510.82652138355</v>
      </c>
      <c r="V35" s="8">
        <v>50484.86027436928</v>
      </c>
      <c r="W35" s="8">
        <v>50458.84456397902</v>
      </c>
      <c r="X35" s="8">
        <v>50432.7799494916</v>
      </c>
      <c r="Y35" s="8">
        <v>50406.66699113552</v>
      </c>
      <c r="Z35" s="8">
        <v>50380.50625005307</v>
      </c>
      <c r="AA35" s="8">
        <v>50354.29828826445</v>
      </c>
      <c r="AB35" s="8">
        <v>50328.04366863178</v>
      </c>
      <c r="AC35" s="8">
        <v>50301.74295482363</v>
      </c>
      <c r="AD35" s="8">
        <v>50275.39671127871</v>
      </c>
      <c r="AE35" s="8">
        <v>50249.0055031708</v>
      </c>
      <c r="AF35" s="8">
        <v>50222.56989637254</v>
      </c>
      <c r="AG35" s="8">
        <v>50196.09045742019</v>
      </c>
      <c r="AH35" s="8">
        <v>50169.56775347814</v>
      </c>
      <c r="AI35" s="8">
        <v>50143.00235230328</v>
      </c>
      <c r="AJ35" s="8">
        <v>50116.3948222099</v>
      </c>
      <c r="AK35" s="8">
        <v>50089.74573203421</v>
      </c>
      <c r="AL35" s="8">
        <v>50063.0556510994</v>
      </c>
      <c r="AM35" s="8">
        <v>50036.32514918045</v>
      </c>
      <c r="AN35" s="8">
        <v>50009.55479646925</v>
      </c>
      <c r="AO35" s="8">
        <v>49982.74516353977</v>
      </c>
      <c r="AP35" s="8">
        <v>49955.89682131312</v>
      </c>
      <c r="AQ35" s="8">
        <v>49929.0103410233</v>
      </c>
      <c r="AR35" s="8">
        <v>49902.08629418253</v>
      </c>
      <c r="AS35" s="8">
        <v>49875.12525254669</v>
      </c>
      <c r="AT35" s="8">
        <v>49848.12778808148</v>
      </c>
    </row>
    <row r="36" spans="1:46">
      <c r="A36" s="7">
        <v>36.3</v>
      </c>
      <c r="B36" s="8">
        <v>51049.1050724669</v>
      </c>
      <c r="C36" s="8">
        <v>51024.19269932505</v>
      </c>
      <c r="D36" s="8">
        <v>50999.2204901021</v>
      </c>
      <c r="E36" s="8">
        <v>50974.18897838752</v>
      </c>
      <c r="F36" s="8">
        <v>50949.0986993984</v>
      </c>
      <c r="G36" s="8">
        <v>50923.9501899436</v>
      </c>
      <c r="H36" s="8">
        <v>50898.74398838849</v>
      </c>
      <c r="I36" s="8">
        <v>50873.48063461939</v>
      </c>
      <c r="J36" s="8">
        <v>50848.16067000786</v>
      </c>
      <c r="K36" s="8">
        <v>50822.78463737525</v>
      </c>
      <c r="L36" s="8">
        <v>50797.35308095675</v>
      </c>
      <c r="M36" s="8">
        <v>50771.86654636582</v>
      </c>
      <c r="N36" s="8">
        <v>50746.32558055833</v>
      </c>
      <c r="O36" s="8">
        <v>50720.73073179679</v>
      </c>
      <c r="P36" s="8">
        <v>50695.08254961453</v>
      </c>
      <c r="Q36" s="8">
        <v>50669.38158477969</v>
      </c>
      <c r="R36" s="8">
        <v>50643.62838925965</v>
      </c>
      <c r="S36" s="8">
        <v>50617.82351618483</v>
      </c>
      <c r="T36" s="8">
        <v>50591.96751981302</v>
      </c>
      <c r="U36" s="8">
        <v>50566.06095549348</v>
      </c>
      <c r="V36" s="8">
        <v>50540.10437963091</v>
      </c>
      <c r="W36" s="8">
        <v>50514.09834964993</v>
      </c>
      <c r="X36" s="8">
        <v>50488.04342395886</v>
      </c>
      <c r="Y36" s="8">
        <v>50461.94016191419</v>
      </c>
      <c r="Z36" s="8">
        <v>50435.78912378462</v>
      </c>
      <c r="AA36" s="8">
        <v>50409.5908707155</v>
      </c>
      <c r="AB36" s="8">
        <v>50383.34596469307</v>
      </c>
      <c r="AC36" s="8">
        <v>50357.05496850859</v>
      </c>
      <c r="AD36" s="8">
        <v>50330.718445723</v>
      </c>
      <c r="AE36" s="8">
        <v>50304.33696063143</v>
      </c>
      <c r="AF36" s="8">
        <v>50277.91107822736</v>
      </c>
      <c r="AG36" s="8">
        <v>50251.44136416753</v>
      </c>
      <c r="AH36" s="8">
        <v>50224.92838473648</v>
      </c>
      <c r="AI36" s="8">
        <v>50198.37270681129</v>
      </c>
      <c r="AJ36" s="8">
        <v>50171.77489782631</v>
      </c>
      <c r="AK36" s="8">
        <v>50145.13552573823</v>
      </c>
      <c r="AL36" s="8">
        <v>50118.45515899105</v>
      </c>
      <c r="AM36" s="8">
        <v>50091.73436648096</v>
      </c>
      <c r="AN36" s="8">
        <v>50064.97371752177</v>
      </c>
      <c r="AO36" s="8">
        <v>50038.17378181018</v>
      </c>
      <c r="AP36" s="8">
        <v>50011.33512939111</v>
      </c>
      <c r="AQ36" s="8">
        <v>49984.45833062329</v>
      </c>
      <c r="AR36" s="8">
        <v>49957.54395614489</v>
      </c>
      <c r="AS36" s="8">
        <v>49930.59257683931</v>
      </c>
      <c r="AT36" s="8">
        <v>49903.60476380109</v>
      </c>
    </row>
    <row r="37" spans="1:46">
      <c r="A37" s="7">
        <v>36.4</v>
      </c>
      <c r="B37" s="8">
        <v>51104.09343419979</v>
      </c>
      <c r="C37" s="8">
        <v>51079.19084594298</v>
      </c>
      <c r="D37" s="8">
        <v>51054.22844834443</v>
      </c>
      <c r="E37" s="8">
        <v>51029.20677417597</v>
      </c>
      <c r="F37" s="8">
        <v>51004.12635783203</v>
      </c>
      <c r="G37" s="8">
        <v>50978.98773529434</v>
      </c>
      <c r="H37" s="8">
        <v>50953.79144409655</v>
      </c>
      <c r="I37" s="8">
        <v>50928.53802328902</v>
      </c>
      <c r="J37" s="8">
        <v>50903.22801340323</v>
      </c>
      <c r="K37" s="8">
        <v>50877.86195641635</v>
      </c>
      <c r="L37" s="8">
        <v>50852.44039571566</v>
      </c>
      <c r="M37" s="8">
        <v>50826.96387606305</v>
      </c>
      <c r="N37" s="8">
        <v>50801.43294355938</v>
      </c>
      <c r="O37" s="8">
        <v>50775.84814560862</v>
      </c>
      <c r="P37" s="8">
        <v>50750.21003088271</v>
      </c>
      <c r="Q37" s="8">
        <v>50724.5191492852</v>
      </c>
      <c r="R37" s="8">
        <v>50698.77605191601</v>
      </c>
      <c r="S37" s="8">
        <v>50672.98129103563</v>
      </c>
      <c r="T37" s="8">
        <v>50647.13542002923</v>
      </c>
      <c r="U37" s="8">
        <v>50621.23899337115</v>
      </c>
      <c r="V37" s="8">
        <v>50595.29256658915</v>
      </c>
      <c r="W37" s="8">
        <v>50569.29669622854</v>
      </c>
      <c r="X37" s="8">
        <v>50543.25193981685</v>
      </c>
      <c r="Y37" s="8">
        <v>50517.15885582783</v>
      </c>
      <c r="Z37" s="8">
        <v>50491.01800364609</v>
      </c>
      <c r="AA37" s="8">
        <v>50464.82994353135</v>
      </c>
      <c r="AB37" s="8">
        <v>50438.59523658301</v>
      </c>
      <c r="AC37" s="8">
        <v>50412.31444470453</v>
      </c>
      <c r="AD37" s="8">
        <v>50385.98813056815</v>
      </c>
      <c r="AE37" s="8">
        <v>50359.61685757937</v>
      </c>
      <c r="AF37" s="8">
        <v>50333.20118984166</v>
      </c>
      <c r="AG37" s="8">
        <v>50306.74169212125</v>
      </c>
      <c r="AH37" s="8">
        <v>50280.23892981177</v>
      </c>
      <c r="AI37" s="8">
        <v>50253.69346889939</v>
      </c>
      <c r="AJ37" s="8">
        <v>50227.1058759276</v>
      </c>
      <c r="AK37" s="8">
        <v>50200.47671796223</v>
      </c>
      <c r="AL37" s="8">
        <v>50173.80656255686</v>
      </c>
      <c r="AM37" s="8">
        <v>50147.09597771776</v>
      </c>
      <c r="AN37" s="8">
        <v>50120.34553186936</v>
      </c>
      <c r="AO37" s="8">
        <v>50093.55579381981</v>
      </c>
      <c r="AP37" s="8">
        <v>50066.72733272632</v>
      </c>
      <c r="AQ37" s="8">
        <v>50039.86071806099</v>
      </c>
      <c r="AR37" s="8">
        <v>50012.95651957662</v>
      </c>
      <c r="AS37" s="8">
        <v>49986.01530727248</v>
      </c>
      <c r="AT37" s="8">
        <v>49959.03765136053</v>
      </c>
    </row>
    <row r="38" spans="1:46">
      <c r="A38" s="7">
        <v>36.5</v>
      </c>
      <c r="B38" s="8">
        <v>51159.01527195891</v>
      </c>
      <c r="C38" s="8">
        <v>51134.12291963937</v>
      </c>
      <c r="D38" s="8">
        <v>51109.17078618899</v>
      </c>
      <c r="E38" s="8">
        <v>51084.15940355235</v>
      </c>
      <c r="F38" s="8">
        <v>51059.08930529188</v>
      </c>
      <c r="G38" s="8">
        <v>51033.9610265524</v>
      </c>
      <c r="H38" s="8">
        <v>51008.77510402632</v>
      </c>
      <c r="I38" s="8">
        <v>50983.53207591829</v>
      </c>
      <c r="J38" s="8">
        <v>50958.23248190994</v>
      </c>
      <c r="K38" s="8">
        <v>50932.8768631245</v>
      </c>
      <c r="L38" s="8">
        <v>50907.46576209156</v>
      </c>
      <c r="M38" s="8">
        <v>50881.99972271141</v>
      </c>
      <c r="N38" s="8">
        <v>50856.4792902199</v>
      </c>
      <c r="O38" s="8">
        <v>50830.90501115278</v>
      </c>
      <c r="P38" s="8">
        <v>50805.27743331016</v>
      </c>
      <c r="Q38" s="8">
        <v>50779.59710572107</v>
      </c>
      <c r="R38" s="8">
        <v>50753.8645786079</v>
      </c>
      <c r="S38" s="8">
        <v>50728.08040335078</v>
      </c>
      <c r="T38" s="8">
        <v>50702.24513245219</v>
      </c>
      <c r="U38" s="8">
        <v>50676.35931950122</v>
      </c>
      <c r="V38" s="8">
        <v>50650.42351913818</v>
      </c>
      <c r="W38" s="8">
        <v>50624.43828701902</v>
      </c>
      <c r="X38" s="8">
        <v>50598.4041797797</v>
      </c>
      <c r="Y38" s="8">
        <v>50572.32175500086</v>
      </c>
      <c r="Z38" s="8">
        <v>50546.19157117242</v>
      </c>
      <c r="AA38" s="8">
        <v>50520.01418765793</v>
      </c>
      <c r="AB38" s="8">
        <v>50493.79016465927</v>
      </c>
      <c r="AC38" s="8">
        <v>50467.52006318149</v>
      </c>
      <c r="AD38" s="8">
        <v>50441.20444499728</v>
      </c>
      <c r="AE38" s="8">
        <v>50414.84387261188</v>
      </c>
      <c r="AF38" s="8">
        <v>50388.43890922782</v>
      </c>
      <c r="AG38" s="8">
        <v>50361.99011870989</v>
      </c>
      <c r="AH38" s="8">
        <v>50335.49806555008</v>
      </c>
      <c r="AI38" s="8">
        <v>50308.96331483254</v>
      </c>
      <c r="AJ38" s="8">
        <v>50282.38643219892</v>
      </c>
      <c r="AK38" s="8">
        <v>50255.7679838132</v>
      </c>
      <c r="AL38" s="8">
        <v>50229.10853632744</v>
      </c>
      <c r="AM38" s="8">
        <v>50202.40865684679</v>
      </c>
      <c r="AN38" s="8">
        <v>50175.66891289522</v>
      </c>
      <c r="AO38" s="8">
        <v>50148.889872381</v>
      </c>
      <c r="AP38" s="8">
        <v>50122.07210356243</v>
      </c>
      <c r="AQ38" s="8">
        <v>50095.21617501371</v>
      </c>
      <c r="AR38" s="8">
        <v>50068.32265559085</v>
      </c>
      <c r="AS38" s="8">
        <v>50041.39211439765</v>
      </c>
      <c r="AT38" s="8">
        <v>50014.4251207521</v>
      </c>
    </row>
    <row r="39" spans="1:46">
      <c r="A39" s="7">
        <v>36.6</v>
      </c>
      <c r="B39" s="8">
        <v>51213.86928866363</v>
      </c>
      <c r="C39" s="8">
        <v>51188.98762274554</v>
      </c>
      <c r="D39" s="8">
        <v>51164.04620537692</v>
      </c>
      <c r="E39" s="8">
        <v>51139.04556766581</v>
      </c>
      <c r="F39" s="8">
        <v>51113.98624233295</v>
      </c>
      <c r="G39" s="8">
        <v>51088.86876367702</v>
      </c>
      <c r="H39" s="8">
        <v>51063.69366753953</v>
      </c>
      <c r="I39" s="8">
        <v>51038.46149126989</v>
      </c>
      <c r="J39" s="8">
        <v>51013.17277369017</v>
      </c>
      <c r="K39" s="8">
        <v>50987.82805506004</v>
      </c>
      <c r="L39" s="8">
        <v>50962.42787704152</v>
      </c>
      <c r="M39" s="8">
        <v>50936.97278266371</v>
      </c>
      <c r="N39" s="8">
        <v>50911.46331628753</v>
      </c>
      <c r="O39" s="8">
        <v>50885.90002357047</v>
      </c>
      <c r="P39" s="8">
        <v>50860.28345143104</v>
      </c>
      <c r="Q39" s="8">
        <v>50834.61414801369</v>
      </c>
      <c r="R39" s="8">
        <v>50808.89266265317</v>
      </c>
      <c r="S39" s="8">
        <v>50783.11954583932</v>
      </c>
      <c r="T39" s="8">
        <v>50757.29534918162</v>
      </c>
      <c r="U39" s="8">
        <v>50731.42062537379</v>
      </c>
      <c r="V39" s="8">
        <v>50705.49592815849</v>
      </c>
      <c r="W39" s="8">
        <v>50679.52181229176</v>
      </c>
      <c r="X39" s="8">
        <v>50653.49883350795</v>
      </c>
      <c r="Y39" s="8">
        <v>50627.42754848416</v>
      </c>
      <c r="Z39" s="8">
        <v>50601.30851480504</v>
      </c>
      <c r="AA39" s="8">
        <v>50575.14229092753</v>
      </c>
      <c r="AB39" s="8">
        <v>50548.92943614563</v>
      </c>
      <c r="AC39" s="8">
        <v>50522.67051055521</v>
      </c>
      <c r="AD39" s="8">
        <v>50496.36607501881</v>
      </c>
      <c r="AE39" s="8">
        <v>50470.01669113077</v>
      </c>
      <c r="AF39" s="8">
        <v>50443.622921182</v>
      </c>
      <c r="AG39" s="8">
        <v>50417.18532812505</v>
      </c>
      <c r="AH39" s="8">
        <v>50390.70447553946</v>
      </c>
      <c r="AI39" s="8">
        <v>50364.18092759658</v>
      </c>
      <c r="AJ39" s="8">
        <v>50337.61524902514</v>
      </c>
      <c r="AK39" s="8">
        <v>50311.00800507657</v>
      </c>
      <c r="AL39" s="8">
        <v>50284.3597614903</v>
      </c>
      <c r="AM39" s="8">
        <v>50257.67108445935</v>
      </c>
      <c r="AN39" s="8">
        <v>50230.94254059612</v>
      </c>
      <c r="AO39" s="8">
        <v>50204.17469689799</v>
      </c>
      <c r="AP39" s="8">
        <v>50177.36812071312</v>
      </c>
      <c r="AQ39" s="8">
        <v>50150.52337970667</v>
      </c>
      <c r="AR39" s="8">
        <v>50123.64104182655</v>
      </c>
      <c r="AS39" s="8">
        <v>50096.72167526993</v>
      </c>
      <c r="AT39" s="8">
        <v>50069.76584844939</v>
      </c>
    </row>
    <row r="40" spans="1:46">
      <c r="A40" s="7">
        <v>36.7</v>
      </c>
      <c r="B40" s="8">
        <v>51268.65419456656</v>
      </c>
      <c r="C40" s="8">
        <v>51243.78366490889</v>
      </c>
      <c r="D40" s="8">
        <v>51218.85341494819</v>
      </c>
      <c r="E40" s="8">
        <v>51193.8639749466</v>
      </c>
      <c r="F40" s="8">
        <v>51168.81587677402</v>
      </c>
      <c r="G40" s="8">
        <v>51143.70965387343</v>
      </c>
      <c r="H40" s="8">
        <v>51118.54584122618</v>
      </c>
      <c r="I40" s="8">
        <v>51093.32497531683</v>
      </c>
      <c r="J40" s="8">
        <v>51068.04759409837</v>
      </c>
      <c r="K40" s="8">
        <v>51042.71423695741</v>
      </c>
      <c r="L40" s="8">
        <v>51017.32544467873</v>
      </c>
      <c r="M40" s="8">
        <v>50991.88175941047</v>
      </c>
      <c r="N40" s="8">
        <v>50966.3837246289</v>
      </c>
      <c r="O40" s="8">
        <v>50940.83188510353</v>
      </c>
      <c r="P40" s="8">
        <v>50915.22678686139</v>
      </c>
      <c r="Q40" s="8">
        <v>50889.56897715244</v>
      </c>
      <c r="R40" s="8">
        <v>50863.85900441388</v>
      </c>
      <c r="S40" s="8">
        <v>50838.09741823527</v>
      </c>
      <c r="T40" s="8">
        <v>50812.28476932299</v>
      </c>
      <c r="U40" s="8">
        <v>50786.42160946543</v>
      </c>
      <c r="V40" s="8">
        <v>50760.50849149728</v>
      </c>
      <c r="W40" s="8">
        <v>50734.54596926476</v>
      </c>
      <c r="X40" s="8">
        <v>50708.53459759014</v>
      </c>
      <c r="Y40" s="8">
        <v>50682.4749322367</v>
      </c>
      <c r="Z40" s="8">
        <v>50656.36752987366</v>
      </c>
      <c r="AA40" s="8">
        <v>50630.21294804088</v>
      </c>
      <c r="AB40" s="8">
        <v>50604.01174511399</v>
      </c>
      <c r="AC40" s="8">
        <v>50577.76448026929</v>
      </c>
      <c r="AD40" s="8">
        <v>50551.47171344869</v>
      </c>
      <c r="AE40" s="8">
        <v>50525.13400532502</v>
      </c>
      <c r="AF40" s="8">
        <v>50498.75191726693</v>
      </c>
      <c r="AG40" s="8">
        <v>50472.32601130418</v>
      </c>
      <c r="AH40" s="8">
        <v>50445.85685009301</v>
      </c>
      <c r="AI40" s="8">
        <v>50419.34499688135</v>
      </c>
      <c r="AJ40" s="8">
        <v>50392.79101547432</v>
      </c>
      <c r="AK40" s="8">
        <v>50366.19547019968</v>
      </c>
      <c r="AL40" s="8">
        <v>50339.55892587351</v>
      </c>
      <c r="AM40" s="8">
        <v>50312.8819477659</v>
      </c>
      <c r="AN40" s="8">
        <v>50286.16510156658</v>
      </c>
      <c r="AO40" s="8">
        <v>50259.40895335098</v>
      </c>
      <c r="AP40" s="8">
        <v>50232.61406954633</v>
      </c>
      <c r="AQ40" s="8">
        <v>50205.7810168974</v>
      </c>
      <c r="AR40" s="8">
        <v>50178.91036243306</v>
      </c>
      <c r="AS40" s="8">
        <v>50152.00267343251</v>
      </c>
      <c r="AT40" s="8">
        <v>50125.05851739184</v>
      </c>
    </row>
    <row r="41" spans="1:46">
      <c r="A41" s="7">
        <v>36.8</v>
      </c>
      <c r="B41" s="8">
        <v>51323.36870723065</v>
      </c>
      <c r="C41" s="8">
        <v>51298.50976307</v>
      </c>
      <c r="D41" s="8">
        <v>51273.59113121869</v>
      </c>
      <c r="E41" s="8">
        <v>51248.6133410838</v>
      </c>
      <c r="F41" s="8">
        <v>51223.57692367517</v>
      </c>
      <c r="G41" s="8">
        <v>51198.48241157086</v>
      </c>
      <c r="H41" s="8">
        <v>51173.33033888257</v>
      </c>
      <c r="I41" s="8">
        <v>51148.12124122072</v>
      </c>
      <c r="J41" s="8">
        <v>51122.85565565994</v>
      </c>
      <c r="K41" s="8">
        <v>51097.53412070396</v>
      </c>
      <c r="L41" s="8">
        <v>51072.15717625096</v>
      </c>
      <c r="M41" s="8">
        <v>51046.72536355858</v>
      </c>
      <c r="N41" s="8">
        <v>51021.2392252089</v>
      </c>
      <c r="O41" s="8">
        <v>50995.69930507349</v>
      </c>
      <c r="P41" s="8">
        <v>50970.10614827838</v>
      </c>
      <c r="Q41" s="8">
        <v>50944.46030116922</v>
      </c>
      <c r="R41" s="8">
        <v>50918.76231127581</v>
      </c>
      <c r="S41" s="8">
        <v>50893.01272727746</v>
      </c>
      <c r="T41" s="8">
        <v>50867.21209896774</v>
      </c>
      <c r="U41" s="8">
        <v>50841.36097721945</v>
      </c>
      <c r="V41" s="8">
        <v>50815.4599139495</v>
      </c>
      <c r="W41" s="8">
        <v>50789.5094620841</v>
      </c>
      <c r="X41" s="8">
        <v>50763.51017552338</v>
      </c>
      <c r="Y41" s="8">
        <v>50737.46260910663</v>
      </c>
      <c r="Z41" s="8">
        <v>50711.3673185773</v>
      </c>
      <c r="AA41" s="8">
        <v>50685.22486054805</v>
      </c>
      <c r="AB41" s="8">
        <v>50659.03579246579</v>
      </c>
      <c r="AC41" s="8">
        <v>50632.80067257686</v>
      </c>
      <c r="AD41" s="8">
        <v>50606.52005989216</v>
      </c>
      <c r="AE41" s="8">
        <v>50580.19451415251</v>
      </c>
      <c r="AF41" s="8">
        <v>50553.82459579383</v>
      </c>
      <c r="AG41" s="8">
        <v>50527.41086591258</v>
      </c>
      <c r="AH41" s="8">
        <v>50500.95388623113</v>
      </c>
      <c r="AI41" s="8">
        <v>50474.45421906329</v>
      </c>
      <c r="AJ41" s="8">
        <v>50447.91242727986</v>
      </c>
      <c r="AK41" s="8">
        <v>50421.32907427433</v>
      </c>
      <c r="AL41" s="8">
        <v>50394.70472392865</v>
      </c>
      <c r="AM41" s="8">
        <v>50368.03994057902</v>
      </c>
      <c r="AN41" s="8">
        <v>50341.33528898178</v>
      </c>
      <c r="AO41" s="8">
        <v>50314.59133427963</v>
      </c>
      <c r="AP41" s="8">
        <v>50287.80864196757</v>
      </c>
      <c r="AQ41" s="8">
        <v>50260.98777785933</v>
      </c>
      <c r="AR41" s="8">
        <v>50234.12930805363</v>
      </c>
      <c r="AS41" s="8">
        <v>50207.23379890066</v>
      </c>
      <c r="AT41" s="8">
        <v>50180.30181696892</v>
      </c>
    </row>
    <row r="42" spans="1:46">
      <c r="A42" s="7">
        <v>36.9</v>
      </c>
      <c r="B42" s="8">
        <v>51378.01155150652</v>
      </c>
      <c r="C42" s="8">
        <v>51353.16464144034</v>
      </c>
      <c r="D42" s="8">
        <v>51328.25807775833</v>
      </c>
      <c r="E42" s="8">
        <v>51303.29238900341</v>
      </c>
      <c r="F42" s="8">
        <v>51278.2681053162</v>
      </c>
      <c r="G42" s="8">
        <v>51253.18575840074</v>
      </c>
      <c r="H42" s="8">
        <v>51228.04588148981</v>
      </c>
      <c r="I42" s="8">
        <v>51202.84900931043</v>
      </c>
      <c r="J42" s="8">
        <v>51177.59567804945</v>
      </c>
      <c r="K42" s="8">
        <v>51152.28642531861</v>
      </c>
      <c r="L42" s="8">
        <v>51126.92179011986</v>
      </c>
      <c r="M42" s="8">
        <v>51101.50231281087</v>
      </c>
      <c r="N42" s="8">
        <v>51076.02853506995</v>
      </c>
      <c r="O42" s="8">
        <v>51050.5009998613</v>
      </c>
      <c r="P42" s="8">
        <v>51024.92025140028</v>
      </c>
      <c r="Q42" s="8">
        <v>50999.28683511839</v>
      </c>
      <c r="R42" s="8">
        <v>50973.60129762855</v>
      </c>
      <c r="S42" s="8">
        <v>50947.86418668996</v>
      </c>
      <c r="T42" s="8">
        <v>50922.07605117343</v>
      </c>
      <c r="U42" s="8">
        <v>50896.23744102647</v>
      </c>
      <c r="V42" s="8">
        <v>50870.34890723821</v>
      </c>
      <c r="W42" s="8">
        <v>50844.41100180487</v>
      </c>
      <c r="X42" s="8">
        <v>50818.42427769444</v>
      </c>
      <c r="Y42" s="8">
        <v>50792.38928881213</v>
      </c>
      <c r="Z42" s="8">
        <v>50766.30658996566</v>
      </c>
      <c r="AA42" s="8">
        <v>50740.17673683013</v>
      </c>
      <c r="AB42" s="8">
        <v>50714.00028591364</v>
      </c>
      <c r="AC42" s="8">
        <v>50687.7777945222</v>
      </c>
      <c r="AD42" s="8">
        <v>50661.50982072555</v>
      </c>
      <c r="AE42" s="8">
        <v>50635.19692332211</v>
      </c>
      <c r="AF42" s="8">
        <v>50608.83966180471</v>
      </c>
      <c r="AG42" s="8">
        <v>50582.43859632598</v>
      </c>
      <c r="AH42" s="8">
        <v>50555.99428766398</v>
      </c>
      <c r="AI42" s="8">
        <v>50529.50729718792</v>
      </c>
      <c r="AJ42" s="8">
        <v>50502.97818682368</v>
      </c>
      <c r="AK42" s="8">
        <v>50476.40751901989</v>
      </c>
      <c r="AL42" s="8">
        <v>50449.79585671366</v>
      </c>
      <c r="AM42" s="8">
        <v>50423.14376329665</v>
      </c>
      <c r="AN42" s="8">
        <v>50396.4518025811</v>
      </c>
      <c r="AO42" s="8">
        <v>50369.72053876608</v>
      </c>
      <c r="AP42" s="8">
        <v>50342.95053640372</v>
      </c>
      <c r="AQ42" s="8">
        <v>50316.14236036568</v>
      </c>
      <c r="AR42" s="8">
        <v>50289.29657580964</v>
      </c>
      <c r="AS42" s="8">
        <v>50262.41374814588</v>
      </c>
      <c r="AT42" s="8">
        <v>50235.49444300419</v>
      </c>
    </row>
    <row r="43" spans="1:46">
      <c r="A43" s="7">
        <v>37</v>
      </c>
      <c r="B43" s="8">
        <v>51432.58145950895</v>
      </c>
      <c r="C43" s="8">
        <v>51407.74703147881</v>
      </c>
      <c r="D43" s="8">
        <v>51382.85298536752</v>
      </c>
      <c r="E43" s="8">
        <v>51357.89984884491</v>
      </c>
      <c r="F43" s="8">
        <v>51332.88815117342</v>
      </c>
      <c r="G43" s="8">
        <v>51307.81842317385</v>
      </c>
      <c r="H43" s="8">
        <v>51282.69119719106</v>
      </c>
      <c r="I43" s="8">
        <v>51257.50700705955</v>
      </c>
      <c r="J43" s="8">
        <v>51232.26638806899</v>
      </c>
      <c r="K43" s="8">
        <v>51206.96987692994</v>
      </c>
      <c r="L43" s="8">
        <v>51181.61801173884</v>
      </c>
      <c r="M43" s="8">
        <v>51156.21133194402</v>
      </c>
      <c r="N43" s="8">
        <v>51130.75037831052</v>
      </c>
      <c r="O43" s="8">
        <v>51105.23569288581</v>
      </c>
      <c r="P43" s="8">
        <v>51079.66781896488</v>
      </c>
      <c r="Q43" s="8">
        <v>51054.04730105579</v>
      </c>
      <c r="R43" s="8">
        <v>51028.37468484462</v>
      </c>
      <c r="S43" s="8">
        <v>51002.65051716098</v>
      </c>
      <c r="T43" s="8">
        <v>50976.87534594326</v>
      </c>
      <c r="U43" s="8">
        <v>50951.04972020386</v>
      </c>
      <c r="V43" s="8">
        <v>50925.17418999433</v>
      </c>
      <c r="W43" s="8">
        <v>50899.24930637094</v>
      </c>
      <c r="X43" s="8">
        <v>50873.2756213597</v>
      </c>
      <c r="Y43" s="8">
        <v>50847.25368792188</v>
      </c>
      <c r="Z43" s="8">
        <v>50821.18405991926</v>
      </c>
      <c r="AA43" s="8">
        <v>50795.06729207954</v>
      </c>
      <c r="AB43" s="8">
        <v>50768.90393996174</v>
      </c>
      <c r="AC43" s="8">
        <v>50742.69455992163</v>
      </c>
      <c r="AD43" s="8">
        <v>50716.43970907734</v>
      </c>
      <c r="AE43" s="8">
        <v>50690.13994527482</v>
      </c>
      <c r="AF43" s="8">
        <v>50663.79582705344</v>
      </c>
      <c r="AG43" s="8">
        <v>50637.40791361172</v>
      </c>
      <c r="AH43" s="8">
        <v>50610.97676477308</v>
      </c>
      <c r="AI43" s="8">
        <v>50584.50294095162</v>
      </c>
      <c r="AJ43" s="8">
        <v>50557.98700311789</v>
      </c>
      <c r="AK43" s="8">
        <v>50531.42951276516</v>
      </c>
      <c r="AL43" s="8">
        <v>50504.8310318752</v>
      </c>
      <c r="AM43" s="8">
        <v>50478.19212288449</v>
      </c>
      <c r="AN43" s="8">
        <v>50451.5133486505</v>
      </c>
      <c r="AO43" s="8">
        <v>50424.79527241804</v>
      </c>
      <c r="AP43" s="8">
        <v>50398.03845778563</v>
      </c>
      <c r="AQ43" s="8">
        <v>50371.24346867214</v>
      </c>
      <c r="AR43" s="8">
        <v>50344.41086928341</v>
      </c>
      <c r="AS43" s="8">
        <v>50317.54122407887</v>
      </c>
      <c r="AT43" s="8">
        <v>50290.63509773888</v>
      </c>
    </row>
    <row r="44" spans="1:46">
      <c r="A44" s="7">
        <v>37.1</v>
      </c>
      <c r="B44" s="8">
        <v>51487.07717059344</v>
      </c>
      <c r="C44" s="8">
        <v>51462.25567186844</v>
      </c>
      <c r="D44" s="8">
        <v>51437.37459205423</v>
      </c>
      <c r="E44" s="8">
        <v>51412.43445793865</v>
      </c>
      <c r="F44" s="8">
        <v>51387.43579789701</v>
      </c>
      <c r="G44" s="8">
        <v>51362.37914185797</v>
      </c>
      <c r="H44" s="8">
        <v>51337.26502126939</v>
      </c>
      <c r="I44" s="8">
        <v>51312.09396906415</v>
      </c>
      <c r="J44" s="8">
        <v>51286.86651962577</v>
      </c>
      <c r="K44" s="8">
        <v>51261.58320875429</v>
      </c>
      <c r="L44" s="8">
        <v>51236.24457363154</v>
      </c>
      <c r="M44" s="8">
        <v>51210.85115278717</v>
      </c>
      <c r="N44" s="8">
        <v>51185.40348606367</v>
      </c>
      <c r="O44" s="8">
        <v>51159.9021145824</v>
      </c>
      <c r="P44" s="8">
        <v>51134.34758070867</v>
      </c>
      <c r="Q44" s="8">
        <v>51108.7404280174</v>
      </c>
      <c r="R44" s="8">
        <v>51083.08120125861</v>
      </c>
      <c r="S44" s="8">
        <v>51057.37044632261</v>
      </c>
      <c r="T44" s="8">
        <v>51031.60871020573</v>
      </c>
      <c r="U44" s="8">
        <v>51005.79654097551</v>
      </c>
      <c r="V44" s="8">
        <v>50979.93448773642</v>
      </c>
      <c r="W44" s="8">
        <v>50954.02310059498</v>
      </c>
      <c r="X44" s="8">
        <v>50928.0629306254</v>
      </c>
      <c r="Y44" s="8">
        <v>50902.05452983511</v>
      </c>
      <c r="Z44" s="8">
        <v>50875.99845113019</v>
      </c>
      <c r="AA44" s="8">
        <v>50849.8952482808</v>
      </c>
      <c r="AB44" s="8">
        <v>50823.74547588706</v>
      </c>
      <c r="AC44" s="8">
        <v>50797.54968934439</v>
      </c>
      <c r="AD44" s="8">
        <v>50771.30844480924</v>
      </c>
      <c r="AE44" s="8">
        <v>50745.02229916498</v>
      </c>
      <c r="AF44" s="8">
        <v>50718.69180998731</v>
      </c>
      <c r="AG44" s="8">
        <v>50692.31753551049</v>
      </c>
      <c r="AH44" s="8">
        <v>50665.900034593</v>
      </c>
      <c r="AI44" s="8">
        <v>50639.43986668352</v>
      </c>
      <c r="AJ44" s="8">
        <v>50612.93759178696</v>
      </c>
      <c r="AK44" s="8">
        <v>50586.3937704308</v>
      </c>
      <c r="AL44" s="8">
        <v>50559.80896363097</v>
      </c>
      <c r="AM44" s="8">
        <v>50533.18373285838</v>
      </c>
      <c r="AN44" s="8">
        <v>50506.5186400052</v>
      </c>
      <c r="AO44" s="8">
        <v>50479.81424735138</v>
      </c>
      <c r="AP44" s="8">
        <v>50453.07111753123</v>
      </c>
      <c r="AQ44" s="8">
        <v>50426.28981350017</v>
      </c>
      <c r="AR44" s="8">
        <v>50399.47089850141</v>
      </c>
      <c r="AS44" s="8">
        <v>50372.61493603311</v>
      </c>
      <c r="AT44" s="8">
        <v>50345.7224898151</v>
      </c>
    </row>
    <row r="45" spans="1:46">
      <c r="A45" s="7">
        <v>37.2</v>
      </c>
      <c r="B45" s="8">
        <v>51541.49743133205</v>
      </c>
      <c r="C45" s="8">
        <v>51516.68930849253</v>
      </c>
      <c r="D45" s="8">
        <v>51491.8216430102</v>
      </c>
      <c r="E45" s="8">
        <v>51466.89496078213</v>
      </c>
      <c r="F45" s="8">
        <v>51441.90978928765</v>
      </c>
      <c r="G45" s="8">
        <v>51416.86665755443</v>
      </c>
      <c r="H45" s="8">
        <v>51391.76609612443</v>
      </c>
      <c r="I45" s="8">
        <v>51366.60863701993</v>
      </c>
      <c r="J45" s="8">
        <v>51341.39481370933</v>
      </c>
      <c r="K45" s="8">
        <v>51316.12516107304</v>
      </c>
      <c r="L45" s="8">
        <v>51290.80021536924</v>
      </c>
      <c r="M45" s="8">
        <v>51265.42051419961</v>
      </c>
      <c r="N45" s="8">
        <v>51239.98659647504</v>
      </c>
      <c r="O45" s="8">
        <v>51214.49900238136</v>
      </c>
      <c r="P45" s="8">
        <v>51188.95827334495</v>
      </c>
      <c r="Q45" s="8">
        <v>51163.36495199829</v>
      </c>
      <c r="R45" s="8">
        <v>51137.71958214582</v>
      </c>
      <c r="S45" s="8">
        <v>51112.02270872921</v>
      </c>
      <c r="T45" s="8">
        <v>51086.27487779314</v>
      </c>
      <c r="U45" s="8">
        <v>51060.47663645096</v>
      </c>
      <c r="V45" s="8">
        <v>51034.62853285014</v>
      </c>
      <c r="W45" s="8">
        <v>51008.73111613796</v>
      </c>
      <c r="X45" s="8">
        <v>50982.7849364272</v>
      </c>
      <c r="Y45" s="8">
        <v>50956.7905447616</v>
      </c>
      <c r="Z45" s="8">
        <v>50930.74849308172</v>
      </c>
      <c r="AA45" s="8">
        <v>50904.65933419057</v>
      </c>
      <c r="AB45" s="8">
        <v>50878.52362171926</v>
      </c>
      <c r="AC45" s="8">
        <v>50852.341910093</v>
      </c>
      <c r="AD45" s="8">
        <v>50826.11475449669</v>
      </c>
      <c r="AE45" s="8">
        <v>50799.84271084089</v>
      </c>
      <c r="AF45" s="8">
        <v>50773.52633572786</v>
      </c>
      <c r="AG45" s="8">
        <v>50747.16618641725</v>
      </c>
      <c r="AH45" s="8">
        <v>50720.76282079249</v>
      </c>
      <c r="AI45" s="8">
        <v>50694.3167973267</v>
      </c>
      <c r="AJ45" s="8">
        <v>50667.82867504897</v>
      </c>
      <c r="AK45" s="8">
        <v>50641.29901351054</v>
      </c>
      <c r="AL45" s="8">
        <v>50614.72837275133</v>
      </c>
      <c r="AM45" s="8">
        <v>50588.11731326617</v>
      </c>
      <c r="AN45" s="8">
        <v>50561.46639597157</v>
      </c>
      <c r="AO45" s="8">
        <v>50534.77618217219</v>
      </c>
      <c r="AP45" s="8">
        <v>50508.0472335276</v>
      </c>
      <c r="AQ45" s="8">
        <v>50481.28011201925</v>
      </c>
      <c r="AR45" s="8">
        <v>50454.4753799172</v>
      </c>
      <c r="AS45" s="8">
        <v>50427.63359974742</v>
      </c>
      <c r="AT45" s="8">
        <v>50400.7553342589</v>
      </c>
    </row>
    <row r="46" spans="1:46">
      <c r="A46" s="7">
        <v>37.3</v>
      </c>
      <c r="B46" s="8">
        <v>51595.84099548915</v>
      </c>
      <c r="C46" s="8">
        <v>51571.04669441052</v>
      </c>
      <c r="D46" s="8">
        <v>51546.19289058695</v>
      </c>
      <c r="E46" s="8">
        <v>51521.28010901616</v>
      </c>
      <c r="F46" s="8">
        <v>51496.30887627279</v>
      </c>
      <c r="G46" s="8">
        <v>51471.27972047471</v>
      </c>
      <c r="H46" s="8">
        <v>51446.19317124924</v>
      </c>
      <c r="I46" s="8">
        <v>51421.04975969913</v>
      </c>
      <c r="J46" s="8">
        <v>51395.85001836877</v>
      </c>
      <c r="K46" s="8">
        <v>51370.59448120997</v>
      </c>
      <c r="L46" s="8">
        <v>51345.28368354828</v>
      </c>
      <c r="M46" s="8">
        <v>51319.91816204833</v>
      </c>
      <c r="N46" s="8">
        <v>51294.49845468028</v>
      </c>
      <c r="O46" s="8">
        <v>51269.02510068539</v>
      </c>
      <c r="P46" s="8">
        <v>51243.49864054176</v>
      </c>
      <c r="Q46" s="8">
        <v>51217.91961593035</v>
      </c>
      <c r="R46" s="8">
        <v>51192.28856970055</v>
      </c>
      <c r="S46" s="8">
        <v>51166.60604583612</v>
      </c>
      <c r="T46" s="8">
        <v>51140.87258942071</v>
      </c>
      <c r="U46" s="8">
        <v>51115.08874660393</v>
      </c>
      <c r="V46" s="8">
        <v>51089.25506456695</v>
      </c>
      <c r="W46" s="8">
        <v>51063.37209148819</v>
      </c>
      <c r="X46" s="8">
        <v>51037.44037650928</v>
      </c>
      <c r="Y46" s="8">
        <v>51011.46046970082</v>
      </c>
      <c r="Z46" s="8">
        <v>50985.43292202808</v>
      </c>
      <c r="AA46" s="8">
        <v>50959.35828531718</v>
      </c>
      <c r="AB46" s="8">
        <v>50933.23711222058</v>
      </c>
      <c r="AC46" s="8">
        <v>50907.06995618337</v>
      </c>
      <c r="AD46" s="8">
        <v>50880.85737140894</v>
      </c>
      <c r="AE46" s="8">
        <v>50854.59991282538</v>
      </c>
      <c r="AF46" s="8">
        <v>50828.29813605123</v>
      </c>
      <c r="AG46" s="8">
        <v>50801.95259736184</v>
      </c>
      <c r="AH46" s="8">
        <v>50775.56385365539</v>
      </c>
      <c r="AI46" s="8">
        <v>50749.13246241936</v>
      </c>
      <c r="AJ46" s="8">
        <v>50722.65898169683</v>
      </c>
      <c r="AK46" s="8">
        <v>50696.14397005275</v>
      </c>
      <c r="AL46" s="8">
        <v>50669.58798654068</v>
      </c>
      <c r="AM46" s="8">
        <v>50642.99159066931</v>
      </c>
      <c r="AN46" s="8">
        <v>50616.35534236902</v>
      </c>
      <c r="AO46" s="8">
        <v>50589.67980195885</v>
      </c>
      <c r="AP46" s="8">
        <v>50562.96553011324</v>
      </c>
      <c r="AQ46" s="8">
        <v>50536.21308782918</v>
      </c>
      <c r="AR46" s="8">
        <v>50509.42303639321</v>
      </c>
      <c r="AS46" s="8">
        <v>50482.59593734855</v>
      </c>
      <c r="AT46" s="8">
        <v>50455.73235246271</v>
      </c>
    </row>
    <row r="47" spans="1:46">
      <c r="A47" s="7">
        <v>37.4</v>
      </c>
      <c r="B47" s="8">
        <v>51650.10662399673</v>
      </c>
      <c r="C47" s="8">
        <v>51625.32658983332</v>
      </c>
      <c r="D47" s="8">
        <v>51600.48709427146</v>
      </c>
      <c r="E47" s="8">
        <v>51575.58866140074</v>
      </c>
      <c r="F47" s="8">
        <v>51550.63181688261</v>
      </c>
      <c r="G47" s="8">
        <v>51525.61708791657</v>
      </c>
      <c r="H47" s="8">
        <v>51500.54500320644</v>
      </c>
      <c r="I47" s="8">
        <v>51475.41609292681</v>
      </c>
      <c r="J47" s="8">
        <v>51450.23088868914</v>
      </c>
      <c r="K47" s="8">
        <v>51424.98992350795</v>
      </c>
      <c r="L47" s="8">
        <v>51399.69373176693</v>
      </c>
      <c r="M47" s="8">
        <v>51374.34284918509</v>
      </c>
      <c r="N47" s="8">
        <v>51348.93781278266</v>
      </c>
      <c r="O47" s="8">
        <v>51323.4791608473</v>
      </c>
      <c r="P47" s="8">
        <v>51297.9674328998</v>
      </c>
      <c r="Q47" s="8">
        <v>51272.40316966031</v>
      </c>
      <c r="R47" s="8">
        <v>51246.78691301413</v>
      </c>
      <c r="S47" s="8">
        <v>51221.11920597775</v>
      </c>
      <c r="T47" s="8">
        <v>51195.4005926646</v>
      </c>
      <c r="U47" s="8">
        <v>51169.63161825119</v>
      </c>
      <c r="V47" s="8">
        <v>51143.81282894288</v>
      </c>
      <c r="W47" s="8">
        <v>51117.94477193999</v>
      </c>
      <c r="X47" s="8">
        <v>51092.02799540349</v>
      </c>
      <c r="Y47" s="8">
        <v>51066.06304842121</v>
      </c>
      <c r="Z47" s="8">
        <v>51040.0504809737</v>
      </c>
      <c r="AA47" s="8">
        <v>51013.99084390041</v>
      </c>
      <c r="AB47" s="8">
        <v>50987.88468886556</v>
      </c>
      <c r="AC47" s="8">
        <v>50961.73256832441</v>
      </c>
      <c r="AD47" s="8">
        <v>50935.53503548919</v>
      </c>
      <c r="AE47" s="8">
        <v>50909.29264429555</v>
      </c>
      <c r="AF47" s="8">
        <v>50883.00594936858</v>
      </c>
      <c r="AG47" s="8">
        <v>50856.67550598935</v>
      </c>
      <c r="AH47" s="8">
        <v>50830.30187006092</v>
      </c>
      <c r="AI47" s="8">
        <v>50803.88559807517</v>
      </c>
      <c r="AJ47" s="8">
        <v>50777.42724707907</v>
      </c>
      <c r="AK47" s="8">
        <v>50750.92737464129</v>
      </c>
      <c r="AL47" s="8">
        <v>50724.38653881892</v>
      </c>
      <c r="AM47" s="8">
        <v>50697.80529812417</v>
      </c>
      <c r="AN47" s="8">
        <v>50671.18421149129</v>
      </c>
      <c r="AO47" s="8">
        <v>50644.52383824337</v>
      </c>
      <c r="AP47" s="8">
        <v>50617.82473805948</v>
      </c>
      <c r="AQ47" s="8">
        <v>50591.08747094187</v>
      </c>
      <c r="AR47" s="8">
        <v>50564.31259718302</v>
      </c>
      <c r="AS47" s="8">
        <v>50537.50067733319</v>
      </c>
      <c r="AT47" s="8">
        <v>50510.65227216787</v>
      </c>
    </row>
    <row r="48" spans="1:46">
      <c r="A48" s="7">
        <v>37.5</v>
      </c>
      <c r="B48" s="8">
        <v>51704.29308492944</v>
      </c>
      <c r="C48" s="8">
        <v>51679.52776209881</v>
      </c>
      <c r="D48" s="8">
        <v>51654.70302066142</v>
      </c>
      <c r="E48" s="8">
        <v>51629.81938379064</v>
      </c>
      <c r="F48" s="8">
        <v>51604.87737622602</v>
      </c>
      <c r="G48" s="8">
        <v>51579.87752424004</v>
      </c>
      <c r="H48" s="8">
        <v>51554.8203556046</v>
      </c>
      <c r="I48" s="8">
        <v>51529.70639955735</v>
      </c>
      <c r="J48" s="8">
        <v>51504.53618676816</v>
      </c>
      <c r="K48" s="8">
        <v>51479.31024930544</v>
      </c>
      <c r="L48" s="8">
        <v>51454.02912060247</v>
      </c>
      <c r="M48" s="8">
        <v>51428.69333542349</v>
      </c>
      <c r="N48" s="8">
        <v>51403.30342983006</v>
      </c>
      <c r="O48" s="8">
        <v>51377.85994114721</v>
      </c>
      <c r="P48" s="8">
        <v>51352.36340792949</v>
      </c>
      <c r="Q48" s="8">
        <v>51326.81436992723</v>
      </c>
      <c r="R48" s="8">
        <v>51301.21336805252</v>
      </c>
      <c r="S48" s="8">
        <v>51275.56094434544</v>
      </c>
      <c r="T48" s="8">
        <v>51249.85764194</v>
      </c>
      <c r="U48" s="8">
        <v>51224.10400503041</v>
      </c>
      <c r="V48" s="8">
        <v>51198.30057883704</v>
      </c>
      <c r="W48" s="8">
        <v>51172.44790957253</v>
      </c>
      <c r="X48" s="8">
        <v>51146.54654440799</v>
      </c>
      <c r="Y48" s="8">
        <v>51120.59703143905</v>
      </c>
      <c r="Z48" s="8">
        <v>51094.59991965207</v>
      </c>
      <c r="AA48" s="8">
        <v>51068.5557588904</v>
      </c>
      <c r="AB48" s="8">
        <v>51042.46509982037</v>
      </c>
      <c r="AC48" s="8">
        <v>51016.32849389774</v>
      </c>
      <c r="AD48" s="8">
        <v>50990.14649333407</v>
      </c>
      <c r="AE48" s="8">
        <v>50963.9196510628</v>
      </c>
      <c r="AF48" s="8">
        <v>50937.64852070592</v>
      </c>
      <c r="AG48" s="8">
        <v>50911.33365654032</v>
      </c>
      <c r="AH48" s="8">
        <v>50884.97561346421</v>
      </c>
      <c r="AI48" s="8">
        <v>50858.57494696395</v>
      </c>
      <c r="AJ48" s="8">
        <v>50832.13221308048</v>
      </c>
      <c r="AK48" s="8">
        <v>50805.64796837622</v>
      </c>
      <c r="AL48" s="8">
        <v>50779.12276990183</v>
      </c>
      <c r="AM48" s="8">
        <v>50752.55717516301</v>
      </c>
      <c r="AN48" s="8">
        <v>50725.95174208767</v>
      </c>
      <c r="AO48" s="8">
        <v>50699.30702899295</v>
      </c>
      <c r="AP48" s="8">
        <v>50672.62359455231</v>
      </c>
      <c r="AQ48" s="8">
        <v>50645.90199776304</v>
      </c>
      <c r="AR48" s="8">
        <v>50619.14279791332</v>
      </c>
      <c r="AS48" s="8">
        <v>50592.34655455009</v>
      </c>
      <c r="AT48" s="8">
        <v>50565.5138274465</v>
      </c>
    </row>
    <row r="49" spans="1:46">
      <c r="A49" s="7">
        <v>37.6</v>
      </c>
      <c r="B49" s="8">
        <v>51758.3991534794</v>
      </c>
      <c r="C49" s="8">
        <v>51733.6489856465</v>
      </c>
      <c r="D49" s="8">
        <v>51708.83944344073</v>
      </c>
      <c r="E49" s="8">
        <v>51683.9710491107</v>
      </c>
      <c r="F49" s="8">
        <v>51659.04432646577</v>
      </c>
      <c r="G49" s="8">
        <v>51634.05980084299</v>
      </c>
      <c r="H49" s="8">
        <v>51609.01799907371</v>
      </c>
      <c r="I49" s="8">
        <v>51583.91944945018</v>
      </c>
      <c r="J49" s="8">
        <v>51558.76468169208</v>
      </c>
      <c r="K49" s="8">
        <v>51533.55422691313</v>
      </c>
      <c r="L49" s="8">
        <v>51508.28861758728</v>
      </c>
      <c r="M49" s="8">
        <v>51482.96838751542</v>
      </c>
      <c r="N49" s="8">
        <v>51457.59407179166</v>
      </c>
      <c r="O49" s="8">
        <v>51432.16620676954</v>
      </c>
      <c r="P49" s="8">
        <v>51406.68533002842</v>
      </c>
      <c r="Q49" s="8">
        <v>51381.15198033992</v>
      </c>
      <c r="R49" s="8">
        <v>51355.56669763395</v>
      </c>
      <c r="S49" s="8">
        <v>51329.93002296517</v>
      </c>
      <c r="T49" s="8">
        <v>51304.24249847906</v>
      </c>
      <c r="U49" s="8">
        <v>51278.50466737836</v>
      </c>
      <c r="V49" s="8">
        <v>51252.71707388934</v>
      </c>
      <c r="W49" s="8">
        <v>51226.88026322779</v>
      </c>
      <c r="X49" s="8">
        <v>51200.99478156561</v>
      </c>
      <c r="Y49" s="8">
        <v>51175.06117599701</v>
      </c>
      <c r="Z49" s="8">
        <v>51149.07999450475</v>
      </c>
      <c r="AA49" s="8">
        <v>51123.05178592659</v>
      </c>
      <c r="AB49" s="8">
        <v>51096.97709992164</v>
      </c>
      <c r="AC49" s="8">
        <v>51070.85648693674</v>
      </c>
      <c r="AD49" s="8">
        <v>51044.690498173</v>
      </c>
      <c r="AE49" s="8">
        <v>51018.47968555235</v>
      </c>
      <c r="AF49" s="8">
        <v>50992.22460168381</v>
      </c>
      <c r="AG49" s="8">
        <v>50965.9257998305</v>
      </c>
      <c r="AH49" s="8">
        <v>50939.58383387614</v>
      </c>
      <c r="AI49" s="8">
        <v>50913.19925829166</v>
      </c>
      <c r="AJ49" s="8">
        <v>50886.77262810231</v>
      </c>
      <c r="AK49" s="8">
        <v>50860.30449885435</v>
      </c>
      <c r="AL49" s="8">
        <v>50833.79542658202</v>
      </c>
      <c r="AM49" s="8">
        <v>50807.24596777467</v>
      </c>
      <c r="AN49" s="8">
        <v>50780.65667934393</v>
      </c>
      <c r="AO49" s="8">
        <v>50754.02811859086</v>
      </c>
      <c r="AP49" s="8">
        <v>50727.36084317332</v>
      </c>
      <c r="AQ49" s="8">
        <v>50700.6554110734</v>
      </c>
      <c r="AR49" s="8">
        <v>50673.91238056502</v>
      </c>
      <c r="AS49" s="8">
        <v>50647.13231018146</v>
      </c>
      <c r="AT49" s="8">
        <v>50620.31575868338</v>
      </c>
    </row>
    <row r="50" spans="1:46">
      <c r="A50" s="7">
        <v>37.7</v>
      </c>
      <c r="B50" s="8">
        <v>51812.4236119303</v>
      </c>
      <c r="C50" s="8">
        <v>51787.689041992</v>
      </c>
      <c r="D50" s="8">
        <v>51762.89514335354</v>
      </c>
      <c r="E50" s="8">
        <v>51738.04243733038</v>
      </c>
      <c r="F50" s="8">
        <v>51713.13144679347</v>
      </c>
      <c r="G50" s="8">
        <v>51688.16269613607</v>
      </c>
      <c r="H50" s="8">
        <v>51663.13671124056</v>
      </c>
      <c r="I50" s="8">
        <v>51638.05401944533</v>
      </c>
      <c r="J50" s="8">
        <v>51612.91514951144</v>
      </c>
      <c r="K50" s="8">
        <v>51587.72063158915</v>
      </c>
      <c r="L50" s="8">
        <v>51562.47099718484</v>
      </c>
      <c r="M50" s="8">
        <v>51537.1667791272</v>
      </c>
      <c r="N50" s="8">
        <v>51511.80851153418</v>
      </c>
      <c r="O50" s="8">
        <v>51486.39672977913</v>
      </c>
      <c r="P50" s="8">
        <v>51460.93197045758</v>
      </c>
      <c r="Q50" s="8">
        <v>51435.41477135343</v>
      </c>
      <c r="R50" s="8">
        <v>51409.84567140559</v>
      </c>
      <c r="S50" s="8">
        <v>51384.22521067433</v>
      </c>
      <c r="T50" s="8">
        <v>51358.55393030773</v>
      </c>
      <c r="U50" s="8">
        <v>51332.83237250806</v>
      </c>
      <c r="V50" s="8">
        <v>51307.06108049827</v>
      </c>
      <c r="W50" s="8">
        <v>51281.24059848832</v>
      </c>
      <c r="X50" s="8">
        <v>51255.37147164174</v>
      </c>
      <c r="Y50" s="8">
        <v>51229.45424604204</v>
      </c>
      <c r="Z50" s="8">
        <v>51203.48946865913</v>
      </c>
      <c r="AA50" s="8">
        <v>51177.47768731604</v>
      </c>
      <c r="AB50" s="8">
        <v>51151.41945065516</v>
      </c>
      <c r="AC50" s="8">
        <v>51125.31530810508</v>
      </c>
      <c r="AD50" s="8">
        <v>51099.16580984711</v>
      </c>
      <c r="AE50" s="8">
        <v>51072.97150678191</v>
      </c>
      <c r="AF50" s="8">
        <v>51046.73295049635</v>
      </c>
      <c r="AG50" s="8">
        <v>51020.45069323011</v>
      </c>
      <c r="AH50" s="8">
        <v>50994.12528784259</v>
      </c>
      <c r="AI50" s="8">
        <v>50967.75728777998</v>
      </c>
      <c r="AJ50" s="8">
        <v>50941.34724704194</v>
      </c>
      <c r="AK50" s="8">
        <v>50914.89572014882</v>
      </c>
      <c r="AL50" s="8">
        <v>50888.40326210871</v>
      </c>
      <c r="AM50" s="8">
        <v>50861.87042838481</v>
      </c>
      <c r="AN50" s="8">
        <v>50835.29777486252</v>
      </c>
      <c r="AO50" s="8">
        <v>50808.68585781692</v>
      </c>
      <c r="AP50" s="8">
        <v>50782.03523388026</v>
      </c>
      <c r="AQ50" s="8">
        <v>50755.34646000955</v>
      </c>
      <c r="AR50" s="8">
        <v>50728.62009345433</v>
      </c>
      <c r="AS50" s="8">
        <v>50701.85669172413</v>
      </c>
      <c r="AT50" s="8">
        <v>50675.05681255694</v>
      </c>
    </row>
    <row r="51" spans="1:46">
      <c r="A51" s="7">
        <v>37.8</v>
      </c>
      <c r="B51" s="8">
        <v>51866.36524963222</v>
      </c>
      <c r="C51" s="8">
        <v>51841.64671970201</v>
      </c>
      <c r="D51" s="8">
        <v>51816.86890817955</v>
      </c>
      <c r="E51" s="8">
        <v>51792.03233543911</v>
      </c>
      <c r="F51" s="8">
        <v>51767.13752340498</v>
      </c>
      <c r="G51" s="8">
        <v>51742.18499551827</v>
      </c>
      <c r="H51" s="8">
        <v>51717.17527670433</v>
      </c>
      <c r="I51" s="8">
        <v>51692.1088933391</v>
      </c>
      <c r="J51" s="8">
        <v>51666.98637321674</v>
      </c>
      <c r="K51" s="8">
        <v>51641.80824551566</v>
      </c>
      <c r="L51" s="8">
        <v>51616.57504076605</v>
      </c>
      <c r="M51" s="8">
        <v>51591.28729081596</v>
      </c>
      <c r="N51" s="8">
        <v>51565.94552879857</v>
      </c>
      <c r="O51" s="8">
        <v>51540.55028909849</v>
      </c>
      <c r="P51" s="8">
        <v>51515.10210731847</v>
      </c>
      <c r="Q51" s="8">
        <v>51489.60152024626</v>
      </c>
      <c r="R51" s="8">
        <v>51464.04906582088</v>
      </c>
      <c r="S51" s="8">
        <v>51438.44528309949</v>
      </c>
      <c r="T51" s="8">
        <v>51412.79071222372</v>
      </c>
      <c r="U51" s="8">
        <v>51387.08589438659</v>
      </c>
      <c r="V51" s="8">
        <v>51361.33137179875</v>
      </c>
      <c r="W51" s="8">
        <v>51335.52768765535</v>
      </c>
      <c r="X51" s="8">
        <v>51309.67538610246</v>
      </c>
      <c r="Y51" s="8">
        <v>51283.77501220381</v>
      </c>
      <c r="Z51" s="8">
        <v>51257.82711190741</v>
      </c>
      <c r="AA51" s="8">
        <v>51231.83223201214</v>
      </c>
      <c r="AB51" s="8">
        <v>51205.79092013465</v>
      </c>
      <c r="AC51" s="8">
        <v>51179.7037246759</v>
      </c>
      <c r="AD51" s="8">
        <v>51153.57119478807</v>
      </c>
      <c r="AE51" s="8">
        <v>51127.39388034133</v>
      </c>
      <c r="AF51" s="8">
        <v>51101.17233189079</v>
      </c>
      <c r="AG51" s="8">
        <v>51074.90710064334</v>
      </c>
      <c r="AH51" s="8">
        <v>51048.5987384247</v>
      </c>
      <c r="AI51" s="8">
        <v>51022.24779764638</v>
      </c>
      <c r="AJ51" s="8">
        <v>50995.85483127313</v>
      </c>
      <c r="AK51" s="8">
        <v>50969.42039278971</v>
      </c>
      <c r="AL51" s="8">
        <v>50942.94503616844</v>
      </c>
      <c r="AM51" s="8">
        <v>50916.42931583649</v>
      </c>
      <c r="AN51" s="8">
        <v>50889.87378664337</v>
      </c>
      <c r="AO51" s="8">
        <v>50863.27900382835</v>
      </c>
      <c r="AP51" s="8">
        <v>50836.6455229883</v>
      </c>
      <c r="AQ51" s="8">
        <v>50809.97390004514</v>
      </c>
      <c r="AR51" s="8">
        <v>50783.26469121404</v>
      </c>
      <c r="AS51" s="8">
        <v>50756.51845297098</v>
      </c>
      <c r="AT51" s="8">
        <v>50729.73574202114</v>
      </c>
    </row>
    <row r="52" spans="1:46">
      <c r="A52" s="7">
        <v>37.9</v>
      </c>
      <c r="B52" s="8">
        <v>51920.22286297464</v>
      </c>
      <c r="C52" s="8">
        <v>51895.5208143674</v>
      </c>
      <c r="D52" s="8">
        <v>51870.75953270745</v>
      </c>
      <c r="E52" s="8">
        <v>51845.9395374199</v>
      </c>
      <c r="F52" s="8">
        <v>51821.0613494741</v>
      </c>
      <c r="G52" s="8">
        <v>51796.12549135115</v>
      </c>
      <c r="H52" s="8">
        <v>51771.13248701079</v>
      </c>
      <c r="I52" s="8">
        <v>51746.08286185865</v>
      </c>
      <c r="J52" s="8">
        <v>51720.97714271335</v>
      </c>
      <c r="K52" s="8">
        <v>51695.81585777341</v>
      </c>
      <c r="L52" s="8">
        <v>51670.59953658419</v>
      </c>
      <c r="M52" s="8">
        <v>51645.32871000487</v>
      </c>
      <c r="N52" s="8">
        <v>51620.00391017523</v>
      </c>
      <c r="O52" s="8">
        <v>51594.62567048267</v>
      </c>
      <c r="P52" s="8">
        <v>51569.19452552874</v>
      </c>
      <c r="Q52" s="8">
        <v>51543.71101109614</v>
      </c>
      <c r="R52" s="8">
        <v>51518.17566411557</v>
      </c>
      <c r="S52" s="8">
        <v>51492.58902263218</v>
      </c>
      <c r="T52" s="8">
        <v>51466.95162577261</v>
      </c>
      <c r="U52" s="8">
        <v>51441.2640137116</v>
      </c>
      <c r="V52" s="8">
        <v>51415.52672763884</v>
      </c>
      <c r="W52" s="8">
        <v>51389.74030972559</v>
      </c>
      <c r="X52" s="8">
        <v>51363.90530309163</v>
      </c>
      <c r="Y52" s="8">
        <v>51338.02225177192</v>
      </c>
      <c r="Z52" s="8">
        <v>51312.0917006834</v>
      </c>
      <c r="AA52" s="8">
        <v>51286.11419559199</v>
      </c>
      <c r="AB52" s="8">
        <v>51260.09028307926</v>
      </c>
      <c r="AC52" s="8">
        <v>51234.02051050949</v>
      </c>
      <c r="AD52" s="8">
        <v>51207.90542599645</v>
      </c>
      <c r="AE52" s="8">
        <v>51181.74557837054</v>
      </c>
      <c r="AF52" s="8">
        <v>51155.54151714582</v>
      </c>
      <c r="AG52" s="8">
        <v>51129.29379248698</v>
      </c>
      <c r="AH52" s="8">
        <v>51103.00295517669</v>
      </c>
      <c r="AI52" s="8">
        <v>51076.66955658256</v>
      </c>
      <c r="AJ52" s="8">
        <v>51050.29414862463</v>
      </c>
      <c r="AK52" s="8">
        <v>51023.87728374274</v>
      </c>
      <c r="AL52" s="8">
        <v>50997.41951486377</v>
      </c>
      <c r="AM52" s="8">
        <v>50970.92139536933</v>
      </c>
      <c r="AN52" s="8">
        <v>50944.38347906325</v>
      </c>
      <c r="AO52" s="8">
        <v>50917.80632013944</v>
      </c>
      <c r="AP52" s="8">
        <v>50891.19047314946</v>
      </c>
      <c r="AQ52" s="8">
        <v>50864.5364929706</v>
      </c>
      <c r="AR52" s="8">
        <v>50837.8449347736</v>
      </c>
      <c r="AS52" s="8">
        <v>50811.11635399114</v>
      </c>
      <c r="AT52" s="8">
        <v>50784.35130628562</v>
      </c>
    </row>
    <row r="53" spans="1:46">
      <c r="A53" s="7">
        <v>38</v>
      </c>
      <c r="B53" s="8">
        <v>51973.99525536082</v>
      </c>
      <c r="C53" s="8">
        <v>51949.31012857784</v>
      </c>
      <c r="D53" s="8">
        <v>51924.56581870966</v>
      </c>
      <c r="E53" s="8">
        <v>51899.7628442241</v>
      </c>
      <c r="F53" s="8">
        <v>51874.90172512786</v>
      </c>
      <c r="G53" s="8">
        <v>51849.98298293361</v>
      </c>
      <c r="H53" s="8">
        <v>51825.00714062771</v>
      </c>
      <c r="I53" s="8">
        <v>51799.97472263713</v>
      </c>
      <c r="J53" s="8">
        <v>51774.88625479693</v>
      </c>
      <c r="K53" s="8">
        <v>51749.74226431732</v>
      </c>
      <c r="L53" s="8">
        <v>51724.54327975075</v>
      </c>
      <c r="M53" s="8">
        <v>51699.28983095901</v>
      </c>
      <c r="N53" s="8">
        <v>51673.98244908026</v>
      </c>
      <c r="O53" s="8">
        <v>51648.62166649615</v>
      </c>
      <c r="P53" s="8">
        <v>51623.20801679856</v>
      </c>
      <c r="Q53" s="8">
        <v>51597.74203475682</v>
      </c>
      <c r="R53" s="8">
        <v>51572.22425628445</v>
      </c>
      <c r="S53" s="8">
        <v>51546.65521840621</v>
      </c>
      <c r="T53" s="8">
        <v>51521.03545922493</v>
      </c>
      <c r="U53" s="8">
        <v>51495.36551788857</v>
      </c>
      <c r="V53" s="8">
        <v>51469.64593455692</v>
      </c>
      <c r="W53" s="8">
        <v>51443.87725036873</v>
      </c>
      <c r="X53" s="8">
        <v>51418.06000740853</v>
      </c>
      <c r="Y53" s="8">
        <v>51392.19474867368</v>
      </c>
      <c r="Z53" s="8">
        <v>51366.28201804115</v>
      </c>
      <c r="AA53" s="8">
        <v>51340.32236023484</v>
      </c>
      <c r="AB53" s="8">
        <v>51314.3163207923</v>
      </c>
      <c r="AC53" s="8">
        <v>51288.26444603188</v>
      </c>
      <c r="AD53" s="8">
        <v>51262.16728302008</v>
      </c>
      <c r="AE53" s="8">
        <v>51236.0253795383</v>
      </c>
      <c r="AF53" s="8">
        <v>51209.83928405033</v>
      </c>
      <c r="AG53" s="8">
        <v>51183.60954566946</v>
      </c>
      <c r="AH53" s="8">
        <v>51157.3367141259</v>
      </c>
      <c r="AI53" s="8">
        <v>51131.02133973409</v>
      </c>
      <c r="AJ53" s="8">
        <v>51104.6639733601</v>
      </c>
      <c r="AK53" s="8">
        <v>51078.26516638924</v>
      </c>
      <c r="AL53" s="8">
        <v>51051.82547069364</v>
      </c>
      <c r="AM53" s="8">
        <v>51025.34543859967</v>
      </c>
      <c r="AN53" s="8">
        <v>50998.82562285616</v>
      </c>
      <c r="AO53" s="8">
        <v>50972.26657660187</v>
      </c>
      <c r="AP53" s="8">
        <v>50945.66885333355</v>
      </c>
      <c r="AQ53" s="8">
        <v>50919.03300687394</v>
      </c>
      <c r="AR53" s="8">
        <v>50892.35959133996</v>
      </c>
      <c r="AS53" s="8">
        <v>50865.64916111094</v>
      </c>
      <c r="AT53" s="8">
        <v>50838.90227079694</v>
      </c>
    </row>
    <row r="54" spans="1:46">
      <c r="A54" s="7">
        <v>38.1</v>
      </c>
      <c r="B54" s="8">
        <v>52027.68123718058</v>
      </c>
      <c r="C54" s="8">
        <v>52003.01347189467</v>
      </c>
      <c r="D54" s="8">
        <v>51978.28657491512</v>
      </c>
      <c r="E54" s="8">
        <v>51953.50106374473</v>
      </c>
      <c r="F54" s="8">
        <v>51928.65745741941</v>
      </c>
      <c r="G54" s="8">
        <v>51903.75627647569</v>
      </c>
      <c r="H54" s="8">
        <v>51878.7980429184</v>
      </c>
      <c r="I54" s="8">
        <v>51853.78328018785</v>
      </c>
      <c r="J54" s="8">
        <v>51828.71251312751</v>
      </c>
      <c r="K54" s="8">
        <v>51803.58626795105</v>
      </c>
      <c r="L54" s="8">
        <v>51778.40507220982</v>
      </c>
      <c r="M54" s="8">
        <v>51753.1694547601</v>
      </c>
      <c r="N54" s="8">
        <v>51727.87994573014</v>
      </c>
      <c r="O54" s="8">
        <v>51702.53707648743</v>
      </c>
      <c r="P54" s="8">
        <v>51677.1413796059</v>
      </c>
      <c r="Q54" s="8">
        <v>51651.693388833</v>
      </c>
      <c r="R54" s="8">
        <v>51626.19363905676</v>
      </c>
      <c r="S54" s="8">
        <v>51600.64266627296</v>
      </c>
      <c r="T54" s="8">
        <v>51575.04100755212</v>
      </c>
      <c r="U54" s="8">
        <v>51549.38920100668</v>
      </c>
      <c r="V54" s="8">
        <v>51523.68778575806</v>
      </c>
      <c r="W54" s="8">
        <v>51497.93730190374</v>
      </c>
      <c r="X54" s="8">
        <v>51472.13829048432</v>
      </c>
      <c r="Y54" s="8">
        <v>51446.29129345073</v>
      </c>
      <c r="Z54" s="8">
        <v>51420.39685363117</v>
      </c>
      <c r="AA54" s="8">
        <v>51394.4555146986</v>
      </c>
      <c r="AB54" s="8">
        <v>51368.46782113767</v>
      </c>
      <c r="AC54" s="8">
        <v>51342.43431821204</v>
      </c>
      <c r="AD54" s="8">
        <v>51316.35555193163</v>
      </c>
      <c r="AE54" s="8">
        <v>51290.23206901987</v>
      </c>
      <c r="AF54" s="8">
        <v>51264.06441688129</v>
      </c>
      <c r="AG54" s="8">
        <v>51237.85314356857</v>
      </c>
      <c r="AH54" s="8">
        <v>51211.59879775038</v>
      </c>
      <c r="AI54" s="8">
        <v>51185.30192867864</v>
      </c>
      <c r="AJ54" s="8">
        <v>51158.96308615617</v>
      </c>
      <c r="AK54" s="8">
        <v>51132.58282050459</v>
      </c>
      <c r="AL54" s="8">
        <v>51106.16168253167</v>
      </c>
      <c r="AM54" s="8">
        <v>51079.70022349944</v>
      </c>
      <c r="AN54" s="8">
        <v>51053.19899509211</v>
      </c>
      <c r="AO54" s="8">
        <v>51026.65854938378</v>
      </c>
      <c r="AP54" s="8">
        <v>51000.07943880693</v>
      </c>
      <c r="AQ54" s="8">
        <v>50973.46221612021</v>
      </c>
      <c r="AR54" s="8">
        <v>50946.80743437703</v>
      </c>
      <c r="AS54" s="8">
        <v>50920.11564689371</v>
      </c>
      <c r="AT54" s="8">
        <v>50893.38740721829</v>
      </c>
    </row>
    <row r="55" spans="1:46">
      <c r="A55" s="7">
        <v>38.2</v>
      </c>
      <c r="B55" s="8">
        <v>52081.27962578373</v>
      </c>
      <c r="C55" s="8">
        <v>52056.62966082458</v>
      </c>
      <c r="D55" s="8">
        <v>52031.92061698347</v>
      </c>
      <c r="E55" s="8">
        <v>52007.15301079038</v>
      </c>
      <c r="F55" s="8">
        <v>51982.32736030265</v>
      </c>
      <c r="G55" s="8">
        <v>51957.44418507287</v>
      </c>
      <c r="H55" s="8">
        <v>51932.50400611638</v>
      </c>
      <c r="I55" s="8">
        <v>51907.50734587893</v>
      </c>
      <c r="J55" s="8">
        <v>51882.45472820433</v>
      </c>
      <c r="K55" s="8">
        <v>51857.34667830176</v>
      </c>
      <c r="L55" s="8">
        <v>51832.18372271345</v>
      </c>
      <c r="M55" s="8">
        <v>51806.9663892819</v>
      </c>
      <c r="N55" s="8">
        <v>51781.69520711728</v>
      </c>
      <c r="O55" s="8">
        <v>51756.37070656482</v>
      </c>
      <c r="P55" s="8">
        <v>51730.99341917224</v>
      </c>
      <c r="Q55" s="8">
        <v>51705.56387765668</v>
      </c>
      <c r="R55" s="8">
        <v>51680.08261587246</v>
      </c>
      <c r="S55" s="8">
        <v>51654.55016877787</v>
      </c>
      <c r="T55" s="8">
        <v>51628.96707240277</v>
      </c>
      <c r="U55" s="8">
        <v>51603.33386381558</v>
      </c>
      <c r="V55" s="8">
        <v>51577.65108109078</v>
      </c>
      <c r="W55" s="8">
        <v>51551.91926327598</v>
      </c>
      <c r="X55" s="8">
        <v>51526.13895035924</v>
      </c>
      <c r="Y55" s="8">
        <v>51500.31068323636</v>
      </c>
      <c r="Z55" s="8">
        <v>51474.43500367813</v>
      </c>
      <c r="AA55" s="8">
        <v>51448.51245429784</v>
      </c>
      <c r="AB55" s="8">
        <v>51422.54357851839</v>
      </c>
      <c r="AC55" s="8">
        <v>51396.52892053974</v>
      </c>
      <c r="AD55" s="8">
        <v>51370.46902530654</v>
      </c>
      <c r="AE55" s="8">
        <v>51344.36443847529</v>
      </c>
      <c r="AF55" s="8">
        <v>51318.21570638217</v>
      </c>
      <c r="AG55" s="8">
        <v>51292.02337601034</v>
      </c>
      <c r="AH55" s="8">
        <v>51265.78799495768</v>
      </c>
      <c r="AI55" s="8">
        <v>51239.51011140463</v>
      </c>
      <c r="AJ55" s="8">
        <v>51213.19027408164</v>
      </c>
      <c r="AK55" s="8">
        <v>51186.82903223723</v>
      </c>
      <c r="AL55" s="8">
        <v>51160.42693560576</v>
      </c>
      <c r="AM55" s="8">
        <v>51133.98453437555</v>
      </c>
      <c r="AN55" s="8">
        <v>51107.50237915676</v>
      </c>
      <c r="AO55" s="8">
        <v>51080.98102094964</v>
      </c>
      <c r="AP55" s="8">
        <v>51054.42101111282</v>
      </c>
      <c r="AQ55" s="8">
        <v>51027.82290133145</v>
      </c>
      <c r="AR55" s="8">
        <v>51001.18724358588</v>
      </c>
      <c r="AS55" s="8">
        <v>50974.51459012004</v>
      </c>
      <c r="AT55" s="8">
        <v>50947.80549341007</v>
      </c>
    </row>
    <row r="56" spans="1:46">
      <c r="A56" s="7">
        <v>38.3</v>
      </c>
      <c r="B56" s="8">
        <v>52134.7892454528</v>
      </c>
      <c r="C56" s="8">
        <v>52110.15751879248</v>
      </c>
      <c r="D56" s="8">
        <v>52085.46676747789</v>
      </c>
      <c r="E56" s="8">
        <v>52060.71750705853</v>
      </c>
      <c r="F56" s="8">
        <v>52035.91025460551</v>
      </c>
      <c r="G56" s="8">
        <v>52011.04552867965</v>
      </c>
      <c r="H56" s="8">
        <v>51986.12384929903</v>
      </c>
      <c r="I56" s="8">
        <v>51961.14573790705</v>
      </c>
      <c r="J56" s="8">
        <v>51936.11171733994</v>
      </c>
      <c r="K56" s="8">
        <v>51911.02231179448</v>
      </c>
      <c r="L56" s="8">
        <v>51885.87804679576</v>
      </c>
      <c r="M56" s="8">
        <v>51860.67944916448</v>
      </c>
      <c r="N56" s="8">
        <v>51835.42704698473</v>
      </c>
      <c r="O56" s="8">
        <v>51810.1213695714</v>
      </c>
      <c r="P56" s="8">
        <v>51784.76294743762</v>
      </c>
      <c r="Q56" s="8">
        <v>51759.35231226225</v>
      </c>
      <c r="R56" s="8">
        <v>51733.88999685751</v>
      </c>
      <c r="S56" s="8">
        <v>51708.37653513602</v>
      </c>
      <c r="T56" s="8">
        <v>51682.81246207849</v>
      </c>
      <c r="U56" s="8">
        <v>51657.19831370112</v>
      </c>
      <c r="V56" s="8">
        <v>51631.53462702289</v>
      </c>
      <c r="W56" s="8">
        <v>51605.8219400331</v>
      </c>
      <c r="X56" s="8">
        <v>51580.06079165874</v>
      </c>
      <c r="Y56" s="8">
        <v>51554.25172173201</v>
      </c>
      <c r="Z56" s="8">
        <v>51528.39527095759</v>
      </c>
      <c r="AA56" s="8">
        <v>51502.49198088035</v>
      </c>
      <c r="AB56" s="8">
        <v>51476.54239385289</v>
      </c>
      <c r="AC56" s="8">
        <v>51450.54705300269</v>
      </c>
      <c r="AD56" s="8">
        <v>51424.50650220034</v>
      </c>
      <c r="AE56" s="8">
        <v>51398.42128602659</v>
      </c>
      <c r="AF56" s="8">
        <v>51372.29194974035</v>
      </c>
      <c r="AG56" s="8">
        <v>51346.1190392463</v>
      </c>
      <c r="AH56" s="8">
        <v>51319.90310106279</v>
      </c>
      <c r="AI56" s="8">
        <v>51293.64468228944</v>
      </c>
      <c r="AJ56" s="8">
        <v>51267.34433057546</v>
      </c>
      <c r="AK56" s="8">
        <v>51241.00259408719</v>
      </c>
      <c r="AL56" s="8">
        <v>51214.6200214764</v>
      </c>
      <c r="AM56" s="8">
        <v>51188.19716184847</v>
      </c>
      <c r="AN56" s="8">
        <v>51161.73456473033</v>
      </c>
      <c r="AO56" s="8">
        <v>51135.23278003908</v>
      </c>
      <c r="AP56" s="8">
        <v>51108.69235805019</v>
      </c>
      <c r="AQ56" s="8">
        <v>51082.113849366</v>
      </c>
      <c r="AR56" s="8">
        <v>51055.49780488436</v>
      </c>
      <c r="AS56" s="8">
        <v>51028.84477576724</v>
      </c>
      <c r="AT56" s="8">
        <v>51002.15531340966</v>
      </c>
    </row>
    <row r="57" spans="1:46">
      <c r="A57" s="7">
        <v>38.4</v>
      </c>
      <c r="B57" s="8">
        <v>52188.20892737569</v>
      </c>
      <c r="C57" s="8">
        <v>52163.59587611428</v>
      </c>
      <c r="D57" s="8">
        <v>52138.92385583812</v>
      </c>
      <c r="E57" s="8">
        <v>52114.19338110861</v>
      </c>
      <c r="F57" s="8">
        <v>52089.40496800312</v>
      </c>
      <c r="G57" s="8">
        <v>52064.55913408292</v>
      </c>
      <c r="H57" s="8">
        <v>52039.65639836131</v>
      </c>
      <c r="I57" s="8">
        <v>52014.69728127138</v>
      </c>
      <c r="J57" s="8">
        <v>51989.68230463417</v>
      </c>
      <c r="K57" s="8">
        <v>51964.61199162619</v>
      </c>
      <c r="L57" s="8">
        <v>51939.48686674739</v>
      </c>
      <c r="M57" s="8">
        <v>51914.30745578899</v>
      </c>
      <c r="N57" s="8">
        <v>51889.07428580082</v>
      </c>
      <c r="O57" s="8">
        <v>51863.78788505946</v>
      </c>
      <c r="P57" s="8">
        <v>51838.44878303555</v>
      </c>
      <c r="Q57" s="8">
        <v>51813.05751036147</v>
      </c>
      <c r="R57" s="8">
        <v>51787.61459879914</v>
      </c>
      <c r="S57" s="8">
        <v>51762.12058120732</v>
      </c>
      <c r="T57" s="8">
        <v>51736.57599150945</v>
      </c>
      <c r="U57" s="8">
        <v>51710.98136466109</v>
      </c>
      <c r="V57" s="8">
        <v>51685.3372366175</v>
      </c>
      <c r="W57" s="8">
        <v>51659.6441443013</v>
      </c>
      <c r="X57" s="8">
        <v>51633.90262556994</v>
      </c>
      <c r="Y57" s="8">
        <v>51608.11321918354</v>
      </c>
      <c r="Z57" s="8">
        <v>51582.2764647722</v>
      </c>
      <c r="AA57" s="8">
        <v>51556.39290280396</v>
      </c>
      <c r="AB57" s="8">
        <v>51530.46307455218</v>
      </c>
      <c r="AC57" s="8">
        <v>51504.48752206365</v>
      </c>
      <c r="AD57" s="8">
        <v>51478.4667881259</v>
      </c>
      <c r="AE57" s="8">
        <v>51452.40141623527</v>
      </c>
      <c r="AF57" s="8">
        <v>51426.29195056474</v>
      </c>
      <c r="AG57" s="8">
        <v>51400.13893593161</v>
      </c>
      <c r="AH57" s="8">
        <v>51373.94291776574</v>
      </c>
      <c r="AI57" s="8">
        <v>51347.70444207734</v>
      </c>
      <c r="AJ57" s="8">
        <v>51321.42405542508</v>
      </c>
      <c r="AK57" s="8">
        <v>51295.10230488428</v>
      </c>
      <c r="AL57" s="8">
        <v>51268.73973801512</v>
      </c>
      <c r="AM57" s="8">
        <v>51242.33690283084</v>
      </c>
      <c r="AN57" s="8">
        <v>51215.89434776619</v>
      </c>
      <c r="AO57" s="8">
        <v>51189.41262164581</v>
      </c>
      <c r="AP57" s="8">
        <v>51162.89227365288</v>
      </c>
      <c r="AQ57" s="8">
        <v>51136.33385329761</v>
      </c>
      <c r="AR57" s="8">
        <v>51109.7379103861</v>
      </c>
      <c r="AS57" s="8">
        <v>51083.10499498908</v>
      </c>
      <c r="AT57" s="8">
        <v>51056.43565741096</v>
      </c>
    </row>
    <row r="58" spans="1:46">
      <c r="A58" s="7">
        <v>38.5</v>
      </c>
      <c r="B58" s="8">
        <v>52241.53750961802</v>
      </c>
      <c r="C58" s="8">
        <v>52216.94356996947</v>
      </c>
      <c r="D58" s="8">
        <v>52192.29071835309</v>
      </c>
      <c r="E58" s="8">
        <v>52167.57946833488</v>
      </c>
      <c r="F58" s="8">
        <v>52142.81033499083</v>
      </c>
      <c r="G58" s="8">
        <v>52117.98383487519</v>
      </c>
      <c r="H58" s="8">
        <v>52093.10048598877</v>
      </c>
      <c r="I58" s="8">
        <v>52068.16080774691</v>
      </c>
      <c r="J58" s="8">
        <v>52043.16532094761</v>
      </c>
      <c r="K58" s="8">
        <v>52018.11454773936</v>
      </c>
      <c r="L58" s="8">
        <v>51993.00901158944</v>
      </c>
      <c r="M58" s="8">
        <v>51967.84923725144</v>
      </c>
      <c r="N58" s="8">
        <v>51942.63575073333</v>
      </c>
      <c r="O58" s="8">
        <v>51917.36907926538</v>
      </c>
      <c r="P58" s="8">
        <v>51892.04975126764</v>
      </c>
      <c r="Q58" s="8">
        <v>51866.67829631825</v>
      </c>
      <c r="R58" s="8">
        <v>51841.25524512063</v>
      </c>
      <c r="S58" s="8">
        <v>51815.78112947176</v>
      </c>
      <c r="T58" s="8">
        <v>51790.25648222952</v>
      </c>
      <c r="U58" s="8">
        <v>51764.68183728067</v>
      </c>
      <c r="V58" s="8">
        <v>51739.0577295086</v>
      </c>
      <c r="W58" s="8">
        <v>51713.38469476088</v>
      </c>
      <c r="X58" s="8">
        <v>51687.66326981729</v>
      </c>
      <c r="Y58" s="8">
        <v>51661.89399235734</v>
      </c>
      <c r="Z58" s="8">
        <v>51636.07740092822</v>
      </c>
      <c r="AA58" s="8">
        <v>51610.21403491266</v>
      </c>
      <c r="AB58" s="8">
        <v>51584.30443449652</v>
      </c>
      <c r="AC58" s="8">
        <v>51558.34914063696</v>
      </c>
      <c r="AD58" s="8">
        <v>51532.34869503013</v>
      </c>
      <c r="AE58" s="8">
        <v>51506.30364007936</v>
      </c>
      <c r="AF58" s="8">
        <v>51480.21451886285</v>
      </c>
      <c r="AG58" s="8">
        <v>51454.08187510201</v>
      </c>
      <c r="AH58" s="8">
        <v>51427.9062531294</v>
      </c>
      <c r="AI58" s="8">
        <v>51401.68819785687</v>
      </c>
      <c r="AJ58" s="8">
        <v>51375.42825474397</v>
      </c>
      <c r="AK58" s="8">
        <v>51349.12696976596</v>
      </c>
      <c r="AL58" s="8">
        <v>51322.7848893825</v>
      </c>
      <c r="AM58" s="8">
        <v>51296.4025605058</v>
      </c>
      <c r="AN58" s="8">
        <v>51269.98053046922</v>
      </c>
      <c r="AO58" s="8">
        <v>51243.51934699614</v>
      </c>
      <c r="AP58" s="8">
        <v>51217.01955816815</v>
      </c>
      <c r="AQ58" s="8">
        <v>51190.48171239431</v>
      </c>
      <c r="AR58" s="8">
        <v>51163.90635837972</v>
      </c>
      <c r="AS58" s="8">
        <v>51137.29404509464</v>
      </c>
      <c r="AT58" s="8">
        <v>51110.64532174358</v>
      </c>
    </row>
    <row r="59" spans="1:46">
      <c r="A59" s="7">
        <v>38.6</v>
      </c>
      <c r="B59" s="8">
        <v>52294.77383709541</v>
      </c>
      <c r="C59" s="8">
        <v>52270.19944437344</v>
      </c>
      <c r="D59" s="8">
        <v>52245.56619813366</v>
      </c>
      <c r="E59" s="8">
        <v>52220.87461093919</v>
      </c>
      <c r="F59" s="8">
        <v>52196.12519685725</v>
      </c>
      <c r="G59" s="8">
        <v>52171.31847142767</v>
      </c>
      <c r="H59" s="8">
        <v>52146.45495163132</v>
      </c>
      <c r="I59" s="8">
        <v>52121.5351558581</v>
      </c>
      <c r="J59" s="8">
        <v>52096.55960387546</v>
      </c>
      <c r="K59" s="8">
        <v>52071.52881679634</v>
      </c>
      <c r="L59" s="8">
        <v>52046.44331704746</v>
      </c>
      <c r="M59" s="8">
        <v>52021.30362833726</v>
      </c>
      <c r="N59" s="8">
        <v>51996.11027562402</v>
      </c>
      <c r="O59" s="8">
        <v>51970.86378508378</v>
      </c>
      <c r="P59" s="8">
        <v>51945.56468407845</v>
      </c>
      <c r="Q59" s="8">
        <v>51920.21350112366</v>
      </c>
      <c r="R59" s="8">
        <v>51894.8107658567</v>
      </c>
      <c r="S59" s="8">
        <v>51869.35700900453</v>
      </c>
      <c r="T59" s="8">
        <v>51843.85276235168</v>
      </c>
      <c r="U59" s="8">
        <v>51818.29855870795</v>
      </c>
      <c r="V59" s="8">
        <v>51792.69493187667</v>
      </c>
      <c r="W59" s="8">
        <v>51767.04241662232</v>
      </c>
      <c r="X59" s="8">
        <v>51741.34154863867</v>
      </c>
      <c r="Y59" s="8">
        <v>51715.59286451648</v>
      </c>
      <c r="Z59" s="8">
        <v>51689.79690171176</v>
      </c>
      <c r="AA59" s="8">
        <v>51663.95419851341</v>
      </c>
      <c r="AB59" s="8">
        <v>51638.06529401155</v>
      </c>
      <c r="AC59" s="8">
        <v>51612.13072806527</v>
      </c>
      <c r="AD59" s="8">
        <v>51586.15104127095</v>
      </c>
      <c r="AE59" s="8">
        <v>51560.12677493021</v>
      </c>
      <c r="AF59" s="8">
        <v>51534.05847101809</v>
      </c>
      <c r="AG59" s="8">
        <v>51507.9466721514</v>
      </c>
      <c r="AH59" s="8">
        <v>51481.7919215567</v>
      </c>
      <c r="AI59" s="8">
        <v>51455.59476303899</v>
      </c>
      <c r="AJ59" s="8">
        <v>51429.35574094968</v>
      </c>
      <c r="AK59" s="8">
        <v>51403.07540015545</v>
      </c>
      <c r="AL59" s="8">
        <v>51376.75428600644</v>
      </c>
      <c r="AM59" s="8">
        <v>51350.39294430504</v>
      </c>
      <c r="AN59" s="8">
        <v>51323.99192127447</v>
      </c>
      <c r="AO59" s="8">
        <v>51297.55176352758</v>
      </c>
      <c r="AP59" s="8">
        <v>51271.07301803563</v>
      </c>
      <c r="AQ59" s="8">
        <v>51244.55623209732</v>
      </c>
      <c r="AR59" s="8">
        <v>51218.00195330777</v>
      </c>
      <c r="AS59" s="8">
        <v>51191.41072952763</v>
      </c>
      <c r="AT59" s="8">
        <v>51164.78310885235</v>
      </c>
    </row>
    <row r="62" spans="1:46">
      <c r="A62" s="7" t="s">
        <v>5</v>
      </c>
    </row>
    <row r="63" spans="1:46">
      <c r="B63" s="7">
        <v>125.5</v>
      </c>
      <c r="C63" s="7">
        <v>125.6</v>
      </c>
      <c r="D63" s="7">
        <v>125.7</v>
      </c>
      <c r="E63" s="7">
        <v>125.8</v>
      </c>
      <c r="F63" s="7">
        <v>125.9</v>
      </c>
      <c r="G63" s="7">
        <v>126</v>
      </c>
      <c r="H63" s="7">
        <v>126.1</v>
      </c>
      <c r="I63" s="7">
        <v>126.2</v>
      </c>
      <c r="J63" s="7">
        <v>126.3</v>
      </c>
      <c r="K63" s="7">
        <v>126.4</v>
      </c>
      <c r="L63" s="7">
        <v>126.5</v>
      </c>
      <c r="M63" s="7">
        <v>126.6</v>
      </c>
      <c r="N63" s="7">
        <v>126.7</v>
      </c>
      <c r="O63" s="7">
        <v>126.8</v>
      </c>
      <c r="P63" s="7">
        <v>126.9</v>
      </c>
      <c r="Q63" s="7">
        <v>127</v>
      </c>
      <c r="R63" s="7">
        <v>127.1</v>
      </c>
      <c r="S63" s="7">
        <v>127.2</v>
      </c>
      <c r="T63" s="7">
        <v>127.3</v>
      </c>
      <c r="U63" s="7">
        <v>127.4</v>
      </c>
      <c r="V63" s="7">
        <v>127.5</v>
      </c>
      <c r="W63" s="7">
        <v>127.6</v>
      </c>
      <c r="X63" s="7">
        <v>127.7</v>
      </c>
      <c r="Y63" s="7">
        <v>127.8</v>
      </c>
      <c r="Z63" s="7">
        <v>127.9</v>
      </c>
      <c r="AA63" s="7">
        <v>128</v>
      </c>
      <c r="AB63" s="7">
        <v>128.1</v>
      </c>
      <c r="AC63" s="7">
        <v>128.2</v>
      </c>
      <c r="AD63" s="7">
        <v>128.3</v>
      </c>
      <c r="AE63" s="7">
        <v>128.4</v>
      </c>
      <c r="AF63" s="7">
        <v>128.5</v>
      </c>
      <c r="AG63" s="7">
        <v>128.6</v>
      </c>
      <c r="AH63" s="7">
        <v>128.7</v>
      </c>
      <c r="AI63" s="7">
        <v>128.8</v>
      </c>
      <c r="AJ63" s="7">
        <v>128.9</v>
      </c>
      <c r="AK63" s="7">
        <v>129</v>
      </c>
      <c r="AL63" s="7">
        <v>129.1</v>
      </c>
      <c r="AM63" s="7">
        <v>129.2</v>
      </c>
      <c r="AN63" s="7">
        <v>129.3</v>
      </c>
      <c r="AO63" s="7">
        <v>129.4</v>
      </c>
      <c r="AP63" s="7">
        <v>129.5</v>
      </c>
      <c r="AQ63" s="7">
        <v>129.6</v>
      </c>
      <c r="AR63" s="7">
        <v>129.7</v>
      </c>
      <c r="AS63" s="7">
        <v>129.8</v>
      </c>
      <c r="AT63" s="7">
        <v>129.9</v>
      </c>
    </row>
    <row r="64" spans="1:46">
      <c r="A64" s="7">
        <v>33</v>
      </c>
      <c r="B64" s="8">
        <v>28.24467837938864</v>
      </c>
      <c r="C64" s="8">
        <v>28.23359460096835</v>
      </c>
      <c r="D64" s="8">
        <v>28.22274123179523</v>
      </c>
      <c r="E64" s="8">
        <v>28.21211711350334</v>
      </c>
      <c r="F64" s="8">
        <v>28.20172108023544</v>
      </c>
      <c r="G64" s="8">
        <v>28.1915519586415</v>
      </c>
      <c r="H64" s="8">
        <v>28.18160856783652</v>
      </c>
      <c r="I64" s="8">
        <v>28.17188971942814</v>
      </c>
      <c r="J64" s="8">
        <v>28.16239421749487</v>
      </c>
      <c r="K64" s="8">
        <v>28.15312085855549</v>
      </c>
      <c r="L64" s="8">
        <v>28.14406843159231</v>
      </c>
      <c r="M64" s="8">
        <v>28.13523571800615</v>
      </c>
      <c r="N64" s="8">
        <v>28.12662149161479</v>
      </c>
      <c r="O64" s="8">
        <v>28.11822451864428</v>
      </c>
      <c r="P64" s="8">
        <v>28.11004355771438</v>
      </c>
      <c r="Q64" s="8">
        <v>28.10207735980948</v>
      </c>
      <c r="R64" s="8">
        <v>28.09432466825238</v>
      </c>
      <c r="S64" s="8">
        <v>28.08678421874356</v>
      </c>
      <c r="T64" s="8">
        <v>28.07945473926811</v>
      </c>
      <c r="U64" s="8">
        <v>28.07233495013061</v>
      </c>
      <c r="V64" s="8">
        <v>28.06542356391583</v>
      </c>
      <c r="W64" s="8">
        <v>28.05871928546985</v>
      </c>
      <c r="X64" s="8">
        <v>28.05222081187967</v>
      </c>
      <c r="Y64" s="8">
        <v>28.04592683245573</v>
      </c>
      <c r="Z64" s="8">
        <v>28.03983602871595</v>
      </c>
      <c r="AA64" s="8">
        <v>28.03394707433909</v>
      </c>
      <c r="AB64" s="8">
        <v>28.02825863518956</v>
      </c>
      <c r="AC64" s="8">
        <v>28.02276936923736</v>
      </c>
      <c r="AD64" s="8">
        <v>28.01747792658134</v>
      </c>
      <c r="AE64" s="8">
        <v>28.01238294940704</v>
      </c>
      <c r="AF64" s="8">
        <v>28.00748307195754</v>
      </c>
      <c r="AG64" s="8">
        <v>28.00277692052332</v>
      </c>
      <c r="AH64" s="8">
        <v>27.99826311341603</v>
      </c>
      <c r="AI64" s="8">
        <v>27.99394026092487</v>
      </c>
      <c r="AJ64" s="8">
        <v>27.98980696531944</v>
      </c>
      <c r="AK64" s="8">
        <v>27.98586182080762</v>
      </c>
      <c r="AL64" s="8">
        <v>27.98210341351951</v>
      </c>
      <c r="AM64" s="8">
        <v>27.97853032146668</v>
      </c>
      <c r="AN64" s="8">
        <v>27.97514111453929</v>
      </c>
      <c r="AO64" s="8">
        <v>27.97193435446679</v>
      </c>
      <c r="AP64" s="8">
        <v>27.96890859479172</v>
      </c>
      <c r="AQ64" s="8">
        <v>27.96606238084787</v>
      </c>
      <c r="AR64" s="8">
        <v>27.96339424973121</v>
      </c>
      <c r="AS64" s="8">
        <v>27.96090273029113</v>
      </c>
      <c r="AT64" s="8">
        <v>27.95858634306496</v>
      </c>
    </row>
    <row r="65" spans="1:46">
      <c r="A65" s="7">
        <v>33.1</v>
      </c>
      <c r="B65" s="8">
        <v>28.24913769902196</v>
      </c>
      <c r="C65" s="8">
        <v>28.23830583437812</v>
      </c>
      <c r="D65" s="8">
        <v>28.22770770756761</v>
      </c>
      <c r="E65" s="8">
        <v>28.21734214699973</v>
      </c>
      <c r="F65" s="8">
        <v>28.20720797338436</v>
      </c>
      <c r="G65" s="8">
        <v>28.19730399971741</v>
      </c>
      <c r="H65" s="8">
        <v>28.18762903127645</v>
      </c>
      <c r="I65" s="8">
        <v>28.17818186560762</v>
      </c>
      <c r="J65" s="8">
        <v>28.16896129253291</v>
      </c>
      <c r="K65" s="8">
        <v>28.15996609410504</v>
      </c>
      <c r="L65" s="8">
        <v>28.1511950446511</v>
      </c>
      <c r="M65" s="8">
        <v>28.14264691069839</v>
      </c>
      <c r="N65" s="8">
        <v>28.13432045101799</v>
      </c>
      <c r="O65" s="8">
        <v>28.12621441657247</v>
      </c>
      <c r="P65" s="8">
        <v>28.11832755052601</v>
      </c>
      <c r="Q65" s="8">
        <v>28.11065858822112</v>
      </c>
      <c r="R65" s="8">
        <v>28.10320625715103</v>
      </c>
      <c r="S65" s="8">
        <v>28.09596927697421</v>
      </c>
      <c r="T65" s="8">
        <v>28.08894635946199</v>
      </c>
      <c r="U65" s="8">
        <v>28.0821362085233</v>
      </c>
      <c r="V65" s="8">
        <v>28.07553752013773</v>
      </c>
      <c r="W65" s="8">
        <v>28.06914898237592</v>
      </c>
      <c r="X65" s="8">
        <v>28.06296927536896</v>
      </c>
      <c r="Y65" s="8">
        <v>28.05699707129388</v>
      </c>
      <c r="Z65" s="8">
        <v>28.05123103432561</v>
      </c>
      <c r="AA65" s="8">
        <v>28.04566982066462</v>
      </c>
      <c r="AB65" s="8">
        <v>28.04031207848602</v>
      </c>
      <c r="AC65" s="8">
        <v>28.03515644790896</v>
      </c>
      <c r="AD65" s="8">
        <v>28.03020156100974</v>
      </c>
      <c r="AE65" s="8">
        <v>28.02544604176655</v>
      </c>
      <c r="AF65" s="8">
        <v>28.02088850606378</v>
      </c>
      <c r="AG65" s="8">
        <v>28.01652756164403</v>
      </c>
      <c r="AH65" s="8">
        <v>28.01236180811393</v>
      </c>
      <c r="AI65" s="8">
        <v>28.00838983689318</v>
      </c>
      <c r="AJ65" s="8">
        <v>28.0046102312117</v>
      </c>
      <c r="AK65" s="8">
        <v>28.00102156608482</v>
      </c>
      <c r="AL65" s="8">
        <v>27.99762240826239</v>
      </c>
      <c r="AM65" s="8">
        <v>27.99441131625645</v>
      </c>
      <c r="AN65" s="8">
        <v>27.99138684027275</v>
      </c>
      <c r="AO65" s="8">
        <v>27.98854752219777</v>
      </c>
      <c r="AP65" s="8">
        <v>27.98589189559134</v>
      </c>
      <c r="AQ65" s="8">
        <v>27.98341848564305</v>
      </c>
      <c r="AR65" s="8">
        <v>27.98112580914603</v>
      </c>
      <c r="AS65" s="8">
        <v>27.97901237451879</v>
      </c>
      <c r="AT65" s="8">
        <v>27.97707668169751</v>
      </c>
    </row>
    <row r="66" spans="1:46">
      <c r="A66" s="7">
        <v>33.2</v>
      </c>
      <c r="B66" s="8">
        <v>28.2532903180414</v>
      </c>
      <c r="C66" s="8">
        <v>28.24271097335877</v>
      </c>
      <c r="D66" s="8">
        <v>28.23236868808453</v>
      </c>
      <c r="E66" s="8">
        <v>28.22226227742358</v>
      </c>
      <c r="F66" s="8">
        <v>28.2123905486922</v>
      </c>
      <c r="G66" s="8">
        <v>28.2027523012468</v>
      </c>
      <c r="H66" s="8">
        <v>28.19334632656246</v>
      </c>
      <c r="I66" s="8">
        <v>28.18417140814709</v>
      </c>
      <c r="J66" s="8">
        <v>28.17522632158798</v>
      </c>
      <c r="K66" s="8">
        <v>28.16650983451109</v>
      </c>
      <c r="L66" s="8">
        <v>28.15802070659847</v>
      </c>
      <c r="M66" s="8">
        <v>28.14975768954901</v>
      </c>
      <c r="N66" s="8">
        <v>28.14171952710312</v>
      </c>
      <c r="O66" s="8">
        <v>28.13390495499043</v>
      </c>
      <c r="P66" s="8">
        <v>28.12631270095007</v>
      </c>
      <c r="Q66" s="8">
        <v>28.1189414847031</v>
      </c>
      <c r="R66" s="8">
        <v>28.11179001794371</v>
      </c>
      <c r="S66" s="8">
        <v>28.104857004316</v>
      </c>
      <c r="T66" s="8">
        <v>28.09814113942266</v>
      </c>
      <c r="U66" s="8">
        <v>28.09164111076534</v>
      </c>
      <c r="V66" s="8">
        <v>28.08535559777956</v>
      </c>
      <c r="W66" s="8">
        <v>28.07928327178961</v>
      </c>
      <c r="X66" s="8">
        <v>28.07342279598088</v>
      </c>
      <c r="Y66" s="8">
        <v>28.0677728254188</v>
      </c>
      <c r="Z66" s="8">
        <v>28.06233200699499</v>
      </c>
      <c r="AA66" s="8">
        <v>28.0570989794287</v>
      </c>
      <c r="AB66" s="8">
        <v>28.05207237324939</v>
      </c>
      <c r="AC66" s="8">
        <v>28.04725081075157</v>
      </c>
      <c r="AD66" s="8">
        <v>28.04263290600793</v>
      </c>
      <c r="AE66" s="8">
        <v>28.03821726482856</v>
      </c>
      <c r="AF66" s="8">
        <v>28.03400248474936</v>
      </c>
      <c r="AG66" s="8">
        <v>28.02998715501599</v>
      </c>
      <c r="AH66" s="8">
        <v>28.02616985654313</v>
      </c>
      <c r="AI66" s="8">
        <v>28.02254916190868</v>
      </c>
      <c r="AJ66" s="8">
        <v>28.01912363533047</v>
      </c>
      <c r="AK66" s="8">
        <v>28.01589183264878</v>
      </c>
      <c r="AL66" s="8">
        <v>28.01285230128851</v>
      </c>
      <c r="AM66" s="8">
        <v>28.01000358026504</v>
      </c>
      <c r="AN66" s="8">
        <v>28.00734420012886</v>
      </c>
      <c r="AO66" s="8">
        <v>28.00487268295547</v>
      </c>
      <c r="AP66" s="8">
        <v>28.00258754234819</v>
      </c>
      <c r="AQ66" s="8">
        <v>28.00048728337278</v>
      </c>
      <c r="AR66" s="8">
        <v>27.99857040256611</v>
      </c>
      <c r="AS66" s="8">
        <v>27.99683538790559</v>
      </c>
      <c r="AT66" s="8">
        <v>27.99528071878449</v>
      </c>
    </row>
    <row r="67" spans="1:46">
      <c r="A67" s="7">
        <v>33.3</v>
      </c>
      <c r="B67" s="8">
        <v>28.25714458410221</v>
      </c>
      <c r="C67" s="8">
        <v>28.24681833871582</v>
      </c>
      <c r="D67" s="8">
        <v>28.23673246691178</v>
      </c>
      <c r="E67" s="8">
        <v>28.22688577073131</v>
      </c>
      <c r="F67" s="8">
        <v>28.21727704408841</v>
      </c>
      <c r="G67" s="8">
        <v>28.20790507277852</v>
      </c>
      <c r="H67" s="8">
        <v>28.1987686344466</v>
      </c>
      <c r="I67" s="8">
        <v>28.18986649863073</v>
      </c>
      <c r="J67" s="8">
        <v>28.18119742669223</v>
      </c>
      <c r="K67" s="8">
        <v>28.17276017186378</v>
      </c>
      <c r="L67" s="8">
        <v>28.16455347921728</v>
      </c>
      <c r="M67" s="8">
        <v>28.15657608564652</v>
      </c>
      <c r="N67" s="8">
        <v>28.14882671987725</v>
      </c>
      <c r="O67" s="8">
        <v>28.14130410245998</v>
      </c>
      <c r="P67" s="8">
        <v>28.13400694572192</v>
      </c>
      <c r="Q67" s="8">
        <v>28.12693395379756</v>
      </c>
      <c r="R67" s="8">
        <v>28.12008382260246</v>
      </c>
      <c r="S67" s="8">
        <v>28.1134552398129</v>
      </c>
      <c r="T67" s="8">
        <v>28.10704688486148</v>
      </c>
      <c r="U67" s="8">
        <v>28.10085742890951</v>
      </c>
      <c r="V67" s="8">
        <v>28.0948855348528</v>
      </c>
      <c r="W67" s="8">
        <v>28.08912985729257</v>
      </c>
      <c r="X67" s="8">
        <v>28.08358904252818</v>
      </c>
      <c r="Y67" s="8">
        <v>28.07826172852074</v>
      </c>
      <c r="Z67" s="8">
        <v>28.07314654491056</v>
      </c>
      <c r="AA67" s="8">
        <v>28.06824211296917</v>
      </c>
      <c r="AB67" s="8">
        <v>28.06354704559781</v>
      </c>
      <c r="AC67" s="8">
        <v>28.05905994730856</v>
      </c>
      <c r="AD67" s="8">
        <v>28.05477941419376</v>
      </c>
      <c r="AE67" s="8">
        <v>28.05070403393474</v>
      </c>
      <c r="AF67" s="8">
        <v>28.04683238574362</v>
      </c>
      <c r="AG67" s="8">
        <v>28.0431630403822</v>
      </c>
      <c r="AH67" s="8">
        <v>28.03969456011837</v>
      </c>
      <c r="AI67" s="8">
        <v>28.0364254987202</v>
      </c>
      <c r="AJ67" s="8">
        <v>28.03335440141964</v>
      </c>
      <c r="AK67" s="8">
        <v>28.03047980491101</v>
      </c>
      <c r="AL67" s="8">
        <v>28.02780023732193</v>
      </c>
      <c r="AM67" s="8">
        <v>28.02531421818276</v>
      </c>
      <c r="AN67" s="8">
        <v>28.02302025843674</v>
      </c>
      <c r="AO67" s="8">
        <v>28.02091686038039</v>
      </c>
      <c r="AP67" s="8">
        <v>28.0190025176722</v>
      </c>
      <c r="AQ67" s="8">
        <v>28.01727571530064</v>
      </c>
      <c r="AR67" s="8">
        <v>28.01573492955649</v>
      </c>
      <c r="AS67" s="8">
        <v>28.01437862801831</v>
      </c>
      <c r="AT67" s="8">
        <v>28.01320526955096</v>
      </c>
    </row>
    <row r="68" spans="1:46">
      <c r="A68" s="7">
        <v>33.4</v>
      </c>
      <c r="B68" s="8">
        <v>28.26070885137451</v>
      </c>
      <c r="C68" s="8">
        <v>28.25063625781331</v>
      </c>
      <c r="D68" s="8">
        <v>28.2408073442246</v>
      </c>
      <c r="E68" s="8">
        <v>28.23122089950339</v>
      </c>
      <c r="F68" s="8">
        <v>28.22187570420065</v>
      </c>
      <c r="G68" s="8">
        <v>28.2127705305611</v>
      </c>
      <c r="H68" s="8">
        <v>28.20390414246358</v>
      </c>
      <c r="I68" s="8">
        <v>28.19527529546176</v>
      </c>
      <c r="J68" s="8">
        <v>28.18688273676235</v>
      </c>
      <c r="K68" s="8">
        <v>28.17872520519886</v>
      </c>
      <c r="L68" s="8">
        <v>28.1708014312826</v>
      </c>
      <c r="M68" s="8">
        <v>28.16311013712402</v>
      </c>
      <c r="N68" s="8">
        <v>28.1556500364808</v>
      </c>
      <c r="O68" s="8">
        <v>28.14841983471706</v>
      </c>
      <c r="P68" s="8">
        <v>28.14141822881502</v>
      </c>
      <c r="Q68" s="8">
        <v>28.13464390734152</v>
      </c>
      <c r="R68" s="8">
        <v>28.12809555046406</v>
      </c>
      <c r="S68" s="8">
        <v>28.12177182991291</v>
      </c>
      <c r="T68" s="8">
        <v>28.11567140899133</v>
      </c>
      <c r="U68" s="8">
        <v>28.10979294254648</v>
      </c>
      <c r="V68" s="8">
        <v>28.10413507696649</v>
      </c>
      <c r="W68" s="8">
        <v>28.09869645016588</v>
      </c>
      <c r="X68" s="8">
        <v>28.09347569156817</v>
      </c>
      <c r="Y68" s="8">
        <v>28.0884714220927</v>
      </c>
      <c r="Z68" s="8">
        <v>28.08368225413869</v>
      </c>
      <c r="AA68" s="8">
        <v>28.07910679156048</v>
      </c>
      <c r="AB68" s="8">
        <v>28.07474362967623</v>
      </c>
      <c r="AC68" s="8">
        <v>28.0705913552345</v>
      </c>
      <c r="AD68" s="8">
        <v>28.06664854639239</v>
      </c>
      <c r="AE68" s="8">
        <v>28.06291377270973</v>
      </c>
      <c r="AF68" s="8">
        <v>28.05938559511851</v>
      </c>
      <c r="AG68" s="8">
        <v>28.05606256593601</v>
      </c>
      <c r="AH68" s="8">
        <v>28.05294322880509</v>
      </c>
      <c r="AI68" s="8">
        <v>28.05002611870587</v>
      </c>
      <c r="AJ68" s="8">
        <v>28.04730976192804</v>
      </c>
      <c r="AK68" s="8">
        <v>28.04479267605057</v>
      </c>
      <c r="AL68" s="8">
        <v>28.04247336991975</v>
      </c>
      <c r="AM68" s="8">
        <v>28.04035034364788</v>
      </c>
      <c r="AN68" s="8">
        <v>28.03842208856804</v>
      </c>
      <c r="AO68" s="8">
        <v>28.03668708723417</v>
      </c>
      <c r="AP68" s="8">
        <v>28.03514381339773</v>
      </c>
      <c r="AQ68" s="8">
        <v>28.03379073199176</v>
      </c>
      <c r="AR68" s="8">
        <v>28.0326262990915</v>
      </c>
      <c r="AS68" s="8">
        <v>28.03164896192466</v>
      </c>
      <c r="AT68" s="8">
        <v>28.03085715883208</v>
      </c>
    </row>
    <row r="69" spans="1:46">
      <c r="A69" s="7">
        <v>33.5</v>
      </c>
      <c r="B69" s="8">
        <v>28.26399147951161</v>
      </c>
      <c r="C69" s="8">
        <v>28.25417306355375</v>
      </c>
      <c r="D69" s="8">
        <v>28.24460162577598</v>
      </c>
      <c r="E69" s="8">
        <v>28.23527594195184</v>
      </c>
      <c r="F69" s="8">
        <v>28.22619477932749</v>
      </c>
      <c r="G69" s="8">
        <v>28.2173568965969</v>
      </c>
      <c r="H69" s="8">
        <v>28.20876104391791</v>
      </c>
      <c r="I69" s="8">
        <v>28.20040596289036</v>
      </c>
      <c r="J69" s="8">
        <v>28.19229038658232</v>
      </c>
      <c r="K69" s="8">
        <v>28.18441303948348</v>
      </c>
      <c r="L69" s="8">
        <v>28.17677263755177</v>
      </c>
      <c r="M69" s="8">
        <v>28.16936788816092</v>
      </c>
      <c r="N69" s="8">
        <v>28.16219749011798</v>
      </c>
      <c r="O69" s="8">
        <v>28.15526013365743</v>
      </c>
      <c r="P69" s="8">
        <v>28.14855450041796</v>
      </c>
      <c r="Q69" s="8">
        <v>28.1420792634468</v>
      </c>
      <c r="R69" s="8">
        <v>28.13583308718662</v>
      </c>
      <c r="S69" s="8">
        <v>28.12981462746393</v>
      </c>
      <c r="T69" s="8">
        <v>28.1240225314803</v>
      </c>
      <c r="U69" s="8">
        <v>28.11845543779928</v>
      </c>
      <c r="V69" s="8">
        <v>28.11311197633768</v>
      </c>
      <c r="W69" s="8">
        <v>28.10799076835974</v>
      </c>
      <c r="X69" s="8">
        <v>28.10309042643494</v>
      </c>
      <c r="Y69" s="8">
        <v>28.09840955446707</v>
      </c>
      <c r="Z69" s="8">
        <v>28.09394674765645</v>
      </c>
      <c r="AA69" s="8">
        <v>28.08970059248822</v>
      </c>
      <c r="AB69" s="8">
        <v>28.08566966670769</v>
      </c>
      <c r="AC69" s="8">
        <v>28.08185253934062</v>
      </c>
      <c r="AD69" s="8">
        <v>28.07824777063215</v>
      </c>
      <c r="AE69" s="8">
        <v>28.07485391206428</v>
      </c>
      <c r="AF69" s="8">
        <v>28.07166950633109</v>
      </c>
      <c r="AG69" s="8">
        <v>28.06869308731984</v>
      </c>
      <c r="AH69" s="8">
        <v>28.06592318008916</v>
      </c>
      <c r="AI69" s="8">
        <v>28.06335830086609</v>
      </c>
      <c r="AJ69" s="8">
        <v>28.06099695703015</v>
      </c>
      <c r="AK69" s="8">
        <v>28.05883764706232</v>
      </c>
      <c r="AL69" s="8">
        <v>28.0568788605844</v>
      </c>
      <c r="AM69" s="8">
        <v>28.05511907829496</v>
      </c>
      <c r="AN69" s="8">
        <v>28.05355677197513</v>
      </c>
      <c r="AO69" s="8">
        <v>28.05219040445663</v>
      </c>
      <c r="AP69" s="8">
        <v>28.05101842962467</v>
      </c>
      <c r="AQ69" s="8">
        <v>28.05003929237573</v>
      </c>
      <c r="AR69" s="8">
        <v>28.04925142861466</v>
      </c>
      <c r="AS69" s="8">
        <v>28.04865326523868</v>
      </c>
      <c r="AT69" s="8">
        <v>28.04824322011554</v>
      </c>
    </row>
    <row r="70" spans="1:46">
      <c r="A70" s="7">
        <v>33.6</v>
      </c>
      <c r="B70" s="8">
        <v>28.26700083268515</v>
      </c>
      <c r="C70" s="8">
        <v>28.25743709337403</v>
      </c>
      <c r="D70" s="8">
        <v>28.24812362188095</v>
      </c>
      <c r="E70" s="8">
        <v>28.23905918091914</v>
      </c>
      <c r="F70" s="8">
        <v>28.23024252442119</v>
      </c>
      <c r="G70" s="8">
        <v>28.2216723975871</v>
      </c>
      <c r="H70" s="8">
        <v>28.21334753686533</v>
      </c>
      <c r="I70" s="8">
        <v>28.2052666699572</v>
      </c>
      <c r="J70" s="8">
        <v>28.19742851579795</v>
      </c>
      <c r="K70" s="8">
        <v>28.18983178458438</v>
      </c>
      <c r="L70" s="8">
        <v>28.18247517775017</v>
      </c>
      <c r="M70" s="8">
        <v>28.17535738795559</v>
      </c>
      <c r="N70" s="8">
        <v>28.16847709909926</v>
      </c>
      <c r="O70" s="8">
        <v>28.16183298630785</v>
      </c>
      <c r="P70" s="8">
        <v>28.15542371591728</v>
      </c>
      <c r="Q70" s="8">
        <v>28.14924794549297</v>
      </c>
      <c r="R70" s="8">
        <v>28.1433043237761</v>
      </c>
      <c r="S70" s="8">
        <v>28.13759149072575</v>
      </c>
      <c r="T70" s="8">
        <v>28.1321080774811</v>
      </c>
      <c r="U70" s="8">
        <v>28.12685270634538</v>
      </c>
      <c r="V70" s="8">
        <v>28.12182399081066</v>
      </c>
      <c r="W70" s="8">
        <v>28.11702053550398</v>
      </c>
      <c r="X70" s="8">
        <v>28.11244093619316</v>
      </c>
      <c r="Y70" s="8">
        <v>28.10808377980429</v>
      </c>
      <c r="Z70" s="8">
        <v>28.10394764436496</v>
      </c>
      <c r="AA70" s="8">
        <v>28.10003109900426</v>
      </c>
      <c r="AB70" s="8">
        <v>28.0963327039688</v>
      </c>
      <c r="AC70" s="8">
        <v>28.09285101056012</v>
      </c>
      <c r="AD70" s="8">
        <v>28.08958456117544</v>
      </c>
      <c r="AE70" s="8">
        <v>28.08653188924363</v>
      </c>
      <c r="AF70" s="8">
        <v>28.08369151923689</v>
      </c>
      <c r="AG70" s="8">
        <v>28.08106196666485</v>
      </c>
      <c r="AH70" s="8">
        <v>28.07864173803537</v>
      </c>
      <c r="AI70" s="8">
        <v>28.0764293308559</v>
      </c>
      <c r="AJ70" s="8">
        <v>28.07442323361465</v>
      </c>
      <c r="AK70" s="8">
        <v>28.07262192576309</v>
      </c>
      <c r="AL70" s="8">
        <v>28.07102387770719</v>
      </c>
      <c r="AM70" s="8">
        <v>28.06962755077548</v>
      </c>
      <c r="AN70" s="8">
        <v>28.06843139722332</v>
      </c>
      <c r="AO70" s="8">
        <v>28.06743386020535</v>
      </c>
      <c r="AP70" s="8">
        <v>28.06663337375939</v>
      </c>
      <c r="AQ70" s="8">
        <v>28.0660283627949</v>
      </c>
      <c r="AR70" s="8">
        <v>28.06561724307539</v>
      </c>
      <c r="AS70" s="8">
        <v>28.0653984212011</v>
      </c>
      <c r="AT70" s="8">
        <v>28.06537029459287</v>
      </c>
    </row>
    <row r="71" spans="1:46">
      <c r="A71" s="7">
        <v>33.7</v>
      </c>
      <c r="B71" s="8">
        <v>28.26974527851998</v>
      </c>
      <c r="C71" s="8">
        <v>28.26043668821221</v>
      </c>
      <c r="D71" s="8">
        <v>28.25138164643868</v>
      </c>
      <c r="E71" s="8">
        <v>28.24257890283479</v>
      </c>
      <c r="F71" s="8">
        <v>28.23402719808655</v>
      </c>
      <c r="G71" s="8">
        <v>28.22572526392614</v>
      </c>
      <c r="H71" s="8">
        <v>28.21767182312615</v>
      </c>
      <c r="I71" s="8">
        <v>28.20986558950244</v>
      </c>
      <c r="J71" s="8">
        <v>28.20230526792002</v>
      </c>
      <c r="K71" s="8">
        <v>28.19498955430026</v>
      </c>
      <c r="L71" s="8">
        <v>28.18791713557439</v>
      </c>
      <c r="M71" s="8">
        <v>28.18108668973728</v>
      </c>
      <c r="N71" s="8">
        <v>28.174496885814</v>
      </c>
      <c r="O71" s="8">
        <v>28.16814638385113</v>
      </c>
      <c r="P71" s="8">
        <v>28.16203383493121</v>
      </c>
      <c r="Q71" s="8">
        <v>28.15615788113937</v>
      </c>
      <c r="R71" s="8">
        <v>28.15051715558075</v>
      </c>
      <c r="S71" s="8">
        <v>28.14511028237466</v>
      </c>
      <c r="T71" s="8">
        <v>28.13993587661389</v>
      </c>
      <c r="U71" s="8">
        <v>28.13499254440976</v>
      </c>
      <c r="V71" s="8">
        <v>28.13027888282522</v>
      </c>
      <c r="W71" s="8">
        <v>28.1257934799185</v>
      </c>
      <c r="X71" s="8">
        <v>28.1215349146878</v>
      </c>
      <c r="Y71" s="8">
        <v>28.11750175710186</v>
      </c>
      <c r="Z71" s="8">
        <v>28.11369256805192</v>
      </c>
      <c r="AA71" s="8">
        <v>28.11010589937214</v>
      </c>
      <c r="AB71" s="8">
        <v>28.10674029380753</v>
      </c>
      <c r="AC71" s="8">
        <v>28.1035942850096</v>
      </c>
      <c r="AD71" s="8">
        <v>28.10066639752477</v>
      </c>
      <c r="AE71" s="8">
        <v>28.09795514679136</v>
      </c>
      <c r="AF71" s="8">
        <v>28.09545903910039</v>
      </c>
      <c r="AG71" s="8">
        <v>28.0931765715999</v>
      </c>
      <c r="AH71" s="8">
        <v>28.09110623229644</v>
      </c>
      <c r="AI71" s="8">
        <v>28.08924650000554</v>
      </c>
      <c r="AJ71" s="8">
        <v>28.08759584437066</v>
      </c>
      <c r="AK71" s="8">
        <v>28.08615272584284</v>
      </c>
      <c r="AL71" s="8">
        <v>28.08491559564863</v>
      </c>
      <c r="AM71" s="8">
        <v>28.08388289578143</v>
      </c>
      <c r="AN71" s="8">
        <v>28.0830530590174</v>
      </c>
      <c r="AO71" s="8">
        <v>28.08242450885736</v>
      </c>
      <c r="AP71" s="8">
        <v>28.08199565953691</v>
      </c>
      <c r="AQ71" s="8">
        <v>28.08176491601189</v>
      </c>
      <c r="AR71" s="8">
        <v>28.081730673938</v>
      </c>
      <c r="AS71" s="8">
        <v>28.08189131966065</v>
      </c>
      <c r="AT71" s="8">
        <v>28.08224523018725</v>
      </c>
    </row>
    <row r="72" spans="1:46">
      <c r="A72" s="7">
        <v>33.8</v>
      </c>
      <c r="B72" s="8">
        <v>28.27223318709584</v>
      </c>
      <c r="C72" s="8">
        <v>28.26318019151659</v>
      </c>
      <c r="D72" s="8">
        <v>28.25438401585561</v>
      </c>
      <c r="E72" s="8">
        <v>28.24584339672147</v>
      </c>
      <c r="F72" s="8">
        <v>28.23755706157244</v>
      </c>
      <c r="G72" s="8">
        <v>28.22952372870059</v>
      </c>
      <c r="H72" s="8">
        <v>28.22174210724042</v>
      </c>
      <c r="I72" s="8">
        <v>28.21421089716896</v>
      </c>
      <c r="J72" s="8">
        <v>28.2069287892984</v>
      </c>
      <c r="K72" s="8">
        <v>28.19989446529944</v>
      </c>
      <c r="L72" s="8">
        <v>28.19310659766488</v>
      </c>
      <c r="M72" s="8">
        <v>28.18656384975184</v>
      </c>
      <c r="N72" s="8">
        <v>28.18026487572643</v>
      </c>
      <c r="O72" s="8">
        <v>28.17420832061471</v>
      </c>
      <c r="P72" s="8">
        <v>28.16839282024593</v>
      </c>
      <c r="Q72" s="8">
        <v>28.16281700130494</v>
      </c>
      <c r="R72" s="8">
        <v>28.15747948127828</v>
      </c>
      <c r="S72" s="8">
        <v>28.15237886846007</v>
      </c>
      <c r="T72" s="8">
        <v>28.1475137619811</v>
      </c>
      <c r="U72" s="8">
        <v>28.14288275174913</v>
      </c>
      <c r="V72" s="8">
        <v>28.13848441846203</v>
      </c>
      <c r="W72" s="8">
        <v>28.13431733363687</v>
      </c>
      <c r="X72" s="8">
        <v>28.13038005953131</v>
      </c>
      <c r="Y72" s="8">
        <v>28.12667114920623</v>
      </c>
      <c r="Z72" s="8">
        <v>28.12318914645293</v>
      </c>
      <c r="AA72" s="8">
        <v>28.11993258584553</v>
      </c>
      <c r="AB72" s="8">
        <v>28.11689999266527</v>
      </c>
      <c r="AC72" s="8">
        <v>28.11408988295152</v>
      </c>
      <c r="AD72" s="8">
        <v>28.11150076344493</v>
      </c>
      <c r="AE72" s="8">
        <v>28.10913113160641</v>
      </c>
      <c r="AF72" s="8">
        <v>28.10697947559965</v>
      </c>
      <c r="AG72" s="8">
        <v>28.10504427426495</v>
      </c>
      <c r="AH72" s="8">
        <v>28.10332399711769</v>
      </c>
      <c r="AI72" s="8">
        <v>28.10181710434408</v>
      </c>
      <c r="AJ72" s="8">
        <v>28.10052204677049</v>
      </c>
      <c r="AK72" s="8">
        <v>28.0994372658708</v>
      </c>
      <c r="AL72" s="8">
        <v>28.09856119374308</v>
      </c>
      <c r="AM72" s="8">
        <v>28.09789225309942</v>
      </c>
      <c r="AN72" s="8">
        <v>28.09742885724409</v>
      </c>
      <c r="AO72" s="8">
        <v>28.09716941007791</v>
      </c>
      <c r="AP72" s="8">
        <v>28.09711230607936</v>
      </c>
      <c r="AQ72" s="8">
        <v>28.09725593028124</v>
      </c>
      <c r="AR72" s="8">
        <v>28.09759865827073</v>
      </c>
      <c r="AS72" s="8">
        <v>28.0981388561675</v>
      </c>
      <c r="AT72" s="8">
        <v>28.09887488062522</v>
      </c>
    </row>
    <row r="73" spans="1:46">
      <c r="A73" s="7">
        <v>33.9</v>
      </c>
      <c r="B73" s="8">
        <v>28.27447292993165</v>
      </c>
      <c r="C73" s="8">
        <v>28.26567594821536</v>
      </c>
      <c r="D73" s="8">
        <v>28.25713904808508</v>
      </c>
      <c r="E73" s="8">
        <v>28.24886095317634</v>
      </c>
      <c r="F73" s="8">
        <v>28.24084037773573</v>
      </c>
      <c r="G73" s="8">
        <v>28.23307602666027</v>
      </c>
      <c r="H73" s="8">
        <v>28.22556659547554</v>
      </c>
      <c r="I73" s="8">
        <v>28.21831077034731</v>
      </c>
      <c r="J73" s="8">
        <v>28.21130722809321</v>
      </c>
      <c r="K73" s="8">
        <v>28.2045546361478</v>
      </c>
      <c r="L73" s="8">
        <v>28.19805165261496</v>
      </c>
      <c r="M73" s="8">
        <v>28.19179692623002</v>
      </c>
      <c r="N73" s="8">
        <v>28.18578909635835</v>
      </c>
      <c r="O73" s="8">
        <v>28.18002679301862</v>
      </c>
      <c r="P73" s="8">
        <v>28.17450863686972</v>
      </c>
      <c r="Q73" s="8">
        <v>28.16923323917435</v>
      </c>
      <c r="R73" s="8">
        <v>28.16419920185872</v>
      </c>
      <c r="S73" s="8">
        <v>28.15940511745866</v>
      </c>
      <c r="T73" s="8">
        <v>28.15484956912987</v>
      </c>
      <c r="U73" s="8">
        <v>28.15053113064932</v>
      </c>
      <c r="V73" s="8">
        <v>28.14644836639491</v>
      </c>
      <c r="W73" s="8">
        <v>28.14259983134689</v>
      </c>
      <c r="X73" s="8">
        <v>28.13898407109518</v>
      </c>
      <c r="Y73" s="8">
        <v>28.13559962180297</v>
      </c>
      <c r="Z73" s="8">
        <v>28.13244501022273</v>
      </c>
      <c r="AA73" s="8">
        <v>28.12951875368744</v>
      </c>
      <c r="AB73" s="8">
        <v>28.12681936007284</v>
      </c>
      <c r="AC73" s="8">
        <v>28.12434532781917</v>
      </c>
      <c r="AD73" s="8">
        <v>28.12209514593706</v>
      </c>
      <c r="AE73" s="8">
        <v>28.1200672939347</v>
      </c>
      <c r="AF73" s="8">
        <v>28.11826024187612</v>
      </c>
      <c r="AG73" s="8">
        <v>28.11667245033459</v>
      </c>
      <c r="AH73" s="8">
        <v>28.11530237039115</v>
      </c>
      <c r="AI73" s="8">
        <v>28.11414844361861</v>
      </c>
      <c r="AJ73" s="8">
        <v>28.11320910207724</v>
      </c>
      <c r="AK73" s="8">
        <v>28.11248276831757</v>
      </c>
      <c r="AL73" s="8">
        <v>28.1119678553383</v>
      </c>
      <c r="AM73" s="8">
        <v>28.11166276658914</v>
      </c>
      <c r="AN73" s="8">
        <v>28.11156589598104</v>
      </c>
      <c r="AO73" s="8">
        <v>28.11167562783812</v>
      </c>
      <c r="AP73" s="8">
        <v>28.11199033690936</v>
      </c>
      <c r="AQ73" s="8">
        <v>28.11250838836713</v>
      </c>
      <c r="AR73" s="8">
        <v>28.1132281377475</v>
      </c>
      <c r="AS73" s="8">
        <v>28.11414793100266</v>
      </c>
      <c r="AT73" s="8">
        <v>28.11526610444853</v>
      </c>
    </row>
    <row r="74" spans="1:46">
      <c r="A74" s="7">
        <v>34</v>
      </c>
      <c r="B74" s="8">
        <v>28.27647287897416</v>
      </c>
      <c r="C74" s="8">
        <v>28.26793230370386</v>
      </c>
      <c r="D74" s="8">
        <v>28.25965506159991</v>
      </c>
      <c r="E74" s="8">
        <v>28.2516398633481</v>
      </c>
      <c r="F74" s="8">
        <v>28.24388541004591</v>
      </c>
      <c r="G74" s="8">
        <v>28.23639039321279</v>
      </c>
      <c r="H74" s="8">
        <v>28.22915349481336</v>
      </c>
      <c r="I74" s="8">
        <v>28.22217338722549</v>
      </c>
      <c r="J74" s="8">
        <v>28.21544873330422</v>
      </c>
      <c r="K74" s="8">
        <v>28.20897818630765</v>
      </c>
      <c r="L74" s="8">
        <v>28.20276038995798</v>
      </c>
      <c r="M74" s="8">
        <v>28.19679397842847</v>
      </c>
      <c r="N74" s="8">
        <v>28.19107757630845</v>
      </c>
      <c r="O74" s="8">
        <v>28.1856097986587</v>
      </c>
      <c r="P74" s="8">
        <v>28.18038925097499</v>
      </c>
      <c r="Q74" s="8">
        <v>28.17541452918376</v>
      </c>
      <c r="R74" s="8">
        <v>28.17068421966105</v>
      </c>
      <c r="S74" s="8">
        <v>28.16619689922372</v>
      </c>
      <c r="T74" s="8">
        <v>28.16195113509748</v>
      </c>
      <c r="U74" s="8">
        <v>28.15794548496342</v>
      </c>
      <c r="V74" s="8">
        <v>28.15417849691585</v>
      </c>
      <c r="W74" s="8">
        <v>28.15064870945789</v>
      </c>
      <c r="X74" s="8">
        <v>28.14735465152335</v>
      </c>
      <c r="Y74" s="8">
        <v>28.14429484244611</v>
      </c>
      <c r="Z74" s="8">
        <v>28.14146779195726</v>
      </c>
      <c r="AA74" s="8">
        <v>28.13887200019235</v>
      </c>
      <c r="AB74" s="8">
        <v>28.13650595766376</v>
      </c>
      <c r="AC74" s="8">
        <v>28.1343681452825</v>
      </c>
      <c r="AD74" s="8">
        <v>28.13245703430875</v>
      </c>
      <c r="AE74" s="8">
        <v>28.13077108639409</v>
      </c>
      <c r="AF74" s="8">
        <v>28.12930875351594</v>
      </c>
      <c r="AG74" s="8">
        <v>28.12806847803877</v>
      </c>
      <c r="AH74" s="8">
        <v>28.12704869263252</v>
      </c>
      <c r="AI74" s="8">
        <v>28.12624782031198</v>
      </c>
      <c r="AJ74" s="8">
        <v>28.12566427441779</v>
      </c>
      <c r="AK74" s="8">
        <v>28.12529645859613</v>
      </c>
      <c r="AL74" s="8">
        <v>28.12514276680886</v>
      </c>
      <c r="AM74" s="8">
        <v>28.1252015832797</v>
      </c>
      <c r="AN74" s="8">
        <v>28.1254712825641</v>
      </c>
      <c r="AO74" s="8">
        <v>28.12595022945461</v>
      </c>
      <c r="AP74" s="8">
        <v>28.12663677901146</v>
      </c>
      <c r="AQ74" s="8">
        <v>28.1275292765742</v>
      </c>
      <c r="AR74" s="8">
        <v>28.12862605770497</v>
      </c>
      <c r="AS74" s="8">
        <v>28.12992544820008</v>
      </c>
      <c r="AT74" s="8">
        <v>28.13142576409591</v>
      </c>
    </row>
    <row r="75" spans="1:46">
      <c r="A75" s="7">
        <v>34.1</v>
      </c>
      <c r="B75" s="8">
        <v>28.27824140559242</v>
      </c>
      <c r="C75" s="8">
        <v>28.26995760281861</v>
      </c>
      <c r="D75" s="8">
        <v>28.26194037435635</v>
      </c>
      <c r="E75" s="8">
        <v>28.25418841795327</v>
      </c>
      <c r="F75" s="8">
        <v>28.24670042157231</v>
      </c>
      <c r="G75" s="8">
        <v>28.23947506342665</v>
      </c>
      <c r="H75" s="8">
        <v>28.23251101192727</v>
      </c>
      <c r="I75" s="8">
        <v>28.2258069257281</v>
      </c>
      <c r="J75" s="8">
        <v>28.21936145373475</v>
      </c>
      <c r="K75" s="8">
        <v>28.21317323507974</v>
      </c>
      <c r="L75" s="8">
        <v>28.20724089914292</v>
      </c>
      <c r="M75" s="8">
        <v>28.20156306556455</v>
      </c>
      <c r="N75" s="8">
        <v>28.19613834420743</v>
      </c>
      <c r="O75" s="8">
        <v>28.19096533520496</v>
      </c>
      <c r="P75" s="8">
        <v>28.18604262893932</v>
      </c>
      <c r="Q75" s="8">
        <v>28.18136880602251</v>
      </c>
      <c r="R75" s="8">
        <v>28.17694243733713</v>
      </c>
      <c r="S75" s="8">
        <v>28.1727620840029</v>
      </c>
      <c r="T75" s="8">
        <v>28.1688262973883</v>
      </c>
      <c r="U75" s="8">
        <v>28.16513361908583</v>
      </c>
      <c r="V75" s="8">
        <v>28.16168258095276</v>
      </c>
      <c r="W75" s="8">
        <v>28.15847170507332</v>
      </c>
      <c r="X75" s="8">
        <v>28.15549950375425</v>
      </c>
      <c r="Y75" s="8">
        <v>28.15276447953074</v>
      </c>
      <c r="Z75" s="8">
        <v>28.15026512517943</v>
      </c>
      <c r="AA75" s="8">
        <v>28.14799992366752</v>
      </c>
      <c r="AB75" s="8">
        <v>28.14596734819934</v>
      </c>
      <c r="AC75" s="8">
        <v>28.14416586216394</v>
      </c>
      <c r="AD75" s="8">
        <v>28.14259391915257</v>
      </c>
      <c r="AE75" s="8">
        <v>28.14124996297178</v>
      </c>
      <c r="AF75" s="8">
        <v>28.14013242759102</v>
      </c>
      <c r="AG75" s="8">
        <v>28.13923973716883</v>
      </c>
      <c r="AH75" s="8">
        <v>28.13857030603394</v>
      </c>
      <c r="AI75" s="8">
        <v>28.13812253868091</v>
      </c>
      <c r="AJ75" s="8">
        <v>28.13789482976572</v>
      </c>
      <c r="AK75" s="8">
        <v>28.13788556408253</v>
      </c>
      <c r="AL75" s="8">
        <v>28.13809311658843</v>
      </c>
      <c r="AM75" s="8">
        <v>28.13851585235534</v>
      </c>
      <c r="AN75" s="8">
        <v>28.1391521265803</v>
      </c>
      <c r="AO75" s="8">
        <v>28.14000028459559</v>
      </c>
      <c r="AP75" s="8">
        <v>28.14105866183381</v>
      </c>
      <c r="AQ75" s="8">
        <v>28.14232558381191</v>
      </c>
      <c r="AR75" s="8">
        <v>28.14379936617042</v>
      </c>
      <c r="AS75" s="8">
        <v>28.14547831460805</v>
      </c>
      <c r="AT75" s="8">
        <v>28.14736072491651</v>
      </c>
    </row>
    <row r="76" spans="1:46">
      <c r="A76" s="7">
        <v>34.2</v>
      </c>
      <c r="B76" s="8">
        <v>28.27978687952709</v>
      </c>
      <c r="C76" s="8">
        <v>28.27176018885802</v>
      </c>
      <c r="D76" s="8">
        <v>28.26400330279721</v>
      </c>
      <c r="E76" s="8">
        <v>28.25651490620076</v>
      </c>
      <c r="F76" s="8">
        <v>28.24929367396107</v>
      </c>
      <c r="G76" s="8">
        <v>28.24233827098069</v>
      </c>
      <c r="H76" s="8">
        <v>28.23564735217515</v>
      </c>
      <c r="I76" s="8">
        <v>28.22921956251376</v>
      </c>
      <c r="J76" s="8">
        <v>28.22305353698466</v>
      </c>
      <c r="K76" s="8">
        <v>28.21714790063852</v>
      </c>
      <c r="L76" s="8">
        <v>28.21150126854627</v>
      </c>
      <c r="M76" s="8">
        <v>28.20611224584864</v>
      </c>
      <c r="N76" s="8">
        <v>28.20097942773718</v>
      </c>
      <c r="O76" s="8">
        <v>28.19610139945289</v>
      </c>
      <c r="P76" s="8">
        <v>28.1914767362905</v>
      </c>
      <c r="Q76" s="8">
        <v>28.18710400362324</v>
      </c>
      <c r="R76" s="8">
        <v>28.18298175684613</v>
      </c>
      <c r="S76" s="8">
        <v>28.17910854144429</v>
      </c>
      <c r="T76" s="8">
        <v>28.17548289294209</v>
      </c>
      <c r="U76" s="8">
        <v>28.17210333692638</v>
      </c>
      <c r="V76" s="8">
        <v>28.16896838904213</v>
      </c>
      <c r="W76" s="8">
        <v>28.16607655498228</v>
      </c>
      <c r="X76" s="8">
        <v>28.16342633047898</v>
      </c>
      <c r="Y76" s="8">
        <v>28.16101620133559</v>
      </c>
      <c r="Z76" s="8">
        <v>28.15884464337578</v>
      </c>
      <c r="AA76" s="8">
        <v>28.15691012247407</v>
      </c>
      <c r="AB76" s="8">
        <v>28.1552110945413</v>
      </c>
      <c r="AC76" s="8">
        <v>28.1537460055144</v>
      </c>
      <c r="AD76" s="8">
        <v>28.15251329136081</v>
      </c>
      <c r="AE76" s="8">
        <v>28.15151137807407</v>
      </c>
      <c r="AF76" s="8">
        <v>28.15073868163891</v>
      </c>
      <c r="AG76" s="8">
        <v>28.15019360810256</v>
      </c>
      <c r="AH76" s="8">
        <v>28.14987455346272</v>
      </c>
      <c r="AI76" s="8">
        <v>28.14977990374755</v>
      </c>
      <c r="AJ76" s="8">
        <v>28.14990803496912</v>
      </c>
      <c r="AK76" s="8">
        <v>28.15025731312926</v>
      </c>
      <c r="AL76" s="8">
        <v>28.1508260942137</v>
      </c>
      <c r="AM76" s="8">
        <v>28.15161272416735</v>
      </c>
      <c r="AN76" s="8">
        <v>28.15261553892051</v>
      </c>
      <c r="AO76" s="8">
        <v>28.15383286436408</v>
      </c>
      <c r="AP76" s="8">
        <v>28.15526301633072</v>
      </c>
      <c r="AQ76" s="8">
        <v>28.1569043006064</v>
      </c>
      <c r="AR76" s="8">
        <v>28.15875501291594</v>
      </c>
      <c r="AS76" s="8">
        <v>28.16081343892584</v>
      </c>
      <c r="AT76" s="8">
        <v>28.16307785422105</v>
      </c>
    </row>
    <row r="77" spans="1:46">
      <c r="A77" s="7">
        <v>34.3</v>
      </c>
      <c r="B77" s="8">
        <v>28.28111766790825</v>
      </c>
      <c r="C77" s="8">
        <v>28.27334840252879</v>
      </c>
      <c r="D77" s="8">
        <v>28.26585216083476</v>
      </c>
      <c r="E77" s="8">
        <v>28.25862761485623</v>
      </c>
      <c r="F77" s="8">
        <v>28.25167342642817</v>
      </c>
      <c r="G77" s="8">
        <v>28.24498824718176</v>
      </c>
      <c r="H77" s="8">
        <v>28.23857071859529</v>
      </c>
      <c r="I77" s="8">
        <v>28.23241947197094</v>
      </c>
      <c r="J77" s="8">
        <v>28.22653312843759</v>
      </c>
      <c r="K77" s="8">
        <v>28.22091029898293</v>
      </c>
      <c r="L77" s="8">
        <v>28.21554958442866</v>
      </c>
      <c r="M77" s="8">
        <v>28.21044957545819</v>
      </c>
      <c r="N77" s="8">
        <v>28.20560885261657</v>
      </c>
      <c r="O77" s="8">
        <v>28.20102598629601</v>
      </c>
      <c r="P77" s="8">
        <v>28.19669953676203</v>
      </c>
      <c r="Q77" s="8">
        <v>28.19262805415492</v>
      </c>
      <c r="R77" s="8">
        <v>28.18881007846794</v>
      </c>
      <c r="S77" s="8">
        <v>28.18524413956766</v>
      </c>
      <c r="T77" s="8">
        <v>28.18192875719688</v>
      </c>
      <c r="U77" s="8">
        <v>28.17886244095862</v>
      </c>
      <c r="V77" s="8">
        <v>28.17604369033652</v>
      </c>
      <c r="W77" s="8">
        <v>28.17347099467734</v>
      </c>
      <c r="X77" s="8">
        <v>28.17114283319825</v>
      </c>
      <c r="Y77" s="8">
        <v>28.16905767498101</v>
      </c>
      <c r="Z77" s="8">
        <v>28.16721397897345</v>
      </c>
      <c r="AA77" s="8">
        <v>28.1656101939865</v>
      </c>
      <c r="AB77" s="8">
        <v>28.16424475869135</v>
      </c>
      <c r="AC77" s="8">
        <v>28.16311610160919</v>
      </c>
      <c r="AD77" s="8">
        <v>28.16222264113312</v>
      </c>
      <c r="AE77" s="8">
        <v>28.16156278548005</v>
      </c>
      <c r="AF77" s="8">
        <v>28.16113493273879</v>
      </c>
      <c r="AG77" s="8">
        <v>28.1609374708205</v>
      </c>
      <c r="AH77" s="8">
        <v>28.16096877749369</v>
      </c>
      <c r="AI77" s="8">
        <v>28.16122722034343</v>
      </c>
      <c r="AJ77" s="8">
        <v>28.16171115679754</v>
      </c>
      <c r="AK77" s="8">
        <v>28.16241893409897</v>
      </c>
      <c r="AL77" s="8">
        <v>28.16334888931306</v>
      </c>
      <c r="AM77" s="8">
        <v>28.16449934931734</v>
      </c>
      <c r="AN77" s="8">
        <v>28.16586863080884</v>
      </c>
      <c r="AO77" s="8">
        <v>28.16745504028222</v>
      </c>
      <c r="AP77" s="8">
        <v>28.16925687402691</v>
      </c>
      <c r="AQ77" s="8">
        <v>28.1712724181416</v>
      </c>
      <c r="AR77" s="8">
        <v>28.17349994849501</v>
      </c>
      <c r="AS77" s="8">
        <v>28.17593773074623</v>
      </c>
      <c r="AT77" s="8">
        <v>28.17858402034326</v>
      </c>
    </row>
    <row r="78" spans="1:46">
      <c r="A78" s="7">
        <v>34.4</v>
      </c>
      <c r="B78" s="8">
        <v>28.28224213423382</v>
      </c>
      <c r="C78" s="8">
        <v>28.27473058093601</v>
      </c>
      <c r="D78" s="8">
        <v>28.26749525884225</v>
      </c>
      <c r="E78" s="8">
        <v>28.26053482716234</v>
      </c>
      <c r="F78" s="8">
        <v>28.25384793472185</v>
      </c>
      <c r="G78" s="8">
        <v>28.24743321995047</v>
      </c>
      <c r="H78" s="8">
        <v>28.24128931088344</v>
      </c>
      <c r="I78" s="8">
        <v>28.23541482521687</v>
      </c>
      <c r="J78" s="8">
        <v>28.22980837026116</v>
      </c>
      <c r="K78" s="8">
        <v>28.22446854297305</v>
      </c>
      <c r="L78" s="8">
        <v>28.21939392997301</v>
      </c>
      <c r="M78" s="8">
        <v>28.21458310753369</v>
      </c>
      <c r="N78" s="8">
        <v>28.21003464158275</v>
      </c>
      <c r="O78" s="8">
        <v>28.20574708772038</v>
      </c>
      <c r="P78" s="8">
        <v>28.20171899122215</v>
      </c>
      <c r="Q78" s="8">
        <v>28.19794888703618</v>
      </c>
      <c r="R78" s="8">
        <v>28.1944352997918</v>
      </c>
      <c r="S78" s="8">
        <v>28.19117674379086</v>
      </c>
      <c r="T78" s="8">
        <v>28.18817172302952</v>
      </c>
      <c r="U78" s="8">
        <v>28.18541873118229</v>
      </c>
      <c r="V78" s="8">
        <v>28.18291625161364</v>
      </c>
      <c r="W78" s="8">
        <v>28.18066275736783</v>
      </c>
      <c r="X78" s="8">
        <v>28.17865671118489</v>
      </c>
      <c r="Y78" s="8">
        <v>28.17689656548173</v>
      </c>
      <c r="Z78" s="8">
        <v>28.17538076237106</v>
      </c>
      <c r="AA78" s="8">
        <v>28.17410773364536</v>
      </c>
      <c r="AB78" s="8">
        <v>28.1730759007929</v>
      </c>
      <c r="AC78" s="8">
        <v>28.17228367495845</v>
      </c>
      <c r="AD78" s="8">
        <v>28.17172945700004</v>
      </c>
      <c r="AE78" s="8">
        <v>28.17141163742635</v>
      </c>
      <c r="AF78" s="8">
        <v>28.17132859645062</v>
      </c>
      <c r="AG78" s="8">
        <v>28.17147870392946</v>
      </c>
      <c r="AH78" s="8">
        <v>28.17186031941819</v>
      </c>
      <c r="AI78" s="8">
        <v>28.17247179213009</v>
      </c>
      <c r="AJ78" s="8">
        <v>28.17331146093638</v>
      </c>
      <c r="AK78" s="8">
        <v>28.17437765438081</v>
      </c>
      <c r="AL78" s="8">
        <v>28.17566869065631</v>
      </c>
      <c r="AM78" s="8">
        <v>28.17718287763564</v>
      </c>
      <c r="AN78" s="8">
        <v>28.1789185128102</v>
      </c>
      <c r="AO78" s="8">
        <v>28.18087388333661</v>
      </c>
      <c r="AP78" s="8">
        <v>28.18304726602364</v>
      </c>
      <c r="AQ78" s="8">
        <v>28.18543692730018</v>
      </c>
      <c r="AR78" s="8">
        <v>28.18804112324869</v>
      </c>
      <c r="AS78" s="8">
        <v>28.19085809958342</v>
      </c>
      <c r="AT78" s="8">
        <v>28.19388609164889</v>
      </c>
    </row>
    <row r="79" spans="1:46">
      <c r="A79" s="7">
        <v>34.5</v>
      </c>
      <c r="B79" s="8">
        <v>28.28316863734508</v>
      </c>
      <c r="C79" s="8">
        <v>28.27591505660821</v>
      </c>
      <c r="D79" s="8">
        <v>28.26894090263668</v>
      </c>
      <c r="E79" s="8">
        <v>28.26224482187827</v>
      </c>
      <c r="F79" s="8">
        <v>28.25582545017824</v>
      </c>
      <c r="G79" s="8">
        <v>28.24968141278951</v>
      </c>
      <c r="H79" s="8">
        <v>28.2438113243843</v>
      </c>
      <c r="I79" s="8">
        <v>28.23821378906432</v>
      </c>
      <c r="J79" s="8">
        <v>28.23288740037242</v>
      </c>
      <c r="K79" s="8">
        <v>28.22783074128238</v>
      </c>
      <c r="L79" s="8">
        <v>28.2230423842484</v>
      </c>
      <c r="M79" s="8">
        <v>28.21852089116437</v>
      </c>
      <c r="N79" s="8">
        <v>28.21426481340313</v>
      </c>
      <c r="O79" s="8">
        <v>28.21027269181068</v>
      </c>
      <c r="P79" s="8">
        <v>28.20654305670469</v>
      </c>
      <c r="Q79" s="8">
        <v>28.20307442790654</v>
      </c>
      <c r="R79" s="8">
        <v>28.19986531471222</v>
      </c>
      <c r="S79" s="8">
        <v>28.19691421590978</v>
      </c>
      <c r="T79" s="8">
        <v>28.19421961979242</v>
      </c>
      <c r="U79" s="8">
        <v>28.19178000414977</v>
      </c>
      <c r="V79" s="8">
        <v>28.18959383626643</v>
      </c>
      <c r="W79" s="8">
        <v>28.18765957295254</v>
      </c>
      <c r="X79" s="8">
        <v>28.18597566049866</v>
      </c>
      <c r="Y79" s="8">
        <v>28.18454053471796</v>
      </c>
      <c r="Z79" s="8">
        <v>28.18335262092296</v>
      </c>
      <c r="AA79" s="8">
        <v>28.18241033395316</v>
      </c>
      <c r="AB79" s="8">
        <v>28.18171207813139</v>
      </c>
      <c r="AC79" s="8">
        <v>28.18125624730892</v>
      </c>
      <c r="AD79" s="8">
        <v>28.18104122482909</v>
      </c>
      <c r="AE79" s="8">
        <v>28.18106538357097</v>
      </c>
      <c r="AF79" s="8">
        <v>28.18132708588673</v>
      </c>
      <c r="AG79" s="8">
        <v>28.18182468365703</v>
      </c>
      <c r="AH79" s="8">
        <v>28.18255651826621</v>
      </c>
      <c r="AI79" s="8">
        <v>28.18352092058776</v>
      </c>
      <c r="AJ79" s="8">
        <v>28.18471621101053</v>
      </c>
      <c r="AK79" s="8">
        <v>28.1861406994256</v>
      </c>
      <c r="AL79" s="8">
        <v>28.18779268520302</v>
      </c>
      <c r="AM79" s="8">
        <v>28.18967045723548</v>
      </c>
      <c r="AN79" s="8">
        <v>28.19177229389461</v>
      </c>
      <c r="AO79" s="8">
        <v>28.19409646304121</v>
      </c>
      <c r="AP79" s="8">
        <v>28.1966412220354</v>
      </c>
      <c r="AQ79" s="8">
        <v>28.199404817709</v>
      </c>
      <c r="AR79" s="8">
        <v>28.20238548641064</v>
      </c>
      <c r="AS79" s="8">
        <v>28.20558145394316</v>
      </c>
      <c r="AT79" s="8">
        <v>28.20899093560001</v>
      </c>
    </row>
    <row r="80" spans="1:46">
      <c r="A80" s="7">
        <v>34.6</v>
      </c>
      <c r="B80" s="8">
        <v>28.2839055304139</v>
      </c>
      <c r="C80" s="8">
        <v>28.27691015641613</v>
      </c>
      <c r="D80" s="8">
        <v>28.27019739243842</v>
      </c>
      <c r="E80" s="8">
        <v>28.26376587219566</v>
      </c>
      <c r="F80" s="8">
        <v>28.25761421860661</v>
      </c>
      <c r="G80" s="8">
        <v>28.25174104378675</v>
      </c>
      <c r="H80" s="8">
        <v>28.24614494907437</v>
      </c>
      <c r="I80" s="8">
        <v>28.24082452502189</v>
      </c>
      <c r="J80" s="8">
        <v>28.23577835144824</v>
      </c>
      <c r="K80" s="8">
        <v>28.23100499740103</v>
      </c>
      <c r="L80" s="8">
        <v>28.22650302118709</v>
      </c>
      <c r="M80" s="8">
        <v>28.22227097039286</v>
      </c>
      <c r="N80" s="8">
        <v>28.21830738185526</v>
      </c>
      <c r="O80" s="8">
        <v>28.21461078172142</v>
      </c>
      <c r="P80" s="8">
        <v>28.21117968540784</v>
      </c>
      <c r="Q80" s="8">
        <v>28.20801259764266</v>
      </c>
      <c r="R80" s="8">
        <v>28.20510801243072</v>
      </c>
      <c r="S80" s="8">
        <v>28.20246441309864</v>
      </c>
      <c r="T80" s="8">
        <v>28.20008027228032</v>
      </c>
      <c r="U80" s="8">
        <v>28.19795405193727</v>
      </c>
      <c r="V80" s="8">
        <v>28.19608420332224</v>
      </c>
      <c r="W80" s="8">
        <v>28.19446916704474</v>
      </c>
      <c r="X80" s="8">
        <v>28.19310737300548</v>
      </c>
      <c r="Y80" s="8">
        <v>28.19199724046048</v>
      </c>
      <c r="Z80" s="8">
        <v>28.191137177973</v>
      </c>
      <c r="AA80" s="8">
        <v>28.19052558346302</v>
      </c>
      <c r="AB80" s="8">
        <v>28.19016084416653</v>
      </c>
      <c r="AC80" s="8">
        <v>28.19004133666167</v>
      </c>
      <c r="AD80" s="8">
        <v>28.19016542685858</v>
      </c>
      <c r="AE80" s="8">
        <v>28.19053147001832</v>
      </c>
      <c r="AF80" s="8">
        <v>28.19113781072229</v>
      </c>
      <c r="AG80" s="8">
        <v>28.19198278290714</v>
      </c>
      <c r="AH80" s="8">
        <v>28.19306470982701</v>
      </c>
      <c r="AI80" s="8">
        <v>28.19438190409273</v>
      </c>
      <c r="AJ80" s="8">
        <v>28.19593266764423</v>
      </c>
      <c r="AK80" s="8">
        <v>28.19771529177087</v>
      </c>
      <c r="AL80" s="8">
        <v>28.1997280570853</v>
      </c>
      <c r="AM80" s="8">
        <v>28.20196923354379</v>
      </c>
      <c r="AN80" s="8">
        <v>28.20443708044331</v>
      </c>
      <c r="AO80" s="8">
        <v>28.20712984641432</v>
      </c>
      <c r="AP80" s="8">
        <v>28.21004576942214</v>
      </c>
      <c r="AQ80" s="8">
        <v>28.2131830767612</v>
      </c>
      <c r="AR80" s="8">
        <v>28.21653998507536</v>
      </c>
      <c r="AS80" s="8">
        <v>28.22011470032303</v>
      </c>
      <c r="AT80" s="8">
        <v>28.22390541781206</v>
      </c>
    </row>
    <row r="81" spans="1:46">
      <c r="A81" s="7">
        <v>34.7</v>
      </c>
      <c r="B81" s="8">
        <v>28.2844611599372</v>
      </c>
      <c r="C81" s="8">
        <v>28.27772420062538</v>
      </c>
      <c r="D81" s="8">
        <v>28.27127302190492</v>
      </c>
      <c r="E81" s="8">
        <v>28.26510624481161</v>
      </c>
      <c r="F81" s="8">
        <v>28.25922247936687</v>
      </c>
      <c r="G81" s="8">
        <v>28.25362032460544</v>
      </c>
      <c r="H81" s="8">
        <v>28.24829836855788</v>
      </c>
      <c r="I81" s="8">
        <v>28.24325518829137</v>
      </c>
      <c r="J81" s="8">
        <v>28.23848934992275</v>
      </c>
      <c r="K81" s="8">
        <v>28.23399940862146</v>
      </c>
      <c r="L81" s="8">
        <v>28.22978390860808</v>
      </c>
      <c r="M81" s="8">
        <v>28.2258413831878</v>
      </c>
      <c r="N81" s="8">
        <v>28.22217035472277</v>
      </c>
      <c r="O81" s="8">
        <v>28.21876933470048</v>
      </c>
      <c r="P81" s="8">
        <v>28.21563682367123</v>
      </c>
      <c r="Q81" s="8">
        <v>28.21277131132956</v>
      </c>
      <c r="R81" s="8">
        <v>28.21017127643718</v>
      </c>
      <c r="S81" s="8">
        <v>28.20783518690878</v>
      </c>
      <c r="T81" s="8">
        <v>28.20576149976987</v>
      </c>
      <c r="U81" s="8">
        <v>28.20394866118004</v>
      </c>
      <c r="V81" s="8">
        <v>28.20239510643442</v>
      </c>
      <c r="W81" s="8">
        <v>28.20109925996949</v>
      </c>
      <c r="X81" s="8">
        <v>28.20005953536602</v>
      </c>
      <c r="Y81" s="8">
        <v>28.19927433535777</v>
      </c>
      <c r="Z81" s="8">
        <v>28.1987420518286</v>
      </c>
      <c r="AA81" s="8">
        <v>28.19846106581099</v>
      </c>
      <c r="AB81" s="8">
        <v>28.19842974751373</v>
      </c>
      <c r="AC81" s="8">
        <v>28.19864645628695</v>
      </c>
      <c r="AD81" s="8">
        <v>28.19910954067455</v>
      </c>
      <c r="AE81" s="8">
        <v>28.19981733835448</v>
      </c>
      <c r="AF81" s="8">
        <v>28.20076817619556</v>
      </c>
      <c r="AG81" s="8">
        <v>28.2019603702327</v>
      </c>
      <c r="AH81" s="8">
        <v>28.20339222566545</v>
      </c>
      <c r="AI81" s="8">
        <v>28.20506203688274</v>
      </c>
      <c r="AJ81" s="8">
        <v>28.20696808743669</v>
      </c>
      <c r="AK81" s="8">
        <v>28.2091086500528</v>
      </c>
      <c r="AL81" s="8">
        <v>28.21148198664741</v>
      </c>
      <c r="AM81" s="8">
        <v>28.21408634830295</v>
      </c>
      <c r="AN81" s="8">
        <v>28.2169199752956</v>
      </c>
      <c r="AO81" s="8">
        <v>28.2199810970691</v>
      </c>
      <c r="AP81" s="8">
        <v>28.22326793224784</v>
      </c>
      <c r="AQ81" s="8">
        <v>28.22677868865576</v>
      </c>
      <c r="AR81" s="8">
        <v>28.23051156327565</v>
      </c>
      <c r="AS81" s="8">
        <v>28.23446474229131</v>
      </c>
      <c r="AT81" s="8">
        <v>28.23863640107156</v>
      </c>
    </row>
    <row r="82" spans="1:46">
      <c r="A82" s="7">
        <v>34.8</v>
      </c>
      <c r="B82" s="8">
        <v>28.28484386470955</v>
      </c>
      <c r="C82" s="8">
        <v>28.27836550182692</v>
      </c>
      <c r="D82" s="8">
        <v>28.27217607708299</v>
      </c>
      <c r="E82" s="8">
        <v>28.26627419885481</v>
      </c>
      <c r="F82" s="8">
        <v>28.26065846432029</v>
      </c>
      <c r="G82" s="8">
        <v>28.25532745945529</v>
      </c>
      <c r="H82" s="8">
        <v>28.25027975904959</v>
      </c>
      <c r="I82" s="8">
        <v>28.24551392673311</v>
      </c>
      <c r="J82" s="8">
        <v>28.24102851494972</v>
      </c>
      <c r="K82" s="8">
        <v>28.23682206504018</v>
      </c>
      <c r="L82" s="8">
        <v>28.23289310718537</v>
      </c>
      <c r="M82" s="8">
        <v>28.22924016045436</v>
      </c>
      <c r="N82" s="8">
        <v>28.22586173278687</v>
      </c>
      <c r="O82" s="8">
        <v>28.22275632105011</v>
      </c>
      <c r="P82" s="8">
        <v>28.21992241098487</v>
      </c>
      <c r="Q82" s="8">
        <v>28.21735847727687</v>
      </c>
      <c r="R82" s="8">
        <v>28.21506298352906</v>
      </c>
      <c r="S82" s="8">
        <v>28.21303438226896</v>
      </c>
      <c r="T82" s="8">
        <v>28.21127111496462</v>
      </c>
      <c r="U82" s="8">
        <v>28.20977161203918</v>
      </c>
      <c r="V82" s="8">
        <v>28.2085342928578</v>
      </c>
      <c r="W82" s="8">
        <v>28.20755756576255</v>
      </c>
      <c r="X82" s="8">
        <v>28.20683982803894</v>
      </c>
      <c r="Y82" s="8">
        <v>28.20637946596835</v>
      </c>
      <c r="Z82" s="8">
        <v>28.20617485478142</v>
      </c>
      <c r="AA82" s="8">
        <v>28.20622435871628</v>
      </c>
      <c r="AB82" s="8">
        <v>28.20652633096761</v>
      </c>
      <c r="AC82" s="8">
        <v>28.20707911374047</v>
      </c>
      <c r="AD82" s="8">
        <v>28.20788103822997</v>
      </c>
      <c r="AE82" s="8">
        <v>28.2089304246314</v>
      </c>
      <c r="AF82" s="8">
        <v>28.21022558211844</v>
      </c>
      <c r="AG82" s="8">
        <v>28.21176480889408</v>
      </c>
      <c r="AH82" s="8">
        <v>28.21354639216006</v>
      </c>
      <c r="AI82" s="8">
        <v>28.21556860811979</v>
      </c>
      <c r="AJ82" s="8">
        <v>28.21782972200453</v>
      </c>
      <c r="AK82" s="8">
        <v>28.22032798804139</v>
      </c>
      <c r="AL82" s="8">
        <v>28.2230616494955</v>
      </c>
      <c r="AM82" s="8">
        <v>28.22602893864096</v>
      </c>
      <c r="AN82" s="8">
        <v>28.22922807676223</v>
      </c>
      <c r="AO82" s="8">
        <v>28.23265727420221</v>
      </c>
      <c r="AP82" s="8">
        <v>28.23631473029527</v>
      </c>
      <c r="AQ82" s="8">
        <v>28.24019863343419</v>
      </c>
      <c r="AR82" s="8">
        <v>28.24430716102652</v>
      </c>
      <c r="AS82" s="8">
        <v>28.24863847951201</v>
      </c>
      <c r="AT82" s="8">
        <v>28.25319074438448</v>
      </c>
    </row>
    <row r="83" spans="1:46">
      <c r="A83" s="7">
        <v>34.9</v>
      </c>
      <c r="B83" s="8">
        <v>28.2850619748293</v>
      </c>
      <c r="C83" s="8">
        <v>28.27884236398531</v>
      </c>
      <c r="D83" s="8">
        <v>28.27291483540757</v>
      </c>
      <c r="E83" s="8">
        <v>28.26727798489446</v>
      </c>
      <c r="F83" s="8">
        <v>28.26193039680511</v>
      </c>
      <c r="G83" s="8">
        <v>28.25687064410886</v>
      </c>
      <c r="H83" s="8">
        <v>28.25209728838963</v>
      </c>
      <c r="I83" s="8">
        <v>28.24760887987213</v>
      </c>
      <c r="J83" s="8">
        <v>28.24340395742038</v>
      </c>
      <c r="K83" s="8">
        <v>28.23948104854644</v>
      </c>
      <c r="L83" s="8">
        <v>28.23583866945992</v>
      </c>
      <c r="M83" s="8">
        <v>28.23247532502864</v>
      </c>
      <c r="N83" s="8">
        <v>28.22938950883108</v>
      </c>
      <c r="O83" s="8">
        <v>28.22657970314758</v>
      </c>
      <c r="P83" s="8">
        <v>28.22404437897348</v>
      </c>
      <c r="Q83" s="8">
        <v>28.22178199603804</v>
      </c>
      <c r="R83" s="8">
        <v>28.21979100281169</v>
      </c>
      <c r="S83" s="8">
        <v>28.21806983650022</v>
      </c>
      <c r="T83" s="8">
        <v>28.21661692306225</v>
      </c>
      <c r="U83" s="8">
        <v>28.21543067723251</v>
      </c>
      <c r="V83" s="8">
        <v>28.2145095025131</v>
      </c>
      <c r="W83" s="8">
        <v>28.21385179118661</v>
      </c>
      <c r="X83" s="8">
        <v>28.21345592430589</v>
      </c>
      <c r="Y83" s="8">
        <v>28.21332027174212</v>
      </c>
      <c r="Z83" s="8">
        <v>28.21344319214841</v>
      </c>
      <c r="AA83" s="8">
        <v>28.21382303298451</v>
      </c>
      <c r="AB83" s="8">
        <v>28.21445813052123</v>
      </c>
      <c r="AC83" s="8">
        <v>28.21534680985642</v>
      </c>
      <c r="AD83" s="8">
        <v>28.21648738490039</v>
      </c>
      <c r="AE83" s="8">
        <v>28.21787815839925</v>
      </c>
      <c r="AF83" s="8">
        <v>28.21951742191304</v>
      </c>
      <c r="AG83" s="8">
        <v>28.2214034558594</v>
      </c>
      <c r="AH83" s="8">
        <v>28.223534529483</v>
      </c>
      <c r="AI83" s="8">
        <v>28.22590890089486</v>
      </c>
      <c r="AJ83" s="8">
        <v>28.22852481701848</v>
      </c>
      <c r="AK83" s="8">
        <v>28.23138051367714</v>
      </c>
      <c r="AL83" s="8">
        <v>28.23447421551537</v>
      </c>
      <c r="AM83" s="8">
        <v>28.23780413605273</v>
      </c>
      <c r="AN83" s="8">
        <v>28.2413684776795</v>
      </c>
      <c r="AO83" s="8">
        <v>28.24516543165373</v>
      </c>
      <c r="AP83" s="8">
        <v>28.24919317810272</v>
      </c>
      <c r="AQ83" s="8">
        <v>28.2534498860361</v>
      </c>
      <c r="AR83" s="8">
        <v>28.25793371334294</v>
      </c>
      <c r="AS83" s="8">
        <v>28.26264280678879</v>
      </c>
      <c r="AT83" s="8">
        <v>28.26757530204486</v>
      </c>
    </row>
    <row r="84" spans="1:46">
      <c r="A84" s="7">
        <v>35</v>
      </c>
      <c r="B84" s="8">
        <v>28.28512381065957</v>
      </c>
      <c r="C84" s="8">
        <v>28.27916308134882</v>
      </c>
      <c r="D84" s="8">
        <v>28.27349756469339</v>
      </c>
      <c r="E84" s="8">
        <v>28.26812584392173</v>
      </c>
      <c r="F84" s="8">
        <v>28.26304649063822</v>
      </c>
      <c r="G84" s="8">
        <v>28.25825806485227</v>
      </c>
      <c r="H84" s="8">
        <v>28.25375911499432</v>
      </c>
      <c r="I84" s="8">
        <v>28.24954817791731</v>
      </c>
      <c r="J84" s="8">
        <v>28.24562377893453</v>
      </c>
      <c r="K84" s="8">
        <v>28.24198443181231</v>
      </c>
      <c r="L84" s="8">
        <v>28.23862863880786</v>
      </c>
      <c r="M84" s="8">
        <v>28.23555489065766</v>
      </c>
      <c r="N84" s="8">
        <v>28.23276166660944</v>
      </c>
      <c r="O84" s="8">
        <v>28.23024743442802</v>
      </c>
      <c r="P84" s="8">
        <v>28.22801065039675</v>
      </c>
      <c r="Q84" s="8">
        <v>28.22604975934228</v>
      </c>
      <c r="R84" s="8">
        <v>28.22436319465487</v>
      </c>
      <c r="S84" s="8">
        <v>28.22294937826809</v>
      </c>
      <c r="T84" s="8">
        <v>28.2218067206908</v>
      </c>
      <c r="U84" s="8">
        <v>28.22093362101732</v>
      </c>
      <c r="V84" s="8">
        <v>28.22032846693473</v>
      </c>
      <c r="W84" s="8">
        <v>28.21998963471415</v>
      </c>
      <c r="X84" s="8">
        <v>28.21991548924998</v>
      </c>
      <c r="Y84" s="8">
        <v>28.22010438403668</v>
      </c>
      <c r="Z84" s="8">
        <v>28.22055466121819</v>
      </c>
      <c r="AA84" s="8">
        <v>28.22126465152251</v>
      </c>
      <c r="AB84" s="8">
        <v>28.22223267436639</v>
      </c>
      <c r="AC84" s="8">
        <v>28.22345703777683</v>
      </c>
      <c r="AD84" s="8">
        <v>28.22493603844487</v>
      </c>
      <c r="AE84" s="8">
        <v>28.22666796172562</v>
      </c>
      <c r="AF84" s="8">
        <v>28.22865108161932</v>
      </c>
      <c r="AG84" s="8">
        <v>28.23088366082084</v>
      </c>
      <c r="AH84" s="8">
        <v>28.23336395067745</v>
      </c>
      <c r="AI84" s="8">
        <v>28.23609019123833</v>
      </c>
      <c r="AJ84" s="8">
        <v>28.2390606112298</v>
      </c>
      <c r="AK84" s="8">
        <v>28.24227342806698</v>
      </c>
      <c r="AL84" s="8">
        <v>28.24572684787854</v>
      </c>
      <c r="AM84" s="8">
        <v>28.24941906548192</v>
      </c>
      <c r="AN84" s="8">
        <v>28.25334826442268</v>
      </c>
      <c r="AO84" s="8">
        <v>28.2575126169424</v>
      </c>
      <c r="AP84" s="8">
        <v>28.26191028400499</v>
      </c>
      <c r="AQ84" s="8">
        <v>28.26653941531549</v>
      </c>
      <c r="AR84" s="8">
        <v>28.27139814929105</v>
      </c>
      <c r="AS84" s="8">
        <v>28.27648461309873</v>
      </c>
      <c r="AT84" s="8">
        <v>28.28179692264384</v>
      </c>
    </row>
    <row r="85" spans="1:46">
      <c r="A85" s="7">
        <v>35.1</v>
      </c>
      <c r="B85" s="8">
        <v>28.28503768184164</v>
      </c>
      <c r="C85" s="8">
        <v>28.27933593751368</v>
      </c>
      <c r="D85" s="8">
        <v>28.27393252211332</v>
      </c>
      <c r="E85" s="8">
        <v>28.2688260063529</v>
      </c>
      <c r="F85" s="8">
        <v>28.26401494913007</v>
      </c>
      <c r="G85" s="8">
        <v>28.25949789753213</v>
      </c>
      <c r="H85" s="8">
        <v>28.25527338686516</v>
      </c>
      <c r="I85" s="8">
        <v>28.25133994069038</v>
      </c>
      <c r="J85" s="8">
        <v>28.24769607080379</v>
      </c>
      <c r="K85" s="8">
        <v>28.24434027727257</v>
      </c>
      <c r="L85" s="8">
        <v>28.24127104845684</v>
      </c>
      <c r="M85" s="8">
        <v>28.23848686100391</v>
      </c>
      <c r="N85" s="8">
        <v>28.23598617989046</v>
      </c>
      <c r="O85" s="8">
        <v>28.23376745840069</v>
      </c>
      <c r="P85" s="8">
        <v>28.23182913815981</v>
      </c>
      <c r="Q85" s="8">
        <v>28.23016964916023</v>
      </c>
      <c r="R85" s="8">
        <v>28.22878740974411</v>
      </c>
      <c r="S85" s="8">
        <v>28.22768082664697</v>
      </c>
      <c r="T85" s="8">
        <v>28.22684829495847</v>
      </c>
      <c r="U85" s="8">
        <v>28.22628819820384</v>
      </c>
      <c r="V85" s="8">
        <v>28.22599890829151</v>
      </c>
      <c r="W85" s="8">
        <v>28.22597878556553</v>
      </c>
      <c r="X85" s="8">
        <v>28.22622617877932</v>
      </c>
      <c r="Y85" s="8">
        <v>28.22673942514229</v>
      </c>
      <c r="Z85" s="8">
        <v>28.22751685030817</v>
      </c>
      <c r="AA85" s="8">
        <v>28.22855676837207</v>
      </c>
      <c r="AB85" s="8">
        <v>28.22985748191277</v>
      </c>
      <c r="AC85" s="8">
        <v>28.23141728196497</v>
      </c>
      <c r="AD85" s="8">
        <v>28.23323444806447</v>
      </c>
      <c r="AE85" s="8">
        <v>28.23530724821467</v>
      </c>
      <c r="AF85" s="8">
        <v>28.23763393893314</v>
      </c>
      <c r="AG85" s="8">
        <v>28.24021276522981</v>
      </c>
      <c r="AH85" s="8">
        <v>28.2430419606244</v>
      </c>
      <c r="AI85" s="8">
        <v>28.24611974717991</v>
      </c>
      <c r="AJ85" s="8">
        <v>28.24944433544733</v>
      </c>
      <c r="AK85" s="8">
        <v>28.25301392453694</v>
      </c>
      <c r="AL85" s="8">
        <v>28.25682670210226</v>
      </c>
      <c r="AM85" s="8">
        <v>28.26088084432995</v>
      </c>
      <c r="AN85" s="8">
        <v>28.26517451595282</v>
      </c>
      <c r="AO85" s="8">
        <v>28.26970587026881</v>
      </c>
      <c r="AP85" s="8">
        <v>28.27447304917005</v>
      </c>
      <c r="AQ85" s="8">
        <v>28.27947418308468</v>
      </c>
      <c r="AR85" s="8">
        <v>28.28470739104814</v>
      </c>
      <c r="AS85" s="8">
        <v>28.2901707806639</v>
      </c>
      <c r="AT85" s="8">
        <v>28.29586244814709</v>
      </c>
    </row>
    <row r="86" spans="1:46">
      <c r="A86" s="7">
        <v>35.2</v>
      </c>
      <c r="B86" s="8">
        <v>28.28481188627338</v>
      </c>
      <c r="C86" s="8">
        <v>28.2793692043575</v>
      </c>
      <c r="D86" s="8">
        <v>28.27422795319871</v>
      </c>
      <c r="E86" s="8">
        <v>28.26938669100637</v>
      </c>
      <c r="F86" s="8">
        <v>28.26484396402957</v>
      </c>
      <c r="G86" s="8">
        <v>28.26059830647573</v>
      </c>
      <c r="H86" s="8">
        <v>28.25664824059204</v>
      </c>
      <c r="I86" s="8">
        <v>28.25299227666837</v>
      </c>
      <c r="J86" s="8">
        <v>28.24962891304749</v>
      </c>
      <c r="K86" s="8">
        <v>28.24655663615122</v>
      </c>
      <c r="L86" s="8">
        <v>28.243773920479</v>
      </c>
      <c r="M86" s="8">
        <v>28.24127922865009</v>
      </c>
      <c r="N86" s="8">
        <v>28.23907101140212</v>
      </c>
      <c r="O86" s="8">
        <v>28.2371477076158</v>
      </c>
      <c r="P86" s="8">
        <v>28.23550774430769</v>
      </c>
      <c r="Q86" s="8">
        <v>28.23414953666797</v>
      </c>
      <c r="R86" s="8">
        <v>28.23307148807653</v>
      </c>
      <c r="S86" s="8">
        <v>28.23227199007815</v>
      </c>
      <c r="T86" s="8">
        <v>28.2317494224495</v>
      </c>
      <c r="U86" s="8">
        <v>28.23150215315691</v>
      </c>
      <c r="V86" s="8">
        <v>28.23152853842184</v>
      </c>
      <c r="W86" s="8">
        <v>28.23182692268601</v>
      </c>
      <c r="X86" s="8">
        <v>28.23239563864627</v>
      </c>
      <c r="Y86" s="8">
        <v>28.23323300726624</v>
      </c>
      <c r="Z86" s="8">
        <v>28.23433733777056</v>
      </c>
      <c r="AA86" s="8">
        <v>28.23570692768262</v>
      </c>
      <c r="AB86" s="8">
        <v>28.2373400627941</v>
      </c>
      <c r="AC86" s="8">
        <v>28.2392350172202</v>
      </c>
      <c r="AD86" s="8">
        <v>28.2413900533822</v>
      </c>
      <c r="AE86" s="8">
        <v>28.24380342200893</v>
      </c>
      <c r="AF86" s="8">
        <v>28.2464733621804</v>
      </c>
      <c r="AG86" s="8">
        <v>28.24939810129727</v>
      </c>
      <c r="AH86" s="8">
        <v>28.25257585511427</v>
      </c>
      <c r="AI86" s="8">
        <v>28.25600482773589</v>
      </c>
      <c r="AJ86" s="8">
        <v>28.25968321164255</v>
      </c>
      <c r="AK86" s="8">
        <v>28.26360918768187</v>
      </c>
      <c r="AL86" s="8">
        <v>28.26778092507739</v>
      </c>
      <c r="AM86" s="8">
        <v>28.27219658145768</v>
      </c>
      <c r="AN86" s="8">
        <v>28.27685430282145</v>
      </c>
      <c r="AO86" s="8">
        <v>28.28175222360005</v>
      </c>
      <c r="AP86" s="8">
        <v>28.28688846663426</v>
      </c>
      <c r="AQ86" s="8">
        <v>28.29226114318008</v>
      </c>
      <c r="AR86" s="8">
        <v>28.2978683529087</v>
      </c>
      <c r="AS86" s="8">
        <v>28.30370818396768</v>
      </c>
      <c r="AT86" s="8">
        <v>28.30977871291689</v>
      </c>
    </row>
    <row r="87" spans="1:46">
      <c r="A87" s="7">
        <v>35.3</v>
      </c>
      <c r="B87" s="8">
        <v>28.2844547090659</v>
      </c>
      <c r="C87" s="8">
        <v>28.2792711410686</v>
      </c>
      <c r="D87" s="8">
        <v>28.27439209081495</v>
      </c>
      <c r="E87" s="8">
        <v>28.26981610410294</v>
      </c>
      <c r="F87" s="8">
        <v>28.26554171455064</v>
      </c>
      <c r="G87" s="8">
        <v>28.26156744354375</v>
      </c>
      <c r="H87" s="8">
        <v>28.25789180032734</v>
      </c>
      <c r="I87" s="8">
        <v>28.25451328196068</v>
      </c>
      <c r="J87" s="8">
        <v>28.25143037338567</v>
      </c>
      <c r="K87" s="8">
        <v>28.24864154741808</v>
      </c>
      <c r="L87" s="8">
        <v>28.24614526476507</v>
      </c>
      <c r="M87" s="8">
        <v>28.24393997406005</v>
      </c>
      <c r="N87" s="8">
        <v>28.24202411186561</v>
      </c>
      <c r="O87" s="8">
        <v>28.2403961026881</v>
      </c>
      <c r="P87" s="8">
        <v>28.23905435900524</v>
      </c>
      <c r="Q87" s="8">
        <v>28.23799728126178</v>
      </c>
      <c r="R87" s="8">
        <v>28.23722325791023</v>
      </c>
      <c r="S87" s="8">
        <v>28.23673066538613</v>
      </c>
      <c r="T87" s="8">
        <v>28.23651786817791</v>
      </c>
      <c r="U87" s="8">
        <v>28.23658321879629</v>
      </c>
      <c r="V87" s="8">
        <v>28.23692505778163</v>
      </c>
      <c r="W87" s="8">
        <v>28.23754171376204</v>
      </c>
      <c r="X87" s="8">
        <v>28.23843150342582</v>
      </c>
      <c r="Y87" s="8">
        <v>28.23959273153741</v>
      </c>
      <c r="Z87" s="8">
        <v>28.24102369097818</v>
      </c>
      <c r="AA87" s="8">
        <v>28.24272266273183</v>
      </c>
      <c r="AB87" s="8">
        <v>28.24468791588879</v>
      </c>
      <c r="AC87" s="8">
        <v>28.24691770768404</v>
      </c>
      <c r="AD87" s="8">
        <v>28.24941028348548</v>
      </c>
      <c r="AE87" s="8">
        <v>28.25216387682885</v>
      </c>
      <c r="AF87" s="8">
        <v>28.25517670939153</v>
      </c>
      <c r="AG87" s="8">
        <v>28.258446991042</v>
      </c>
      <c r="AH87" s="8">
        <v>28.26197291981371</v>
      </c>
      <c r="AI87" s="8">
        <v>28.26575268196029</v>
      </c>
      <c r="AJ87" s="8">
        <v>28.26978445191053</v>
      </c>
      <c r="AK87" s="8">
        <v>28.27406639231776</v>
      </c>
      <c r="AL87" s="8">
        <v>28.27859665407159</v>
      </c>
      <c r="AM87" s="8">
        <v>28.28337337627163</v>
      </c>
      <c r="AN87" s="8">
        <v>28.28839468627411</v>
      </c>
      <c r="AO87" s="8">
        <v>28.29365869967878</v>
      </c>
      <c r="AP87" s="8">
        <v>28.29916352036089</v>
      </c>
      <c r="AQ87" s="8">
        <v>28.3049072404363</v>
      </c>
      <c r="AR87" s="8">
        <v>28.31088794034877</v>
      </c>
      <c r="AS87" s="8">
        <v>28.31710368879576</v>
      </c>
      <c r="AT87" s="8">
        <v>28.32355254278809</v>
      </c>
    </row>
    <row r="88" spans="1:46">
      <c r="A88" s="7">
        <v>35.4</v>
      </c>
      <c r="B88" s="8">
        <v>28.28397442160931</v>
      </c>
      <c r="C88" s="8">
        <v>28.27904999310122</v>
      </c>
      <c r="D88" s="8">
        <v>28.27443315416895</v>
      </c>
      <c r="E88" s="8">
        <v>28.27012243823265</v>
      </c>
      <c r="F88" s="8">
        <v>28.26611636633897</v>
      </c>
      <c r="G88" s="8">
        <v>28.26241344710579</v>
      </c>
      <c r="H88" s="8">
        <v>28.25901217679639</v>
      </c>
      <c r="I88" s="8">
        <v>28.25591103930783</v>
      </c>
      <c r="J88" s="8">
        <v>28.25310850622773</v>
      </c>
      <c r="K88" s="8">
        <v>28.25060303682258</v>
      </c>
      <c r="L88" s="8">
        <v>28.24839307805087</v>
      </c>
      <c r="M88" s="8">
        <v>28.24647706462274</v>
      </c>
      <c r="N88" s="8">
        <v>28.24485341896943</v>
      </c>
      <c r="O88" s="8">
        <v>28.2435205512942</v>
      </c>
      <c r="P88" s="8">
        <v>28.24247685956216</v>
      </c>
      <c r="Q88" s="8">
        <v>28.24172072954243</v>
      </c>
      <c r="R88" s="8">
        <v>28.24125053482276</v>
      </c>
      <c r="S88" s="8">
        <v>28.24106463678327</v>
      </c>
      <c r="T88" s="8">
        <v>28.24116138468235</v>
      </c>
      <c r="U88" s="8">
        <v>28.24153911560279</v>
      </c>
      <c r="V88" s="8">
        <v>28.24219615451293</v>
      </c>
      <c r="W88" s="8">
        <v>28.24313081424334</v>
      </c>
      <c r="X88" s="8">
        <v>28.24434139554214</v>
      </c>
      <c r="Y88" s="8">
        <v>28.2458261870619</v>
      </c>
      <c r="Z88" s="8">
        <v>28.24758346537419</v>
      </c>
      <c r="AA88" s="8">
        <v>28.24961149497685</v>
      </c>
      <c r="AB88" s="8">
        <v>28.25190852833766</v>
      </c>
      <c r="AC88" s="8">
        <v>28.25447280586523</v>
      </c>
      <c r="AD88" s="8">
        <v>28.25730255594535</v>
      </c>
      <c r="AE88" s="8">
        <v>28.26039599496726</v>
      </c>
      <c r="AF88" s="8">
        <v>28.26375132728717</v>
      </c>
      <c r="AG88" s="8">
        <v>28.26736674528656</v>
      </c>
      <c r="AH88" s="8">
        <v>28.2712404293663</v>
      </c>
      <c r="AI88" s="8">
        <v>28.27537054794957</v>
      </c>
      <c r="AJ88" s="8">
        <v>28.27975525752554</v>
      </c>
      <c r="AK88" s="8">
        <v>28.28439270260569</v>
      </c>
      <c r="AL88" s="8">
        <v>28.28928101578203</v>
      </c>
      <c r="AM88" s="8">
        <v>28.29441831773584</v>
      </c>
      <c r="AN88" s="8">
        <v>28.29980271719978</v>
      </c>
      <c r="AO88" s="8">
        <v>28.3054323110453</v>
      </c>
      <c r="AP88" s="8">
        <v>28.31130518422724</v>
      </c>
      <c r="AQ88" s="8">
        <v>28.31741940983484</v>
      </c>
      <c r="AR88" s="8">
        <v>28.32377304908732</v>
      </c>
      <c r="AS88" s="8">
        <v>28.33036415132811</v>
      </c>
      <c r="AT88" s="8">
        <v>28.33719075408444</v>
      </c>
    </row>
    <row r="89" spans="1:46">
      <c r="A89" s="7">
        <v>35.5</v>
      </c>
      <c r="B89" s="8">
        <v>28.2833792804915</v>
      </c>
      <c r="C89" s="8">
        <v>28.27871399119322</v>
      </c>
      <c r="D89" s="8">
        <v>28.27435934779351</v>
      </c>
      <c r="E89" s="8">
        <v>28.27031387140159</v>
      </c>
      <c r="F89" s="8">
        <v>28.26657607050002</v>
      </c>
      <c r="G89" s="8">
        <v>28.26314444100863</v>
      </c>
      <c r="H89" s="8">
        <v>28.26001746626571</v>
      </c>
      <c r="I89" s="8">
        <v>28.25719361706142</v>
      </c>
      <c r="J89" s="8">
        <v>28.25467135167128</v>
      </c>
      <c r="K89" s="8">
        <v>28.25244911585469</v>
      </c>
      <c r="L89" s="8">
        <v>28.25052534290444</v>
      </c>
      <c r="M89" s="8">
        <v>28.24889845362632</v>
      </c>
      <c r="N89" s="8">
        <v>28.24756685639149</v>
      </c>
      <c r="O89" s="8">
        <v>28.24652894713945</v>
      </c>
      <c r="P89" s="8">
        <v>28.24578310941288</v>
      </c>
      <c r="Q89" s="8">
        <v>28.24532771434315</v>
      </c>
      <c r="R89" s="8">
        <v>28.24516112069541</v>
      </c>
      <c r="S89" s="8">
        <v>28.24528167487297</v>
      </c>
      <c r="T89" s="8">
        <v>28.245687710942</v>
      </c>
      <c r="U89" s="8">
        <v>28.24637755064177</v>
      </c>
      <c r="V89" s="8">
        <v>28.24734950338898</v>
      </c>
      <c r="W89" s="8">
        <v>28.24860186633014</v>
      </c>
      <c r="X89" s="8">
        <v>28.2501329242994</v>
      </c>
      <c r="Y89" s="8">
        <v>28.25194094989129</v>
      </c>
      <c r="Z89" s="8">
        <v>28.25402420343598</v>
      </c>
      <c r="AA89" s="8">
        <v>28.25638093303132</v>
      </c>
      <c r="AB89" s="8">
        <v>28.25900937455008</v>
      </c>
      <c r="AC89" s="8">
        <v>28.26190775166033</v>
      </c>
      <c r="AD89" s="8">
        <v>28.26507427582401</v>
      </c>
      <c r="AE89" s="8">
        <v>28.26850714633911</v>
      </c>
      <c r="AF89" s="8">
        <v>28.27220455031056</v>
      </c>
      <c r="AG89" s="8">
        <v>28.2761646627041</v>
      </c>
      <c r="AH89" s="8">
        <v>28.28038564634189</v>
      </c>
      <c r="AI89" s="8">
        <v>28.28486565190542</v>
      </c>
      <c r="AJ89" s="8">
        <v>28.28960281797335</v>
      </c>
      <c r="AK89" s="8">
        <v>28.29459527099971</v>
      </c>
      <c r="AL89" s="8">
        <v>28.29984112537204</v>
      </c>
      <c r="AM89" s="8">
        <v>28.30533848336927</v>
      </c>
      <c r="AN89" s="8">
        <v>28.31108543522423</v>
      </c>
      <c r="AO89" s="8">
        <v>28.31708005910914</v>
      </c>
      <c r="AP89" s="8">
        <v>28.32332042114867</v>
      </c>
      <c r="AQ89" s="8">
        <v>28.32980457545055</v>
      </c>
      <c r="AR89" s="8">
        <v>28.33653056408657</v>
      </c>
      <c r="AS89" s="8">
        <v>28.34349641713197</v>
      </c>
      <c r="AT89" s="8">
        <v>28.35070015268575</v>
      </c>
    </row>
    <row r="90" spans="1:46">
      <c r="A90" s="7">
        <v>35.6</v>
      </c>
      <c r="B90" s="8">
        <v>28.28267752652318</v>
      </c>
      <c r="C90" s="8">
        <v>28.27827135035768</v>
      </c>
      <c r="D90" s="8">
        <v>28.27417886055628</v>
      </c>
      <c r="E90" s="8">
        <v>28.27039856594492</v>
      </c>
      <c r="F90" s="8">
        <v>28.26692896255263</v>
      </c>
      <c r="G90" s="8">
        <v>28.26376853360125</v>
      </c>
      <c r="H90" s="8">
        <v>28.26091574956954</v>
      </c>
      <c r="I90" s="8">
        <v>28.25836906819895</v>
      </c>
      <c r="J90" s="8">
        <v>28.25612693448784</v>
      </c>
      <c r="K90" s="8">
        <v>28.25418778077001</v>
      </c>
      <c r="L90" s="8">
        <v>28.25255002669437</v>
      </c>
      <c r="M90" s="8">
        <v>28.25121207923949</v>
      </c>
      <c r="N90" s="8">
        <v>28.25017233276594</v>
      </c>
      <c r="O90" s="8">
        <v>28.24942916901637</v>
      </c>
      <c r="P90" s="8">
        <v>28.24898095714016</v>
      </c>
      <c r="Q90" s="8">
        <v>28.24882605370076</v>
      </c>
      <c r="R90" s="8">
        <v>28.24896280270768</v>
      </c>
      <c r="S90" s="8">
        <v>28.2493895356427</v>
      </c>
      <c r="T90" s="8">
        <v>28.25010457143217</v>
      </c>
      <c r="U90" s="8">
        <v>28.25110621653439</v>
      </c>
      <c r="V90" s="8">
        <v>28.25239276489592</v>
      </c>
      <c r="W90" s="8">
        <v>28.25396249799233</v>
      </c>
      <c r="X90" s="8">
        <v>28.25581368484418</v>
      </c>
      <c r="Y90" s="8">
        <v>28.257944582036</v>
      </c>
      <c r="Z90" s="8">
        <v>28.26035343373223</v>
      </c>
      <c r="AA90" s="8">
        <v>28.26303847167874</v>
      </c>
      <c r="AB90" s="8">
        <v>28.26599791522894</v>
      </c>
      <c r="AC90" s="8">
        <v>28.26922997135989</v>
      </c>
      <c r="AD90" s="8">
        <v>28.27273283468821</v>
      </c>
      <c r="AE90" s="8">
        <v>28.27650468747452</v>
      </c>
      <c r="AF90" s="8">
        <v>28.28054369964957</v>
      </c>
      <c r="AG90" s="8">
        <v>28.28484802883031</v>
      </c>
      <c r="AH90" s="8">
        <v>28.2894158203213</v>
      </c>
      <c r="AI90" s="8">
        <v>28.29424520711618</v>
      </c>
      <c r="AJ90" s="8">
        <v>28.2993343099748</v>
      </c>
      <c r="AK90" s="8">
        <v>28.30468123735773</v>
      </c>
      <c r="AL90" s="8">
        <v>28.31028408549319</v>
      </c>
      <c r="AM90" s="8">
        <v>28.31614093835524</v>
      </c>
      <c r="AN90" s="8">
        <v>28.32224986773508</v>
      </c>
      <c r="AO90" s="8">
        <v>28.32860893316683</v>
      </c>
      <c r="AP90" s="8">
        <v>28.33521618203376</v>
      </c>
      <c r="AQ90" s="8">
        <v>28.34206964950426</v>
      </c>
      <c r="AR90" s="8">
        <v>28.34916735861916</v>
      </c>
      <c r="AS90" s="8">
        <v>28.35650732023205</v>
      </c>
      <c r="AT90" s="8">
        <v>28.36408753306896</v>
      </c>
    </row>
    <row r="91" spans="1:46">
      <c r="A91" s="7">
        <v>35.7</v>
      </c>
      <c r="B91" s="8">
        <v>28.28187738372944</v>
      </c>
      <c r="C91" s="8">
        <v>28.2777302688497</v>
      </c>
      <c r="D91" s="8">
        <v>28.27389986461349</v>
      </c>
      <c r="E91" s="8">
        <v>28.27038466761442</v>
      </c>
      <c r="F91" s="8">
        <v>28.26718316144834</v>
      </c>
      <c r="G91" s="8">
        <v>28.26429381672642</v>
      </c>
      <c r="H91" s="8">
        <v>28.26171509110572</v>
      </c>
      <c r="I91" s="8">
        <v>28.25944542931393</v>
      </c>
      <c r="J91" s="8">
        <v>28.25748326316388</v>
      </c>
      <c r="K91" s="8">
        <v>28.25582701158273</v>
      </c>
      <c r="L91" s="8">
        <v>28.25447508064681</v>
      </c>
      <c r="M91" s="8">
        <v>28.2534258635671</v>
      </c>
      <c r="N91" s="8">
        <v>28.25267774073873</v>
      </c>
      <c r="O91" s="8">
        <v>28.25222907976713</v>
      </c>
      <c r="P91" s="8">
        <v>28.25207823546662</v>
      </c>
      <c r="Q91" s="8">
        <v>28.25222354990401</v>
      </c>
      <c r="R91" s="8">
        <v>28.2526633523783</v>
      </c>
      <c r="S91" s="8">
        <v>28.25339595949772</v>
      </c>
      <c r="T91" s="8">
        <v>28.25441967514489</v>
      </c>
      <c r="U91" s="8">
        <v>28.25573279052478</v>
      </c>
      <c r="V91" s="8">
        <v>28.25733358417783</v>
      </c>
      <c r="W91" s="8">
        <v>28.2592203219916</v>
      </c>
      <c r="X91" s="8">
        <v>28.26139125722984</v>
      </c>
      <c r="Y91" s="8">
        <v>28.263844630534</v>
      </c>
      <c r="Z91" s="8">
        <v>28.2665786699421</v>
      </c>
      <c r="AA91" s="8">
        <v>28.26959159092512</v>
      </c>
      <c r="AB91" s="8">
        <v>28.27288159638265</v>
      </c>
      <c r="AC91" s="8">
        <v>28.2764468766909</v>
      </c>
      <c r="AD91" s="8">
        <v>28.28028560965031</v>
      </c>
      <c r="AE91" s="8">
        <v>28.28439596058161</v>
      </c>
      <c r="AF91" s="8">
        <v>28.28877608228504</v>
      </c>
      <c r="AG91" s="8">
        <v>28.29342411510152</v>
      </c>
      <c r="AH91" s="8">
        <v>28.29833818688057</v>
      </c>
      <c r="AI91" s="8">
        <v>28.30351641302841</v>
      </c>
      <c r="AJ91" s="8">
        <v>28.30895689652534</v>
      </c>
      <c r="AK91" s="8">
        <v>28.31465772790689</v>
      </c>
      <c r="AL91" s="8">
        <v>28.32061698533216</v>
      </c>
      <c r="AM91" s="8">
        <v>28.32683273453877</v>
      </c>
      <c r="AN91" s="8">
        <v>28.33330302891554</v>
      </c>
      <c r="AO91" s="8">
        <v>28.34002590947348</v>
      </c>
      <c r="AP91" s="8">
        <v>28.34699940488499</v>
      </c>
      <c r="AQ91" s="8">
        <v>28.35422153150721</v>
      </c>
      <c r="AR91" s="8">
        <v>28.36169029335288</v>
      </c>
      <c r="AS91" s="8">
        <v>28.36940368216747</v>
      </c>
      <c r="AT91" s="8">
        <v>28.37735967739136</v>
      </c>
    </row>
    <row r="92" spans="1:46">
      <c r="A92" s="7">
        <v>35.8</v>
      </c>
      <c r="B92" s="8">
        <v>28.28098705833545</v>
      </c>
      <c r="C92" s="8">
        <v>28.2770989271914</v>
      </c>
      <c r="D92" s="8">
        <v>28.27353051443642</v>
      </c>
      <c r="E92" s="8">
        <v>28.27028030449437</v>
      </c>
      <c r="F92" s="8">
        <v>28.26734676855849</v>
      </c>
      <c r="G92" s="8">
        <v>28.26472836469475</v>
      </c>
      <c r="H92" s="8">
        <v>28.26242353779671</v>
      </c>
      <c r="I92" s="8">
        <v>28.26043071962631</v>
      </c>
      <c r="J92" s="8">
        <v>28.25874832884292</v>
      </c>
      <c r="K92" s="8">
        <v>28.25737477105722</v>
      </c>
      <c r="L92" s="8">
        <v>28.25630843879917</v>
      </c>
      <c r="M92" s="8">
        <v>28.25554771158641</v>
      </c>
      <c r="N92" s="8">
        <v>28.25509095590824</v>
      </c>
      <c r="O92" s="8">
        <v>28.2549365252853</v>
      </c>
      <c r="P92" s="8">
        <v>28.2550827602623</v>
      </c>
      <c r="Q92" s="8">
        <v>28.25552798844292</v>
      </c>
      <c r="R92" s="8">
        <v>28.25627052451746</v>
      </c>
      <c r="S92" s="8">
        <v>28.25730867024686</v>
      </c>
      <c r="T92" s="8">
        <v>28.25864071454271</v>
      </c>
      <c r="U92" s="8">
        <v>28.26026493342215</v>
      </c>
      <c r="V92" s="8">
        <v>28.26217959008791</v>
      </c>
      <c r="W92" s="8">
        <v>28.26438293489482</v>
      </c>
      <c r="X92" s="8">
        <v>28.26687320539495</v>
      </c>
      <c r="Y92" s="8">
        <v>28.2696486263696</v>
      </c>
      <c r="Z92" s="8">
        <v>28.27270740981476</v>
      </c>
      <c r="AA92" s="8">
        <v>28.27604775497311</v>
      </c>
      <c r="AB92" s="8">
        <v>28.27966784837336</v>
      </c>
      <c r="AC92" s="8">
        <v>28.28356586380687</v>
      </c>
      <c r="AD92" s="8">
        <v>28.28773996237578</v>
      </c>
      <c r="AE92" s="8">
        <v>28.29218829250895</v>
      </c>
      <c r="AF92" s="8">
        <v>28.29690898996341</v>
      </c>
      <c r="AG92" s="8">
        <v>28.30190017785644</v>
      </c>
      <c r="AH92" s="8">
        <v>28.3071599666524</v>
      </c>
      <c r="AI92" s="8">
        <v>28.31268645425298</v>
      </c>
      <c r="AJ92" s="8">
        <v>28.31847772590845</v>
      </c>
      <c r="AK92" s="8">
        <v>28.32453185432096</v>
      </c>
      <c r="AL92" s="8">
        <v>28.33084689962998</v>
      </c>
      <c r="AM92" s="8">
        <v>28.33742090943706</v>
      </c>
      <c r="AN92" s="8">
        <v>28.34425191878254</v>
      </c>
      <c r="AO92" s="8">
        <v>28.35133795023139</v>
      </c>
      <c r="AP92" s="8">
        <v>28.35867701382376</v>
      </c>
      <c r="AQ92" s="8">
        <v>28.36626710715937</v>
      </c>
      <c r="AR92" s="8">
        <v>28.37410621533054</v>
      </c>
      <c r="AS92" s="8">
        <v>28.38219231102848</v>
      </c>
      <c r="AT92" s="8">
        <v>28.39052335448214</v>
      </c>
    </row>
    <row r="93" spans="1:46">
      <c r="A93" s="7">
        <v>35.9</v>
      </c>
      <c r="B93" s="8">
        <v>28.28001473776239</v>
      </c>
      <c r="C93" s="8">
        <v>28.27638548716059</v>
      </c>
      <c r="D93" s="8">
        <v>28.27307894581754</v>
      </c>
      <c r="E93" s="8">
        <v>28.270093586031</v>
      </c>
      <c r="F93" s="8">
        <v>28.2674278666891</v>
      </c>
      <c r="G93" s="8">
        <v>28.26508023332426</v>
      </c>
      <c r="H93" s="8">
        <v>28.26304911811021</v>
      </c>
      <c r="I93" s="8">
        <v>28.26133293993189</v>
      </c>
      <c r="J93" s="8">
        <v>28.25993010435923</v>
      </c>
      <c r="K93" s="8">
        <v>28.25883900369518</v>
      </c>
      <c r="L93" s="8">
        <v>28.25805801703391</v>
      </c>
      <c r="M93" s="8">
        <v>28.25758551020262</v>
      </c>
      <c r="N93" s="8">
        <v>28.25741983588523</v>
      </c>
      <c r="O93" s="8">
        <v>28.2575593335554</v>
      </c>
      <c r="P93" s="8">
        <v>28.25800232954498</v>
      </c>
      <c r="Q93" s="8">
        <v>28.25874713707453</v>
      </c>
      <c r="R93" s="8">
        <v>28.259792056265</v>
      </c>
      <c r="S93" s="8">
        <v>28.26113537411875</v>
      </c>
      <c r="T93" s="8">
        <v>28.26277536461421</v>
      </c>
      <c r="U93" s="8">
        <v>28.26471028866654</v>
      </c>
      <c r="V93" s="8">
        <v>28.2669383941713</v>
      </c>
      <c r="W93" s="8">
        <v>28.26945791604667</v>
      </c>
      <c r="X93" s="8">
        <v>28.27226707620284</v>
      </c>
      <c r="Y93" s="8">
        <v>28.27536408359447</v>
      </c>
      <c r="Z93" s="8">
        <v>28.27874713425699</v>
      </c>
      <c r="AA93" s="8">
        <v>28.28241441128339</v>
      </c>
      <c r="AB93" s="8">
        <v>28.28636408487364</v>
      </c>
      <c r="AC93" s="8">
        <v>28.29059431233327</v>
      </c>
      <c r="AD93" s="8">
        <v>28.29510323811992</v>
      </c>
      <c r="AE93" s="8">
        <v>28.29988899385062</v>
      </c>
      <c r="AF93" s="8">
        <v>28.30494969827851</v>
      </c>
      <c r="AG93" s="8">
        <v>28.31028345739178</v>
      </c>
      <c r="AH93" s="8">
        <v>28.31588836435549</v>
      </c>
      <c r="AI93" s="8">
        <v>28.32176249959593</v>
      </c>
      <c r="AJ93" s="8">
        <v>28.32790393074392</v>
      </c>
      <c r="AK93" s="8">
        <v>28.3343107127308</v>
      </c>
      <c r="AL93" s="8">
        <v>28.34098088775499</v>
      </c>
      <c r="AM93" s="8">
        <v>28.34791248531547</v>
      </c>
      <c r="AN93" s="8">
        <v>28.35510352223646</v>
      </c>
      <c r="AO93" s="8">
        <v>28.36255200267624</v>
      </c>
      <c r="AP93" s="8">
        <v>28.37025591814017</v>
      </c>
      <c r="AQ93" s="8">
        <v>28.37821324751567</v>
      </c>
      <c r="AR93" s="8">
        <v>28.38642195707798</v>
      </c>
      <c r="AS93" s="8">
        <v>28.39488000051788</v>
      </c>
      <c r="AT93" s="8">
        <v>28.40358531895472</v>
      </c>
    </row>
    <row r="94" spans="1:46">
      <c r="A94" s="7">
        <v>36</v>
      </c>
      <c r="B94" s="8">
        <v>28.27896858964668</v>
      </c>
      <c r="C94" s="8">
        <v>28.27559809077211</v>
      </c>
      <c r="D94" s="8">
        <v>28.27255327484308</v>
      </c>
      <c r="E94" s="8">
        <v>28.26983260206471</v>
      </c>
      <c r="F94" s="8">
        <v>28.26743451905931</v>
      </c>
      <c r="G94" s="8">
        <v>28.26535745889269</v>
      </c>
      <c r="H94" s="8">
        <v>28.26359984110168</v>
      </c>
      <c r="I94" s="8">
        <v>28.26216007169569</v>
      </c>
      <c r="J94" s="8">
        <v>28.26103654323233</v>
      </c>
      <c r="K94" s="8">
        <v>28.26022763479414</v>
      </c>
      <c r="L94" s="8">
        <v>28.25973171204241</v>
      </c>
      <c r="M94" s="8">
        <v>28.25954712724051</v>
      </c>
      <c r="N94" s="8">
        <v>28.25967221924802</v>
      </c>
      <c r="O94" s="8">
        <v>28.26010531361535</v>
      </c>
      <c r="P94" s="8">
        <v>28.26084472249786</v>
      </c>
      <c r="Q94" s="8">
        <v>28.26188874480577</v>
      </c>
      <c r="R94" s="8">
        <v>28.26323566612409</v>
      </c>
      <c r="S94" s="8">
        <v>28.26488375878835</v>
      </c>
      <c r="T94" s="8">
        <v>28.26683128188888</v>
      </c>
      <c r="U94" s="8">
        <v>28.26907648132037</v>
      </c>
      <c r="V94" s="8">
        <v>28.27161758973234</v>
      </c>
      <c r="W94" s="8">
        <v>28.27445282666304</v>
      </c>
      <c r="X94" s="8">
        <v>28.27758039843611</v>
      </c>
      <c r="Y94" s="8">
        <v>28.28099849828868</v>
      </c>
      <c r="Z94" s="8">
        <v>28.28470530632912</v>
      </c>
      <c r="AA94" s="8">
        <v>28.28869898957055</v>
      </c>
      <c r="AB94" s="8">
        <v>28.29297770197008</v>
      </c>
      <c r="AC94" s="8">
        <v>28.29753958441288</v>
      </c>
      <c r="AD94" s="8">
        <v>28.30238276476739</v>
      </c>
      <c r="AE94" s="8">
        <v>28.30750535790721</v>
      </c>
      <c r="AF94" s="8">
        <v>28.31290546568635</v>
      </c>
      <c r="AG94" s="8">
        <v>28.31858117700467</v>
      </c>
      <c r="AH94" s="8">
        <v>28.32453056781378</v>
      </c>
      <c r="AI94" s="8">
        <v>28.3307517011257</v>
      </c>
      <c r="AJ94" s="8">
        <v>28.33724262704636</v>
      </c>
      <c r="AK94" s="8">
        <v>28.3440013827887</v>
      </c>
      <c r="AL94" s="8">
        <v>28.35102599269739</v>
      </c>
      <c r="AM94" s="8">
        <v>28.3583144682576</v>
      </c>
      <c r="AN94" s="8">
        <v>28.36586480812402</v>
      </c>
      <c r="AO94" s="8">
        <v>28.37367499811953</v>
      </c>
      <c r="AP94" s="8">
        <v>28.38174301131803</v>
      </c>
      <c r="AQ94" s="8">
        <v>28.39006680798338</v>
      </c>
      <c r="AR94" s="8">
        <v>28.39864433562179</v>
      </c>
      <c r="AS94" s="8">
        <v>28.40747352901963</v>
      </c>
      <c r="AT94" s="8">
        <v>28.41655231023615</v>
      </c>
    </row>
    <row r="95" spans="1:46">
      <c r="A95" s="7">
        <v>36.1</v>
      </c>
      <c r="B95" s="8">
        <v>28.27785676079511</v>
      </c>
      <c r="C95" s="8">
        <v>28.27474485930579</v>
      </c>
      <c r="D95" s="8">
        <v>28.27196159690357</v>
      </c>
      <c r="E95" s="8">
        <v>28.26950542177365</v>
      </c>
      <c r="F95" s="8">
        <v>28.26737476831331</v>
      </c>
      <c r="G95" s="8">
        <v>28.26556805718865</v>
      </c>
      <c r="H95" s="8">
        <v>28.26408369533892</v>
      </c>
      <c r="I95" s="8">
        <v>28.26292007597804</v>
      </c>
      <c r="J95" s="8">
        <v>28.26207557868911</v>
      </c>
      <c r="K95" s="8">
        <v>28.26154856939538</v>
      </c>
      <c r="L95" s="8">
        <v>28.2613374003995</v>
      </c>
      <c r="M95" s="8">
        <v>28.26144041041261</v>
      </c>
      <c r="N95" s="8">
        <v>28.26185592461406</v>
      </c>
      <c r="O95" s="8">
        <v>28.26258225459896</v>
      </c>
      <c r="P95" s="8">
        <v>28.26361769848882</v>
      </c>
      <c r="Q95" s="8">
        <v>28.26496054088202</v>
      </c>
      <c r="R95" s="8">
        <v>28.26660905292956</v>
      </c>
      <c r="S95" s="8">
        <v>28.26856149235973</v>
      </c>
      <c r="T95" s="8">
        <v>28.27081610343594</v>
      </c>
      <c r="U95" s="8">
        <v>28.2733711170702</v>
      </c>
      <c r="V95" s="8">
        <v>28.27622475078533</v>
      </c>
      <c r="W95" s="8">
        <v>28.27937520876731</v>
      </c>
      <c r="X95" s="8">
        <v>28.28282068184635</v>
      </c>
      <c r="Y95" s="8">
        <v>28.28655934758281</v>
      </c>
      <c r="Z95" s="8">
        <v>28.29058937024383</v>
      </c>
      <c r="AA95" s="8">
        <v>28.29490890084126</v>
      </c>
      <c r="AB95" s="8">
        <v>28.29951607712282</v>
      </c>
      <c r="AC95" s="8">
        <v>28.3044090236639</v>
      </c>
      <c r="AD95" s="8">
        <v>28.30958585180488</v>
      </c>
      <c r="AE95" s="8">
        <v>28.3150446597414</v>
      </c>
      <c r="AF95" s="8">
        <v>28.32078353249817</v>
      </c>
      <c r="AG95" s="8">
        <v>28.32680054197845</v>
      </c>
      <c r="AH95" s="8">
        <v>28.33309374696837</v>
      </c>
      <c r="AI95" s="8">
        <v>28.33966119316901</v>
      </c>
      <c r="AJ95" s="8">
        <v>28.34650091321091</v>
      </c>
      <c r="AK95" s="8">
        <v>28.35361092668754</v>
      </c>
      <c r="AL95" s="8">
        <v>28.36098924013786</v>
      </c>
      <c r="AM95" s="8">
        <v>28.36863384712342</v>
      </c>
      <c r="AN95" s="8">
        <v>28.37654272821383</v>
      </c>
      <c r="AO95" s="8">
        <v>28.38471385099838</v>
      </c>
      <c r="AP95" s="8">
        <v>28.39314517014282</v>
      </c>
      <c r="AQ95" s="8">
        <v>28.4018346273835</v>
      </c>
      <c r="AR95" s="8">
        <v>28.41078015155363</v>
      </c>
      <c r="AS95" s="8">
        <v>28.41997965859773</v>
      </c>
      <c r="AT95" s="8">
        <v>28.42943105162558</v>
      </c>
    </row>
    <row r="96" spans="1:46">
      <c r="A96" s="7">
        <v>36.2</v>
      </c>
      <c r="B96" s="8">
        <v>28.2766873762288</v>
      </c>
      <c r="C96" s="8">
        <v>28.27383389228053</v>
      </c>
      <c r="D96" s="8">
        <v>28.27131198568968</v>
      </c>
      <c r="E96" s="8">
        <v>28.26912009268708</v>
      </c>
      <c r="F96" s="8">
        <v>28.26725663551479</v>
      </c>
      <c r="G96" s="8">
        <v>28.26572002247121</v>
      </c>
      <c r="H96" s="8">
        <v>28.26450864795333</v>
      </c>
      <c r="I96" s="8">
        <v>28.26362089245231</v>
      </c>
      <c r="J96" s="8">
        <v>28.26305512263352</v>
      </c>
      <c r="K96" s="8">
        <v>28.2628096912973</v>
      </c>
      <c r="L96" s="8">
        <v>28.26288293747639</v>
      </c>
      <c r="M96" s="8">
        <v>28.26327318639669</v>
      </c>
      <c r="N96" s="8">
        <v>28.26397874956019</v>
      </c>
      <c r="O96" s="8">
        <v>28.26499792474642</v>
      </c>
      <c r="P96" s="8">
        <v>28.26632899603283</v>
      </c>
      <c r="Q96" s="8">
        <v>28.26797023382533</v>
      </c>
      <c r="R96" s="8">
        <v>28.26991989489616</v>
      </c>
      <c r="S96" s="8">
        <v>28.27217622239113</v>
      </c>
      <c r="T96" s="8">
        <v>28.27473744586023</v>
      </c>
      <c r="U96" s="8">
        <v>28.27760178128956</v>
      </c>
      <c r="V96" s="8">
        <v>28.28076743112178</v>
      </c>
      <c r="W96" s="8">
        <v>28.28423258426483</v>
      </c>
      <c r="X96" s="8">
        <v>28.28799541613989</v>
      </c>
      <c r="Y96" s="8">
        <v>28.29205408869457</v>
      </c>
      <c r="Z96" s="8">
        <v>28.29640675041592</v>
      </c>
      <c r="AA96" s="8">
        <v>28.30105153637269</v>
      </c>
      <c r="AB96" s="8">
        <v>28.3059865682415</v>
      </c>
      <c r="AC96" s="8">
        <v>28.31120995427191</v>
      </c>
      <c r="AD96" s="8">
        <v>28.31671978940722</v>
      </c>
      <c r="AE96" s="8">
        <v>28.32251415521605</v>
      </c>
      <c r="AF96" s="8">
        <v>28.32859111997677</v>
      </c>
      <c r="AG96" s="8">
        <v>28.33494873865857</v>
      </c>
      <c r="AH96" s="8">
        <v>28.34158505297382</v>
      </c>
      <c r="AI96" s="8">
        <v>28.34849809137959</v>
      </c>
      <c r="AJ96" s="8">
        <v>28.35568586910667</v>
      </c>
      <c r="AK96" s="8">
        <v>28.36314638819604</v>
      </c>
      <c r="AL96" s="8">
        <v>28.3708776374915</v>
      </c>
      <c r="AM96" s="8">
        <v>28.37887759268633</v>
      </c>
      <c r="AN96" s="8">
        <v>28.38714421633631</v>
      </c>
      <c r="AO96" s="8">
        <v>28.39567545788159</v>
      </c>
      <c r="AP96" s="8">
        <v>28.40446925367142</v>
      </c>
      <c r="AQ96" s="8">
        <v>28.41352352699905</v>
      </c>
      <c r="AR96" s="8">
        <v>28.4228361880756</v>
      </c>
      <c r="AS96" s="8">
        <v>28.4324051341333</v>
      </c>
      <c r="AT96" s="8">
        <v>28.44222824936296</v>
      </c>
    </row>
    <row r="97" spans="1:46">
      <c r="A97" s="7">
        <v>36.3</v>
      </c>
      <c r="B97" s="8">
        <v>28.2754685381733</v>
      </c>
      <c r="C97" s="8">
        <v>28.27287326646183</v>
      </c>
      <c r="D97" s="8">
        <v>28.2706124922086</v>
      </c>
      <c r="E97" s="8">
        <v>28.2686846397366</v>
      </c>
      <c r="F97" s="8">
        <v>28.26708811916324</v>
      </c>
      <c r="G97" s="8">
        <v>28.26582132650219</v>
      </c>
      <c r="H97" s="8">
        <v>28.26488264365762</v>
      </c>
      <c r="I97" s="8">
        <v>28.26427043845761</v>
      </c>
      <c r="J97" s="8">
        <v>28.26398306468618</v>
      </c>
      <c r="K97" s="8">
        <v>28.26401886211679</v>
      </c>
      <c r="L97" s="8">
        <v>28.2643761565414</v>
      </c>
      <c r="M97" s="8">
        <v>28.26505325977487</v>
      </c>
      <c r="N97" s="8">
        <v>28.26604846972623</v>
      </c>
      <c r="O97" s="8">
        <v>28.26736007038853</v>
      </c>
      <c r="P97" s="8">
        <v>28.2689863318752</v>
      </c>
      <c r="Q97" s="8">
        <v>28.27092551045935</v>
      </c>
      <c r="R97" s="8">
        <v>28.27317584859411</v>
      </c>
      <c r="S97" s="8">
        <v>28.27573557493597</v>
      </c>
      <c r="T97" s="8">
        <v>28.27860290435783</v>
      </c>
      <c r="U97" s="8">
        <v>28.28177603800868</v>
      </c>
      <c r="V97" s="8">
        <v>28.28525316329469</v>
      </c>
      <c r="W97" s="8">
        <v>28.28903245394904</v>
      </c>
      <c r="X97" s="8">
        <v>28.29311207002902</v>
      </c>
      <c r="Y97" s="8">
        <v>28.29749015793641</v>
      </c>
      <c r="Z97" s="8">
        <v>28.30216485048004</v>
      </c>
      <c r="AA97" s="8">
        <v>28.30713426684815</v>
      </c>
      <c r="AB97" s="8">
        <v>28.3123965126666</v>
      </c>
      <c r="AC97" s="8">
        <v>28.31794968001341</v>
      </c>
      <c r="AD97" s="8">
        <v>28.3237918474435</v>
      </c>
      <c r="AE97" s="8">
        <v>28.32992108002363</v>
      </c>
      <c r="AF97" s="8">
        <v>28.33633542932803</v>
      </c>
      <c r="AG97" s="8">
        <v>28.34303293348203</v>
      </c>
      <c r="AH97" s="8">
        <v>28.35001161719265</v>
      </c>
      <c r="AI97" s="8">
        <v>28.35726949175005</v>
      </c>
      <c r="AJ97" s="8">
        <v>28.36480455507699</v>
      </c>
      <c r="AK97" s="8">
        <v>28.37261479173903</v>
      </c>
      <c r="AL97" s="8">
        <v>28.38069817294163</v>
      </c>
      <c r="AM97" s="8">
        <v>28.38905265660869</v>
      </c>
      <c r="AN97" s="8">
        <v>28.39767618736514</v>
      </c>
      <c r="AO97" s="8">
        <v>28.40656669657619</v>
      </c>
      <c r="AP97" s="8">
        <v>28.41572210236336</v>
      </c>
      <c r="AQ97" s="8">
        <v>28.42514030963212</v>
      </c>
      <c r="AR97" s="8">
        <v>28.43481921009952</v>
      </c>
      <c r="AS97" s="8">
        <v>28.44475668231608</v>
      </c>
      <c r="AT97" s="8">
        <v>28.45495059167733</v>
      </c>
    </row>
    <row r="98" spans="1:46">
      <c r="A98" s="7">
        <v>36.4</v>
      </c>
      <c r="B98" s="8">
        <v>28.27420832502976</v>
      </c>
      <c r="C98" s="8">
        <v>28.27187103487522</v>
      </c>
      <c r="D98" s="8">
        <v>28.26987114378426</v>
      </c>
      <c r="E98" s="8">
        <v>28.26820706419239</v>
      </c>
      <c r="F98" s="8">
        <v>28.2668771941826</v>
      </c>
      <c r="G98" s="8">
        <v>28.26587991753331</v>
      </c>
      <c r="H98" s="8">
        <v>28.2652136037068</v>
      </c>
      <c r="I98" s="8">
        <v>28.26487660792482</v>
      </c>
      <c r="J98" s="8">
        <v>28.26486727116571</v>
      </c>
      <c r="K98" s="8">
        <v>28.26518392022844</v>
      </c>
      <c r="L98" s="8">
        <v>28.26582486771513</v>
      </c>
      <c r="M98" s="8">
        <v>28.26678841210524</v>
      </c>
      <c r="N98" s="8">
        <v>28.26807283776143</v>
      </c>
      <c r="O98" s="8">
        <v>28.26967641497759</v>
      </c>
      <c r="P98" s="8">
        <v>28.27159739995113</v>
      </c>
      <c r="Q98" s="8">
        <v>28.27383403490385</v>
      </c>
      <c r="R98" s="8">
        <v>28.27638454802509</v>
      </c>
      <c r="S98" s="8">
        <v>28.27924715353002</v>
      </c>
      <c r="T98" s="8">
        <v>28.28242005172506</v>
      </c>
      <c r="U98" s="8">
        <v>28.28590142894245</v>
      </c>
      <c r="V98" s="8">
        <v>28.28968945767265</v>
      </c>
      <c r="W98" s="8">
        <v>28.29378229651629</v>
      </c>
      <c r="X98" s="8">
        <v>28.29817809023225</v>
      </c>
      <c r="Y98" s="8">
        <v>28.3028749697798</v>
      </c>
      <c r="Z98" s="8">
        <v>28.3078710523172</v>
      </c>
      <c r="AA98" s="8">
        <v>28.31316444124677</v>
      </c>
      <c r="AB98" s="8">
        <v>28.31875322623237</v>
      </c>
      <c r="AC98" s="8">
        <v>28.32463548323867</v>
      </c>
      <c r="AD98" s="8">
        <v>28.33080927452393</v>
      </c>
      <c r="AE98" s="8">
        <v>28.33727264869667</v>
      </c>
      <c r="AF98" s="8">
        <v>28.34402364072885</v>
      </c>
      <c r="AG98" s="8">
        <v>28.35106027198053</v>
      </c>
      <c r="AH98" s="8">
        <v>28.35838055022468</v>
      </c>
      <c r="AI98" s="8">
        <v>28.36598246967769</v>
      </c>
      <c r="AJ98" s="8">
        <v>28.37386401100812</v>
      </c>
      <c r="AK98" s="8">
        <v>28.38202314139053</v>
      </c>
      <c r="AL98" s="8">
        <v>28.3904578144924</v>
      </c>
      <c r="AM98" s="8">
        <v>28.39916597053525</v>
      </c>
      <c r="AN98" s="8">
        <v>28.40814553630189</v>
      </c>
      <c r="AO98" s="8">
        <v>28.41739442514954</v>
      </c>
      <c r="AP98" s="8">
        <v>28.42691053706512</v>
      </c>
      <c r="AQ98" s="8">
        <v>28.43669175866525</v>
      </c>
      <c r="AR98" s="8">
        <v>28.4467359632341</v>
      </c>
      <c r="AS98" s="8">
        <v>28.45704101073789</v>
      </c>
      <c r="AT98" s="8">
        <v>28.46760474785697</v>
      </c>
    </row>
    <row r="99" spans="1:46">
      <c r="A99" s="7">
        <v>36.5</v>
      </c>
      <c r="B99" s="8">
        <v>28.27291479041596</v>
      </c>
      <c r="C99" s="8">
        <v>28.27083522581961</v>
      </c>
      <c r="D99" s="8">
        <v>28.26909594304161</v>
      </c>
      <c r="E99" s="8">
        <v>28.26769534273044</v>
      </c>
      <c r="F99" s="8">
        <v>28.26663181096519</v>
      </c>
      <c r="G99" s="8">
        <v>28.26590371933853</v>
      </c>
      <c r="H99" s="8">
        <v>28.26550942495523</v>
      </c>
      <c r="I99" s="8">
        <v>28.26544727047294</v>
      </c>
      <c r="J99" s="8">
        <v>28.26571558413416</v>
      </c>
      <c r="K99" s="8">
        <v>28.26631267981138</v>
      </c>
      <c r="L99" s="8">
        <v>28.26723685699835</v>
      </c>
      <c r="M99" s="8">
        <v>28.26848640089447</v>
      </c>
      <c r="N99" s="8">
        <v>28.27005958238296</v>
      </c>
      <c r="O99" s="8">
        <v>28.27195465810509</v>
      </c>
      <c r="P99" s="8">
        <v>28.27416987043544</v>
      </c>
      <c r="Q99" s="8">
        <v>28.27670344758808</v>
      </c>
      <c r="R99" s="8">
        <v>28.27955360356573</v>
      </c>
      <c r="S99" s="8">
        <v>28.28271853823535</v>
      </c>
      <c r="T99" s="8">
        <v>28.2861964373471</v>
      </c>
      <c r="U99" s="8">
        <v>28.28998547256051</v>
      </c>
      <c r="V99" s="8">
        <v>28.29408380145906</v>
      </c>
      <c r="W99" s="8">
        <v>28.29848956759815</v>
      </c>
      <c r="X99" s="8">
        <v>28.30320090052992</v>
      </c>
      <c r="Y99" s="8">
        <v>28.30821591582353</v>
      </c>
      <c r="Z99" s="8">
        <v>28.31353271507542</v>
      </c>
      <c r="AA99" s="8">
        <v>28.3191493859762</v>
      </c>
      <c r="AB99" s="8">
        <v>28.32506400230341</v>
      </c>
      <c r="AC99" s="8">
        <v>28.33127462396806</v>
      </c>
      <c r="AD99" s="8">
        <v>28.33777929701318</v>
      </c>
      <c r="AE99" s="8">
        <v>28.34457605368516</v>
      </c>
      <c r="AF99" s="8">
        <v>28.35166291242204</v>
      </c>
      <c r="AG99" s="8">
        <v>28.35903787788411</v>
      </c>
      <c r="AH99" s="8">
        <v>28.36669894100196</v>
      </c>
      <c r="AI99" s="8">
        <v>28.37464407898806</v>
      </c>
      <c r="AJ99" s="8">
        <v>28.38287125535862</v>
      </c>
      <c r="AK99" s="8">
        <v>28.39137841996126</v>
      </c>
      <c r="AL99" s="8">
        <v>28.40016350902151</v>
      </c>
      <c r="AM99" s="8">
        <v>28.40922444512689</v>
      </c>
      <c r="AN99" s="8">
        <v>28.41855913730105</v>
      </c>
      <c r="AO99" s="8">
        <v>28.42816548099654</v>
      </c>
      <c r="AP99" s="8">
        <v>28.43804135813407</v>
      </c>
      <c r="AQ99" s="8">
        <v>28.44818463712581</v>
      </c>
      <c r="AR99" s="8">
        <v>28.45859317290014</v>
      </c>
      <c r="AS99" s="8">
        <v>28.46926480694965</v>
      </c>
      <c r="AT99" s="8">
        <v>28.48019736732385</v>
      </c>
    </row>
    <row r="100" spans="1:46">
      <c r="A100" s="7">
        <v>36.6</v>
      </c>
      <c r="B100" s="8">
        <v>28.27159596217534</v>
      </c>
      <c r="C100" s="8">
        <v>28.26977384184138</v>
      </c>
      <c r="D100" s="8">
        <v>28.26829486695642</v>
      </c>
      <c r="E100" s="8">
        <v>28.26715742639353</v>
      </c>
      <c r="F100" s="8">
        <v>28.26635989432543</v>
      </c>
      <c r="G100" s="8">
        <v>28.26590063020412</v>
      </c>
      <c r="H100" s="8">
        <v>28.26577797883074</v>
      </c>
      <c r="I100" s="8">
        <v>28.26599027036573</v>
      </c>
      <c r="J100" s="8">
        <v>28.26653582038125</v>
      </c>
      <c r="K100" s="8">
        <v>28.26741292987281</v>
      </c>
      <c r="L100" s="8">
        <v>28.26861988530145</v>
      </c>
      <c r="M100" s="8">
        <v>28.27015495863743</v>
      </c>
      <c r="N100" s="8">
        <v>28.2720164073573</v>
      </c>
      <c r="O100" s="8">
        <v>28.27420247451664</v>
      </c>
      <c r="P100" s="8">
        <v>28.27671138874866</v>
      </c>
      <c r="Q100" s="8">
        <v>28.27954136429035</v>
      </c>
      <c r="R100" s="8">
        <v>28.28269060106395</v>
      </c>
      <c r="S100" s="8">
        <v>28.2861572846261</v>
      </c>
      <c r="T100" s="8">
        <v>28.28993958628271</v>
      </c>
      <c r="U100" s="8">
        <v>28.29403566303808</v>
      </c>
      <c r="V100" s="8">
        <v>28.29844365768222</v>
      </c>
      <c r="W100" s="8">
        <v>28.30316169879224</v>
      </c>
      <c r="X100" s="8">
        <v>28.30818790077173</v>
      </c>
      <c r="Y100" s="8">
        <v>28.31352036387689</v>
      </c>
      <c r="Z100" s="8">
        <v>28.31915717423108</v>
      </c>
      <c r="AA100" s="8">
        <v>28.3250964038758</v>
      </c>
      <c r="AB100" s="8">
        <v>28.33133611078665</v>
      </c>
      <c r="AC100" s="8">
        <v>28.33787433888065</v>
      </c>
      <c r="AD100" s="8">
        <v>28.34470911809476</v>
      </c>
      <c r="AE100" s="8">
        <v>28.35183846436703</v>
      </c>
      <c r="AF100" s="8">
        <v>28.35926037968311</v>
      </c>
      <c r="AG100" s="8">
        <v>28.36697285210102</v>
      </c>
      <c r="AH100" s="8">
        <v>28.37497385577735</v>
      </c>
      <c r="AI100" s="8">
        <v>28.38326135100506</v>
      </c>
      <c r="AJ100" s="8">
        <v>28.3918332842266</v>
      </c>
      <c r="AK100" s="8">
        <v>28.40068758805428</v>
      </c>
      <c r="AL100" s="8">
        <v>28.40982218132849</v>
      </c>
      <c r="AM100" s="8">
        <v>28.41923496911913</v>
      </c>
      <c r="AN100" s="8">
        <v>28.42892384276201</v>
      </c>
      <c r="AO100" s="8">
        <v>28.43888667988358</v>
      </c>
      <c r="AP100" s="8">
        <v>28.4491213444373</v>
      </c>
      <c r="AQ100" s="8">
        <v>28.45962568671239</v>
      </c>
      <c r="AR100" s="8">
        <v>28.47039754338766</v>
      </c>
      <c r="AS100" s="8">
        <v>28.48143473753153</v>
      </c>
      <c r="AT100" s="8">
        <v>28.49273507866019</v>
      </c>
    </row>
    <row r="101" spans="1:46">
      <c r="A101" s="7">
        <v>36.7</v>
      </c>
      <c r="B101" s="8">
        <v>28.27025984134671</v>
      </c>
      <c r="C101" s="8">
        <v>28.26869485877251</v>
      </c>
      <c r="D101" s="8">
        <v>28.2674758658075</v>
      </c>
      <c r="E101" s="8">
        <v>28.26660123963811</v>
      </c>
      <c r="F101" s="8">
        <v>28.26606934255542</v>
      </c>
      <c r="G101" s="8">
        <v>28.26587852194934</v>
      </c>
      <c r="H101" s="8">
        <v>28.26602711037267</v>
      </c>
      <c r="I101" s="8">
        <v>28.26651342554542</v>
      </c>
      <c r="J101" s="8">
        <v>28.2673357704407</v>
      </c>
      <c r="K101" s="8">
        <v>28.26849243323668</v>
      </c>
      <c r="L101" s="8">
        <v>28.26998168741848</v>
      </c>
      <c r="M101" s="8">
        <v>28.27180179180723</v>
      </c>
      <c r="N101" s="8">
        <v>28.27395099053974</v>
      </c>
      <c r="O101" s="8">
        <v>28.27642751313542</v>
      </c>
      <c r="P101" s="8">
        <v>28.27922957454866</v>
      </c>
      <c r="Q101" s="8">
        <v>28.28235537515138</v>
      </c>
      <c r="R101" s="8">
        <v>28.28580310080288</v>
      </c>
      <c r="S101" s="8">
        <v>28.28957092286</v>
      </c>
      <c r="T101" s="8">
        <v>28.29365699822229</v>
      </c>
      <c r="U101" s="8">
        <v>28.29805946933629</v>
      </c>
      <c r="V101" s="8">
        <v>28.30277646426402</v>
      </c>
      <c r="W101" s="8">
        <v>28.30780609667854</v>
      </c>
      <c r="X101" s="8">
        <v>28.31314646590763</v>
      </c>
      <c r="Y101" s="8">
        <v>28.31879565697309</v>
      </c>
      <c r="Z101" s="8">
        <v>28.32475174059073</v>
      </c>
      <c r="AA101" s="8">
        <v>28.33101277323585</v>
      </c>
      <c r="AB101" s="8">
        <v>28.33757679715491</v>
      </c>
      <c r="AC101" s="8">
        <v>28.34444184038148</v>
      </c>
      <c r="AD101" s="8">
        <v>28.35160591678141</v>
      </c>
      <c r="AE101" s="8">
        <v>28.35906702608772</v>
      </c>
      <c r="AF101" s="8">
        <v>28.36682315391808</v>
      </c>
      <c r="AG101" s="8">
        <v>28.37487227179663</v>
      </c>
      <c r="AH101" s="8">
        <v>28.38321233719616</v>
      </c>
      <c r="AI101" s="8">
        <v>28.3918412935629</v>
      </c>
      <c r="AJ101" s="8">
        <v>28.4007570703543</v>
      </c>
      <c r="AK101" s="8">
        <v>28.40995758304489</v>
      </c>
      <c r="AL101" s="8">
        <v>28.4194407331699</v>
      </c>
      <c r="AM101" s="8">
        <v>28.4292044083486</v>
      </c>
      <c r="AN101" s="8">
        <v>28.43924648233806</v>
      </c>
      <c r="AO101" s="8">
        <v>28.44956481501722</v>
      </c>
      <c r="AP101" s="8">
        <v>28.46015725245088</v>
      </c>
      <c r="AQ101" s="8">
        <v>28.47102162690571</v>
      </c>
      <c r="AR101" s="8">
        <v>28.48215575688373</v>
      </c>
      <c r="AS101" s="8">
        <v>28.49355744714412</v>
      </c>
      <c r="AT101" s="8">
        <v>28.50522448874108</v>
      </c>
    </row>
    <row r="102" spans="1:46">
      <c r="A102" s="7">
        <v>36.8</v>
      </c>
      <c r="B102" s="8">
        <v>28.26891440123291</v>
      </c>
      <c r="C102" s="8">
        <v>28.26760622474685</v>
      </c>
      <c r="D102" s="8">
        <v>28.26664686226286</v>
      </c>
      <c r="E102" s="8">
        <v>28.26603467933455</v>
      </c>
      <c r="F102" s="8">
        <v>28.2657680264354</v>
      </c>
      <c r="G102" s="8">
        <v>28.26584523894708</v>
      </c>
      <c r="H102" s="8">
        <v>28.2662646372366</v>
      </c>
      <c r="I102" s="8">
        <v>28.26702452666505</v>
      </c>
      <c r="J102" s="8">
        <v>28.26812319761666</v>
      </c>
      <c r="K102" s="8">
        <v>28.2695589255789</v>
      </c>
      <c r="L102" s="8">
        <v>28.27132997111476</v>
      </c>
      <c r="M102" s="8">
        <v>28.27343457992392</v>
      </c>
      <c r="N102" s="8">
        <v>28.27587098288641</v>
      </c>
      <c r="O102" s="8">
        <v>28.27863739608292</v>
      </c>
      <c r="P102" s="8">
        <v>28.2817320208298</v>
      </c>
      <c r="Q102" s="8">
        <v>28.28515304369648</v>
      </c>
      <c r="R102" s="8">
        <v>28.28889863657532</v>
      </c>
      <c r="S102" s="8">
        <v>28.29296695667872</v>
      </c>
      <c r="T102" s="8">
        <v>28.29735614657111</v>
      </c>
      <c r="U102" s="8">
        <v>28.30206433423009</v>
      </c>
      <c r="V102" s="8">
        <v>28.30708963304787</v>
      </c>
      <c r="W102" s="8">
        <v>28.31243014186912</v>
      </c>
      <c r="X102" s="8">
        <v>28.31808394502877</v>
      </c>
      <c r="Y102" s="8">
        <v>28.32404911238118</v>
      </c>
      <c r="Z102" s="8">
        <v>28.33032369933353</v>
      </c>
      <c r="AA102" s="8">
        <v>28.33690574685897</v>
      </c>
      <c r="AB102" s="8">
        <v>28.34379328154609</v>
      </c>
      <c r="AC102" s="8">
        <v>28.35098431562655</v>
      </c>
      <c r="AD102" s="8">
        <v>28.35847684699111</v>
      </c>
      <c r="AE102" s="8">
        <v>28.36626885924052</v>
      </c>
      <c r="AF102" s="8">
        <v>28.37435832169722</v>
      </c>
      <c r="AG102" s="8">
        <v>28.38274318944459</v>
      </c>
      <c r="AH102" s="8">
        <v>28.39142140334734</v>
      </c>
      <c r="AI102" s="8">
        <v>28.4003908901097</v>
      </c>
      <c r="AJ102" s="8">
        <v>28.40964956226089</v>
      </c>
      <c r="AK102" s="8">
        <v>28.41919531823514</v>
      </c>
      <c r="AL102" s="8">
        <v>28.42902604235569</v>
      </c>
      <c r="AM102" s="8">
        <v>28.43913960487698</v>
      </c>
      <c r="AN102" s="8">
        <v>28.44953386205598</v>
      </c>
      <c r="AO102" s="8">
        <v>28.46020665611286</v>
      </c>
      <c r="AP102" s="8">
        <v>28.47115581532271</v>
      </c>
      <c r="AQ102" s="8">
        <v>28.48237915401405</v>
      </c>
      <c r="AR102" s="8">
        <v>28.4938744725936</v>
      </c>
      <c r="AS102" s="8">
        <v>28.50563955761754</v>
      </c>
      <c r="AT102" s="8">
        <v>28.51767218176101</v>
      </c>
    </row>
    <row r="103" spans="1:46">
      <c r="A103" s="7">
        <v>36.9</v>
      </c>
      <c r="B103" s="8">
        <v>28.26756758635747</v>
      </c>
      <c r="C103" s="8">
        <v>28.26651585918298</v>
      </c>
      <c r="D103" s="8">
        <v>28.26581575032323</v>
      </c>
      <c r="E103" s="8">
        <v>28.26546561375726</v>
      </c>
      <c r="F103" s="8">
        <v>28.26546378820494</v>
      </c>
      <c r="G103" s="8">
        <v>28.26580859711103</v>
      </c>
      <c r="H103" s="8">
        <v>28.2664983486975</v>
      </c>
      <c r="I103" s="8">
        <v>28.26753133603343</v>
      </c>
      <c r="J103" s="8">
        <v>28.26890583702334</v>
      </c>
      <c r="K103" s="8">
        <v>28.27062011445232</v>
      </c>
      <c r="L103" s="8">
        <v>28.27267241605732</v>
      </c>
      <c r="M103" s="8">
        <v>28.2750609745126</v>
      </c>
      <c r="N103" s="8">
        <v>28.27778400748502</v>
      </c>
      <c r="O103" s="8">
        <v>28.2808397176821</v>
      </c>
      <c r="P103" s="8">
        <v>28.28422629285196</v>
      </c>
      <c r="Q103" s="8">
        <v>28.2879419058605</v>
      </c>
      <c r="R103" s="8">
        <v>28.29198471466371</v>
      </c>
      <c r="S103" s="8">
        <v>28.29635286241973</v>
      </c>
      <c r="T103" s="8">
        <v>28.30104447744816</v>
      </c>
      <c r="U103" s="8">
        <v>28.30605767330126</v>
      </c>
      <c r="V103" s="8">
        <v>28.3113905487975</v>
      </c>
      <c r="W103" s="8">
        <v>28.31704118801135</v>
      </c>
      <c r="X103" s="8">
        <v>28.32300766038534</v>
      </c>
      <c r="Y103" s="8">
        <v>28.32928802068345</v>
      </c>
      <c r="Z103" s="8">
        <v>28.33588030904793</v>
      </c>
      <c r="AA103" s="8">
        <v>28.34278255106328</v>
      </c>
      <c r="AB103" s="8">
        <v>28.34999275773007</v>
      </c>
      <c r="AC103" s="8">
        <v>28.35750892556389</v>
      </c>
      <c r="AD103" s="8">
        <v>28.36532903655025</v>
      </c>
      <c r="AE103" s="8">
        <v>28.37345105824934</v>
      </c>
      <c r="AF103" s="8">
        <v>28.38187294376985</v>
      </c>
      <c r="AG103" s="8">
        <v>28.39059263183153</v>
      </c>
      <c r="AH103" s="8">
        <v>28.39960804679577</v>
      </c>
      <c r="AI103" s="8">
        <v>28.40891709868738</v>
      </c>
      <c r="AJ103" s="8">
        <v>28.41851768321649</v>
      </c>
      <c r="AK103" s="8">
        <v>28.42840768183523</v>
      </c>
      <c r="AL103" s="8">
        <v>28.43858496176108</v>
      </c>
      <c r="AM103" s="8">
        <v>28.44904737597535</v>
      </c>
      <c r="AN103" s="8">
        <v>28.45979276330472</v>
      </c>
      <c r="AO103" s="8">
        <v>28.47081894842268</v>
      </c>
      <c r="AP103" s="8">
        <v>28.48212374190043</v>
      </c>
      <c r="AQ103" s="8">
        <v>28.49370494020113</v>
      </c>
      <c r="AR103" s="8">
        <v>28.50556032576133</v>
      </c>
      <c r="AS103" s="8">
        <v>28.51768766698951</v>
      </c>
      <c r="AT103" s="8">
        <v>28.53008471830399</v>
      </c>
    </row>
    <row r="104" spans="1:46">
      <c r="A104" s="7">
        <v>37</v>
      </c>
      <c r="B104" s="8">
        <v>28.26622731151583</v>
      </c>
      <c r="C104" s="8">
        <v>28.26543165182666</v>
      </c>
      <c r="D104" s="8">
        <v>28.26499039437913</v>
      </c>
      <c r="E104" s="8">
        <v>28.26490188166063</v>
      </c>
      <c r="F104" s="8">
        <v>28.2651644406651</v>
      </c>
      <c r="G104" s="8">
        <v>28.26577638295857</v>
      </c>
      <c r="H104" s="8">
        <v>28.26673600472568</v>
      </c>
      <c r="I104" s="8">
        <v>28.2680415867595</v>
      </c>
      <c r="J104" s="8">
        <v>28.26969139455905</v>
      </c>
      <c r="K104" s="8">
        <v>28.27168367830018</v>
      </c>
      <c r="L104" s="8">
        <v>28.27401667294471</v>
      </c>
      <c r="M104" s="8">
        <v>28.27668859819387</v>
      </c>
      <c r="N104" s="8">
        <v>28.27969765858725</v>
      </c>
      <c r="O104" s="8">
        <v>28.28304204352607</v>
      </c>
      <c r="P104" s="8">
        <v>28.28671992726886</v>
      </c>
      <c r="Q104" s="8">
        <v>28.29072946901724</v>
      </c>
      <c r="R104" s="8">
        <v>28.29506881291309</v>
      </c>
      <c r="S104" s="8">
        <v>28.29973608809669</v>
      </c>
      <c r="T104" s="8">
        <v>28.30472940873442</v>
      </c>
      <c r="U104" s="8">
        <v>28.31004687401437</v>
      </c>
      <c r="V104" s="8">
        <v>28.3156865682613</v>
      </c>
      <c r="W104" s="8">
        <v>28.32164656088717</v>
      </c>
      <c r="X104" s="8">
        <v>28.32792490647262</v>
      </c>
      <c r="Y104" s="8">
        <v>28.33451964478299</v>
      </c>
      <c r="Z104" s="8">
        <v>28.34142880080471</v>
      </c>
      <c r="AA104" s="8">
        <v>28.34865038477437</v>
      </c>
      <c r="AB104" s="8">
        <v>28.35618239222385</v>
      </c>
      <c r="AC104" s="8">
        <v>28.36402280400216</v>
      </c>
      <c r="AD104" s="8">
        <v>28.37216958628996</v>
      </c>
      <c r="AE104" s="8">
        <v>28.3806206906811</v>
      </c>
      <c r="AF104" s="8">
        <v>28.38937405415636</v>
      </c>
      <c r="AG104" s="8">
        <v>28.39842759918101</v>
      </c>
      <c r="AH104" s="8">
        <v>28.40777923366259</v>
      </c>
      <c r="AI104" s="8">
        <v>28.41742685105273</v>
      </c>
      <c r="AJ104" s="8">
        <v>28.4273683303385</v>
      </c>
      <c r="AK104" s="8">
        <v>28.43760153607145</v>
      </c>
      <c r="AL104" s="8">
        <v>28.44812431842583</v>
      </c>
      <c r="AM104" s="8">
        <v>28.45893451323063</v>
      </c>
      <c r="AN104" s="8">
        <v>28.47002994197101</v>
      </c>
      <c r="AO104" s="8">
        <v>28.4814084118625</v>
      </c>
      <c r="AP104" s="8">
        <v>28.49306771584816</v>
      </c>
      <c r="AQ104" s="8">
        <v>28.50500563264359</v>
      </c>
      <c r="AR104" s="8">
        <v>28.51721992677922</v>
      </c>
      <c r="AS104" s="8">
        <v>28.52970834864245</v>
      </c>
      <c r="AT104" s="8">
        <v>28.54246863446606</v>
      </c>
    </row>
    <row r="105" spans="1:46">
      <c r="A105" s="7">
        <v>37.1</v>
      </c>
      <c r="B105" s="8">
        <v>28.26490146077122</v>
      </c>
      <c r="C105" s="8">
        <v>28.2643614617642</v>
      </c>
      <c r="D105" s="8">
        <v>28.2641786282431</v>
      </c>
      <c r="E105" s="8">
        <v>28.2643512912342</v>
      </c>
      <c r="F105" s="8">
        <v>28.2648777661103</v>
      </c>
      <c r="G105" s="8">
        <v>28.26575635261543</v>
      </c>
      <c r="H105" s="8">
        <v>28.26698533492163</v>
      </c>
      <c r="I105" s="8">
        <v>28.26856298166386</v>
      </c>
      <c r="J105" s="8">
        <v>28.27048754596472</v>
      </c>
      <c r="K105" s="8">
        <v>28.27275726547959</v>
      </c>
      <c r="L105" s="8">
        <v>28.2753703624403</v>
      </c>
      <c r="M105" s="8">
        <v>28.27832504365506</v>
      </c>
      <c r="N105" s="8">
        <v>28.28161950062058</v>
      </c>
      <c r="O105" s="8">
        <v>28.28525190947112</v>
      </c>
      <c r="P105" s="8">
        <v>28.28922043107304</v>
      </c>
      <c r="Q105" s="8">
        <v>28.29352321103361</v>
      </c>
      <c r="R105" s="8">
        <v>28.29815837973438</v>
      </c>
      <c r="S105" s="8">
        <v>28.30312405239965</v>
      </c>
      <c r="T105" s="8">
        <v>28.30841832908191</v>
      </c>
      <c r="U105" s="8">
        <v>28.31403929473309</v>
      </c>
      <c r="V105" s="8">
        <v>28.31998501921771</v>
      </c>
      <c r="W105" s="8">
        <v>28.32625355736964</v>
      </c>
      <c r="X105" s="8">
        <v>28.3328429490095</v>
      </c>
      <c r="Y105" s="8">
        <v>28.33975121896365</v>
      </c>
      <c r="Z105" s="8">
        <v>28.34697637713834</v>
      </c>
      <c r="AA105" s="8">
        <v>28.35451641854306</v>
      </c>
      <c r="AB105" s="8">
        <v>28.36236932326574</v>
      </c>
      <c r="AC105" s="8">
        <v>28.37053305661393</v>
      </c>
      <c r="AD105" s="8">
        <v>28.3790055690406</v>
      </c>
      <c r="AE105" s="8">
        <v>28.38778479624307</v>
      </c>
      <c r="AF105" s="8">
        <v>28.39686865919939</v>
      </c>
      <c r="AG105" s="8">
        <v>28.40625506414363</v>
      </c>
      <c r="AH105" s="8">
        <v>28.4159419026706</v>
      </c>
      <c r="AI105" s="8">
        <v>28.42592705171992</v>
      </c>
      <c r="AJ105" s="8">
        <v>28.43620837363705</v>
      </c>
      <c r="AK105" s="8">
        <v>28.44678371618647</v>
      </c>
      <c r="AL105" s="8">
        <v>28.45765091259673</v>
      </c>
      <c r="AM105" s="8">
        <v>28.46880778160848</v>
      </c>
      <c r="AN105" s="8">
        <v>28.48025212747307</v>
      </c>
      <c r="AO105" s="8">
        <v>28.49198174002668</v>
      </c>
      <c r="AP105" s="8">
        <v>28.50399439468892</v>
      </c>
      <c r="AQ105" s="8">
        <v>28.5162878525196</v>
      </c>
      <c r="AR105" s="8">
        <v>28.52885986025212</v>
      </c>
      <c r="AS105" s="8">
        <v>28.54170815030375</v>
      </c>
      <c r="AT105" s="8">
        <v>28.55483044086868</v>
      </c>
    </row>
    <row r="106" spans="1:46">
      <c r="A106" s="7">
        <v>37.2</v>
      </c>
      <c r="B106" s="8">
        <v>28.26359788651171</v>
      </c>
      <c r="C106" s="8">
        <v>28.26331311643735</v>
      </c>
      <c r="D106" s="8">
        <v>28.26338825411367</v>
      </c>
      <c r="E106" s="8">
        <v>28.26382161916845</v>
      </c>
      <c r="F106" s="8">
        <v>28.2646115154057</v>
      </c>
      <c r="G106" s="8">
        <v>28.26575623081008</v>
      </c>
      <c r="H106" s="8">
        <v>28.26725403762102</v>
      </c>
      <c r="I106" s="8">
        <v>28.2691031923634</v>
      </c>
      <c r="J106" s="8">
        <v>28.2713019358489</v>
      </c>
      <c r="K106" s="8">
        <v>28.27384849328373</v>
      </c>
      <c r="L106" s="8">
        <v>28.27674107423955</v>
      </c>
      <c r="M106" s="8">
        <v>28.27997787272034</v>
      </c>
      <c r="N106" s="8">
        <v>28.2835570672105</v>
      </c>
      <c r="O106" s="8">
        <v>28.28747682068788</v>
      </c>
      <c r="P106" s="8">
        <v>28.29173528067331</v>
      </c>
      <c r="Q106" s="8">
        <v>28.29633057926112</v>
      </c>
      <c r="R106" s="8">
        <v>28.30126083315117</v>
      </c>
      <c r="S106" s="8">
        <v>28.30652414371434</v>
      </c>
      <c r="T106" s="8">
        <v>28.3121185969896</v>
      </c>
      <c r="U106" s="8">
        <v>28.31804226373934</v>
      </c>
      <c r="V106" s="8">
        <v>28.32429319948132</v>
      </c>
      <c r="W106" s="8">
        <v>28.33086944452516</v>
      </c>
      <c r="X106" s="8">
        <v>28.33776902400423</v>
      </c>
      <c r="Y106" s="8">
        <v>28.34498994791938</v>
      </c>
      <c r="Z106" s="8">
        <v>28.3525302111666</v>
      </c>
      <c r="AA106" s="8">
        <v>28.36038779357623</v>
      </c>
      <c r="AB106" s="8">
        <v>28.36856065993779</v>
      </c>
      <c r="AC106" s="8">
        <v>28.37704676004359</v>
      </c>
      <c r="AD106" s="8">
        <v>28.38584402872948</v>
      </c>
      <c r="AE106" s="8">
        <v>28.39495038590831</v>
      </c>
      <c r="AF106" s="8">
        <v>28.40436373657576</v>
      </c>
      <c r="AG106" s="8">
        <v>28.4140819708904</v>
      </c>
      <c r="AH106" s="8">
        <v>28.42410296418093</v>
      </c>
      <c r="AI106" s="8">
        <v>28.4344245769913</v>
      </c>
      <c r="AJ106" s="8">
        <v>28.44504465509672</v>
      </c>
      <c r="AK106" s="8">
        <v>28.45596102957352</v>
      </c>
      <c r="AL106" s="8">
        <v>28.4671715167904</v>
      </c>
      <c r="AM106" s="8">
        <v>28.47867391850304</v>
      </c>
      <c r="AN106" s="8">
        <v>28.49046602181334</v>
      </c>
      <c r="AO106" s="8">
        <v>28.50254559927562</v>
      </c>
      <c r="AP106" s="8">
        <v>28.51491040888068</v>
      </c>
      <c r="AQ106" s="8">
        <v>28.52755819413142</v>
      </c>
      <c r="AR106" s="8">
        <v>28.54048668403848</v>
      </c>
      <c r="AS106" s="8">
        <v>28.55369359320175</v>
      </c>
      <c r="AT106" s="8">
        <v>28.56717662179872</v>
      </c>
    </row>
    <row r="107" spans="1:46">
      <c r="A107" s="7">
        <v>37.3</v>
      </c>
      <c r="B107" s="8">
        <v>28.26232440841413</v>
      </c>
      <c r="C107" s="8">
        <v>28.26229441067117</v>
      </c>
      <c r="D107" s="8">
        <v>28.26262704165565</v>
      </c>
      <c r="E107" s="8">
        <v>28.26332060967398</v>
      </c>
      <c r="F107" s="8">
        <v>28.2643734070065</v>
      </c>
      <c r="G107" s="8">
        <v>28.26578370995558</v>
      </c>
      <c r="H107" s="8">
        <v>28.26754977888195</v>
      </c>
      <c r="I107" s="8">
        <v>28.2696698582673</v>
      </c>
      <c r="J107" s="8">
        <v>28.27214217670699</v>
      </c>
      <c r="K107" s="8">
        <v>28.27496494699735</v>
      </c>
      <c r="L107" s="8">
        <v>28.27813636612409</v>
      </c>
      <c r="M107" s="8">
        <v>28.28165461536118</v>
      </c>
      <c r="N107" s="8">
        <v>28.28551786025782</v>
      </c>
      <c r="O107" s="8">
        <v>28.28972425068787</v>
      </c>
      <c r="P107" s="8">
        <v>28.29427192092407</v>
      </c>
      <c r="Q107" s="8">
        <v>28.29915898960608</v>
      </c>
      <c r="R107" s="8">
        <v>28.3043835598437</v>
      </c>
      <c r="S107" s="8">
        <v>28.30994371921843</v>
      </c>
      <c r="T107" s="8">
        <v>28.31583753983578</v>
      </c>
      <c r="U107" s="8">
        <v>28.3220630783384</v>
      </c>
      <c r="V107" s="8">
        <v>28.32861837598029</v>
      </c>
      <c r="W107" s="8">
        <v>28.33550145864137</v>
      </c>
      <c r="X107" s="8">
        <v>28.34271033684636</v>
      </c>
      <c r="Y107" s="8">
        <v>28.35024300583318</v>
      </c>
      <c r="Z107" s="8">
        <v>28.35809744558646</v>
      </c>
      <c r="AA107" s="8">
        <v>28.36627162083314</v>
      </c>
      <c r="AB107" s="8">
        <v>28.3747634811516</v>
      </c>
      <c r="AC107" s="8">
        <v>28.3835709609135</v>
      </c>
      <c r="AD107" s="8">
        <v>28.39269197942922</v>
      </c>
      <c r="AE107" s="8">
        <v>28.40212444086938</v>
      </c>
      <c r="AF107" s="8">
        <v>28.41186623439862</v>
      </c>
      <c r="AG107" s="8">
        <v>28.42191523414804</v>
      </c>
      <c r="AH107" s="8">
        <v>28.43226929928787</v>
      </c>
      <c r="AI107" s="8">
        <v>28.4429262740392</v>
      </c>
      <c r="AJ107" s="8">
        <v>28.45388398772338</v>
      </c>
      <c r="AK107" s="8">
        <v>28.46514025480865</v>
      </c>
      <c r="AL107" s="8">
        <v>28.47669287489844</v>
      </c>
      <c r="AM107" s="8">
        <v>28.48853963283182</v>
      </c>
      <c r="AN107" s="8">
        <v>28.50067829869222</v>
      </c>
      <c r="AO107" s="8">
        <v>28.5131066278278</v>
      </c>
      <c r="AP107" s="8">
        <v>28.52582236091403</v>
      </c>
      <c r="AQ107" s="8">
        <v>28.53882322396821</v>
      </c>
      <c r="AR107" s="8">
        <v>28.55210692840774</v>
      </c>
      <c r="AS107" s="8">
        <v>28.56567117107043</v>
      </c>
      <c r="AT107" s="8">
        <v>28.579513634264</v>
      </c>
    </row>
    <row r="108" spans="1:46">
      <c r="A108" s="7">
        <v>37.4</v>
      </c>
      <c r="B108" s="8">
        <v>28.26108881253312</v>
      </c>
      <c r="C108" s="8">
        <v>28.2613131057049</v>
      </c>
      <c r="D108" s="8">
        <v>28.2619027270106</v>
      </c>
      <c r="E108" s="8">
        <v>28.26285597348615</v>
      </c>
      <c r="F108" s="8">
        <v>28.26417112596391</v>
      </c>
      <c r="G108" s="8">
        <v>28.26584644912364</v>
      </c>
      <c r="H108" s="8">
        <v>28.26788019151864</v>
      </c>
      <c r="I108" s="8">
        <v>28.27027058565291</v>
      </c>
      <c r="J108" s="8">
        <v>28.27301584795205</v>
      </c>
      <c r="K108" s="8">
        <v>28.27611417888838</v>
      </c>
      <c r="L108" s="8">
        <v>28.2795637629577</v>
      </c>
      <c r="M108" s="8">
        <v>28.28336276873306</v>
      </c>
      <c r="N108" s="8">
        <v>28.28750934891723</v>
      </c>
      <c r="O108" s="8">
        <v>28.29200164037174</v>
      </c>
      <c r="P108" s="8">
        <v>28.29683776415477</v>
      </c>
      <c r="Q108" s="8">
        <v>28.30201582555892</v>
      </c>
      <c r="R108" s="8">
        <v>28.30753391416802</v>
      </c>
      <c r="S108" s="8">
        <v>28.31339010386291</v>
      </c>
      <c r="T108" s="8">
        <v>28.31958245287533</v>
      </c>
      <c r="U108" s="8">
        <v>28.32610900383006</v>
      </c>
      <c r="V108" s="8">
        <v>28.33296778378863</v>
      </c>
      <c r="W108" s="8">
        <v>28.34015680425946</v>
      </c>
      <c r="X108" s="8">
        <v>28.34767406127503</v>
      </c>
      <c r="Y108" s="8">
        <v>28.3555175353802</v>
      </c>
      <c r="Z108" s="8">
        <v>28.36368519172247</v>
      </c>
      <c r="AA108" s="8">
        <v>28.37217498004465</v>
      </c>
      <c r="AB108" s="8">
        <v>28.3809848347475</v>
      </c>
      <c r="AC108" s="8">
        <v>28.39011267491587</v>
      </c>
      <c r="AD108" s="8">
        <v>28.39955640437256</v>
      </c>
      <c r="AE108" s="8">
        <v>28.40931391169579</v>
      </c>
      <c r="AF108" s="8">
        <v>28.41938307026576</v>
      </c>
      <c r="AG108" s="8">
        <v>28.42976173829229</v>
      </c>
      <c r="AH108" s="8">
        <v>28.44044775886578</v>
      </c>
      <c r="AI108" s="8">
        <v>28.45143895999354</v>
      </c>
      <c r="AJ108" s="8">
        <v>28.46273315462604</v>
      </c>
      <c r="AK108" s="8">
        <v>28.47432814069325</v>
      </c>
      <c r="AL108" s="8">
        <v>28.4862217011716</v>
      </c>
      <c r="AM108" s="8">
        <v>28.49841160407959</v>
      </c>
      <c r="AN108" s="8">
        <v>28.5108956025375</v>
      </c>
      <c r="AO108" s="8">
        <v>28.5236714348197</v>
      </c>
      <c r="AP108" s="8">
        <v>28.53673682434892</v>
      </c>
      <c r="AQ108" s="8">
        <v>28.55008947979077</v>
      </c>
      <c r="AR108" s="8">
        <v>28.56372709504503</v>
      </c>
      <c r="AS108" s="8">
        <v>28.57764734930679</v>
      </c>
      <c r="AT108" s="8">
        <v>28.59184790709987</v>
      </c>
    </row>
    <row r="109" spans="1:46">
      <c r="A109" s="7">
        <v>37.5</v>
      </c>
      <c r="B109" s="8">
        <v>28.25989885026502</v>
      </c>
      <c r="C109" s="8">
        <v>28.26037692819809</v>
      </c>
      <c r="D109" s="8">
        <v>28.26122301180731</v>
      </c>
      <c r="E109" s="8">
        <v>28.26243538691633</v>
      </c>
      <c r="F109" s="8">
        <v>28.26401232298085</v>
      </c>
      <c r="G109" s="8">
        <v>28.26595207312057</v>
      </c>
      <c r="H109" s="8">
        <v>28.26825287414249</v>
      </c>
      <c r="I109" s="8">
        <v>28.27091294664133</v>
      </c>
      <c r="J109" s="8">
        <v>28.2739304949675</v>
      </c>
      <c r="K109" s="8">
        <v>28.27730370731733</v>
      </c>
      <c r="L109" s="8">
        <v>28.2810307557389</v>
      </c>
      <c r="M109" s="8">
        <v>28.28510979622952</v>
      </c>
      <c r="N109" s="8">
        <v>28.28953896869061</v>
      </c>
      <c r="O109" s="8">
        <v>28.29431639703835</v>
      </c>
      <c r="P109" s="8">
        <v>28.29944018922688</v>
      </c>
      <c r="Q109" s="8">
        <v>28.30490843724983</v>
      </c>
      <c r="R109" s="8">
        <v>28.31071921723924</v>
      </c>
      <c r="S109" s="8">
        <v>28.31687058945245</v>
      </c>
      <c r="T109" s="8">
        <v>28.32336059835216</v>
      </c>
      <c r="U109" s="8">
        <v>28.33018727260496</v>
      </c>
      <c r="V109" s="8">
        <v>28.33734862515994</v>
      </c>
      <c r="W109" s="8">
        <v>28.34484265326464</v>
      </c>
      <c r="X109" s="8">
        <v>28.3526673384913</v>
      </c>
      <c r="Y109" s="8">
        <v>28.36082064681977</v>
      </c>
      <c r="Z109" s="8">
        <v>28.36930052862881</v>
      </c>
      <c r="AA109" s="8">
        <v>28.37810491874989</v>
      </c>
      <c r="AB109" s="8">
        <v>28.38723173652397</v>
      </c>
      <c r="AC109" s="8">
        <v>28.39667888582481</v>
      </c>
      <c r="AD109" s="8">
        <v>28.40644425508362</v>
      </c>
      <c r="AE109" s="8">
        <v>28.41652571734157</v>
      </c>
      <c r="AF109" s="8">
        <v>28.42692113031662</v>
      </c>
      <c r="AG109" s="8">
        <v>28.43762833638029</v>
      </c>
      <c r="AH109" s="8">
        <v>28.44864516264061</v>
      </c>
      <c r="AI109" s="8">
        <v>28.459969420977</v>
      </c>
      <c r="AJ109" s="8">
        <v>28.4715989080607</v>
      </c>
      <c r="AK109" s="8">
        <v>28.48353140541294</v>
      </c>
      <c r="AL109" s="8">
        <v>28.49576467941515</v>
      </c>
      <c r="AM109" s="8">
        <v>28.50829648140061</v>
      </c>
      <c r="AN109" s="8">
        <v>28.52112454763265</v>
      </c>
      <c r="AO109" s="8">
        <v>28.53424659937591</v>
      </c>
      <c r="AP109" s="8">
        <v>28.5476603429488</v>
      </c>
      <c r="AQ109" s="8">
        <v>28.56136346972198</v>
      </c>
      <c r="AR109" s="8">
        <v>28.57535365618823</v>
      </c>
      <c r="AS109" s="8">
        <v>28.58962856400467</v>
      </c>
      <c r="AT109" s="8">
        <v>28.604185840016</v>
      </c>
    </row>
    <row r="110" spans="1:46">
      <c r="A110" s="7">
        <v>37.6</v>
      </c>
      <c r="B110" s="8">
        <v>28.25876223744272</v>
      </c>
      <c r="C110" s="8">
        <v>28.25949356929777</v>
      </c>
      <c r="D110" s="8">
        <v>28.2605955622188</v>
      </c>
      <c r="E110" s="8">
        <v>28.26206649088417</v>
      </c>
      <c r="F110" s="8">
        <v>28.26390461343108</v>
      </c>
      <c r="G110" s="8">
        <v>28.26610817148612</v>
      </c>
      <c r="H110" s="8">
        <v>28.26867539020022</v>
      </c>
      <c r="I110" s="8">
        <v>28.27160447829811</v>
      </c>
      <c r="J110" s="8">
        <v>28.27489362812339</v>
      </c>
      <c r="K110" s="8">
        <v>28.27854101567355</v>
      </c>
      <c r="L110" s="8">
        <v>28.28254480065662</v>
      </c>
      <c r="M110" s="8">
        <v>28.28690312650287</v>
      </c>
      <c r="N110" s="8">
        <v>28.29161412043468</v>
      </c>
      <c r="O110" s="8">
        <v>28.29667589348537</v>
      </c>
      <c r="P110" s="8">
        <v>28.30208654056041</v>
      </c>
      <c r="Q110" s="8">
        <v>28.3078441404592</v>
      </c>
      <c r="R110" s="8">
        <v>28.31394675593328</v>
      </c>
      <c r="S110" s="8">
        <v>28.32039243370382</v>
      </c>
      <c r="T110" s="8">
        <v>28.32717920451105</v>
      </c>
      <c r="U110" s="8">
        <v>28.3343050831827</v>
      </c>
      <c r="V110" s="8">
        <v>28.34176806861506</v>
      </c>
      <c r="W110" s="8">
        <v>28.34956614387483</v>
      </c>
      <c r="X110" s="8">
        <v>28.35769727620063</v>
      </c>
      <c r="Y110" s="8">
        <v>28.36615941703785</v>
      </c>
      <c r="Z110" s="8">
        <v>28.37495050210564</v>
      </c>
      <c r="AA110" s="8">
        <v>28.38406845142599</v>
      </c>
      <c r="AB110" s="8">
        <v>28.39351116934704</v>
      </c>
      <c r="AC110" s="8">
        <v>28.40327654460998</v>
      </c>
      <c r="AD110" s="8">
        <v>28.41336245037382</v>
      </c>
      <c r="AE110" s="8">
        <v>28.4237667442314</v>
      </c>
      <c r="AF110" s="8">
        <v>28.43448726831121</v>
      </c>
      <c r="AG110" s="8">
        <v>28.44552184924978</v>
      </c>
      <c r="AH110" s="8">
        <v>28.45686829825863</v>
      </c>
      <c r="AI110" s="8">
        <v>28.46852441119118</v>
      </c>
      <c r="AJ110" s="8">
        <v>28.48048796854128</v>
      </c>
      <c r="AK110" s="8">
        <v>28.49275673549564</v>
      </c>
      <c r="AL110" s="8">
        <v>28.50532846197748</v>
      </c>
      <c r="AM110" s="8">
        <v>28.5182008826916</v>
      </c>
      <c r="AN110" s="8">
        <v>28.53137171715207</v>
      </c>
      <c r="AO110" s="8">
        <v>28.54483866974333</v>
      </c>
      <c r="AP110" s="8">
        <v>28.55859942972602</v>
      </c>
      <c r="AQ110" s="8">
        <v>28.57265167131845</v>
      </c>
      <c r="AR110" s="8">
        <v>28.58699305370392</v>
      </c>
      <c r="AS110" s="8">
        <v>28.60162122109032</v>
      </c>
      <c r="AT110" s="8">
        <v>28.61653380274656</v>
      </c>
    </row>
    <row r="111" spans="1:46">
      <c r="A111" s="7">
        <v>37.7</v>
      </c>
      <c r="B111" s="8">
        <v>28.25768665333744</v>
      </c>
      <c r="C111" s="8">
        <v>28.25867068365187</v>
      </c>
      <c r="D111" s="8">
        <v>28.26002800798742</v>
      </c>
      <c r="E111" s="8">
        <v>28.26175688995136</v>
      </c>
      <c r="F111" s="8">
        <v>28.26385557641479</v>
      </c>
      <c r="G111" s="8">
        <v>28.26632229757815</v>
      </c>
      <c r="H111" s="8">
        <v>28.26915526699304</v>
      </c>
      <c r="I111" s="8">
        <v>28.27235268160875</v>
      </c>
      <c r="J111" s="8">
        <v>28.27591272182763</v>
      </c>
      <c r="K111" s="8">
        <v>28.27983355151664</v>
      </c>
      <c r="L111" s="8">
        <v>28.28411331808747</v>
      </c>
      <c r="M111" s="8">
        <v>28.28875015253288</v>
      </c>
      <c r="N111" s="8">
        <v>28.2937421694136</v>
      </c>
      <c r="O111" s="8">
        <v>28.29908746699948</v>
      </c>
      <c r="P111" s="8">
        <v>28.30478412720549</v>
      </c>
      <c r="Q111" s="8">
        <v>28.31083021571685</v>
      </c>
      <c r="R111" s="8">
        <v>28.31722378197155</v>
      </c>
      <c r="S111" s="8">
        <v>28.32396285924478</v>
      </c>
      <c r="T111" s="8">
        <v>28.33104546466493</v>
      </c>
      <c r="U111" s="8">
        <v>28.33846959925431</v>
      </c>
      <c r="V111" s="8">
        <v>28.34623324797139</v>
      </c>
      <c r="W111" s="8">
        <v>28.35433437977917</v>
      </c>
      <c r="X111" s="8">
        <v>28.36277094764664</v>
      </c>
      <c r="Y111" s="8">
        <v>28.3715408885997</v>
      </c>
      <c r="Z111" s="8">
        <v>28.38064212378377</v>
      </c>
      <c r="AA111" s="8">
        <v>28.39007255847537</v>
      </c>
      <c r="AB111" s="8">
        <v>28.39983008214767</v>
      </c>
      <c r="AC111" s="8">
        <v>28.40991256848647</v>
      </c>
      <c r="AD111" s="8">
        <v>28.4203178754542</v>
      </c>
      <c r="AE111" s="8">
        <v>28.43104384532198</v>
      </c>
      <c r="AF111" s="8">
        <v>28.44208830468851</v>
      </c>
      <c r="AG111" s="8">
        <v>28.45344906456594</v>
      </c>
      <c r="AH111" s="8">
        <v>28.46512392038276</v>
      </c>
      <c r="AI111" s="8">
        <v>28.47711065202166</v>
      </c>
      <c r="AJ111" s="8">
        <v>28.48940702391264</v>
      </c>
      <c r="AK111" s="8">
        <v>28.5020107850054</v>
      </c>
      <c r="AL111" s="8">
        <v>28.51491966887115</v>
      </c>
      <c r="AM111" s="8">
        <v>28.52813139367063</v>
      </c>
      <c r="AN111" s="8">
        <v>28.54164366228651</v>
      </c>
      <c r="AO111" s="8">
        <v>28.55545416230161</v>
      </c>
      <c r="AP111" s="8">
        <v>28.56956056605268</v>
      </c>
      <c r="AQ111" s="8">
        <v>28.58396053068282</v>
      </c>
      <c r="AR111" s="8">
        <v>28.59865169816185</v>
      </c>
      <c r="AS111" s="8">
        <v>28.61363169538381</v>
      </c>
      <c r="AT111" s="8">
        <v>28.62889813412767</v>
      </c>
    </row>
    <row r="112" spans="1:46">
      <c r="A112" s="7">
        <v>37.8</v>
      </c>
      <c r="B112" s="8">
        <v>28.25667973967211</v>
      </c>
      <c r="C112" s="8">
        <v>28.25791588844586</v>
      </c>
      <c r="D112" s="8">
        <v>28.2595279414687</v>
      </c>
      <c r="E112" s="8">
        <v>28.261514151351</v>
      </c>
      <c r="F112" s="8">
        <v>28.26387275376619</v>
      </c>
      <c r="G112" s="8">
        <v>28.26660196756275</v>
      </c>
      <c r="H112" s="8">
        <v>28.26969999474968</v>
      </c>
      <c r="I112" s="8">
        <v>28.27316502058675</v>
      </c>
      <c r="J112" s="8">
        <v>28.27699521356699</v>
      </c>
      <c r="K112" s="8">
        <v>28.28118872554769</v>
      </c>
      <c r="L112" s="8">
        <v>28.28574369169946</v>
      </c>
      <c r="M112" s="8">
        <v>28.29065823063575</v>
      </c>
      <c r="N112" s="8">
        <v>28.29593044436624</v>
      </c>
      <c r="O112" s="8">
        <v>28.30155841842788</v>
      </c>
      <c r="P112" s="8">
        <v>28.30754022186593</v>
      </c>
      <c r="Q112" s="8">
        <v>28.31387390730088</v>
      </c>
      <c r="R112" s="8">
        <v>28.32055751096777</v>
      </c>
      <c r="S112" s="8">
        <v>28.32758905274677</v>
      </c>
      <c r="T112" s="8">
        <v>28.33496653624024</v>
      </c>
      <c r="U112" s="8">
        <v>28.34268794875534</v>
      </c>
      <c r="V112" s="8">
        <v>28.35075126141746</v>
      </c>
      <c r="W112" s="8">
        <v>28.3591544291281</v>
      </c>
      <c r="X112" s="8">
        <v>28.36789539070305</v>
      </c>
      <c r="Y112" s="8">
        <v>28.37697206883458</v>
      </c>
      <c r="Z112" s="8">
        <v>28.38638237016421</v>
      </c>
      <c r="AA112" s="8">
        <v>28.39612418534525</v>
      </c>
      <c r="AB112" s="8">
        <v>28.40619538902974</v>
      </c>
      <c r="AC112" s="8">
        <v>28.41659383996593</v>
      </c>
      <c r="AD112" s="8">
        <v>28.42731738101283</v>
      </c>
      <c r="AE112" s="8">
        <v>28.43836383917369</v>
      </c>
      <c r="AF112" s="8">
        <v>28.44973102566582</v>
      </c>
      <c r="AG112" s="8">
        <v>28.46141673592647</v>
      </c>
      <c r="AH112" s="8">
        <v>28.47341874970152</v>
      </c>
      <c r="AI112" s="8">
        <v>28.48573483105283</v>
      </c>
      <c r="AJ112" s="8">
        <v>28.49836272839457</v>
      </c>
      <c r="AK112" s="8">
        <v>28.51130017455143</v>
      </c>
      <c r="AL112" s="8">
        <v>28.52454488682124</v>
      </c>
      <c r="AM112" s="8">
        <v>28.53809456696909</v>
      </c>
      <c r="AN112" s="8">
        <v>28.55194690130884</v>
      </c>
      <c r="AO112" s="8">
        <v>28.5660995607308</v>
      </c>
      <c r="AP112" s="8">
        <v>28.58055020074389</v>
      </c>
      <c r="AQ112" s="8">
        <v>28.59529646153242</v>
      </c>
      <c r="AR112" s="8">
        <v>28.61033596797497</v>
      </c>
      <c r="AS112" s="8">
        <v>28.62566632970993</v>
      </c>
      <c r="AT112" s="8">
        <v>28.64128514116892</v>
      </c>
    </row>
    <row r="113" spans="1:46">
      <c r="A113" s="7">
        <v>37.9</v>
      </c>
      <c r="B113" s="8">
        <v>28.25574909970747</v>
      </c>
      <c r="C113" s="8">
        <v>28.25723676243797</v>
      </c>
      <c r="D113" s="8">
        <v>28.2591029166666</v>
      </c>
      <c r="E113" s="8">
        <v>28.26134580404032</v>
      </c>
      <c r="F113" s="8">
        <v>28.26396364913817</v>
      </c>
      <c r="G113" s="8">
        <v>28.2669546594916</v>
      </c>
      <c r="H113" s="8">
        <v>28.27031702565582</v>
      </c>
      <c r="I113" s="8">
        <v>28.27404892124759</v>
      </c>
      <c r="J113" s="8">
        <v>28.27814850297873</v>
      </c>
      <c r="K113" s="8">
        <v>28.28261391070555</v>
      </c>
      <c r="L113" s="8">
        <v>28.28744326746819</v>
      </c>
      <c r="M113" s="8">
        <v>28.29263467955461</v>
      </c>
      <c r="N113" s="8">
        <v>28.29818623652391</v>
      </c>
      <c r="O113" s="8">
        <v>28.30409601124557</v>
      </c>
      <c r="P113" s="8">
        <v>28.31036205997225</v>
      </c>
      <c r="Q113" s="8">
        <v>28.31698242234124</v>
      </c>
      <c r="R113" s="8">
        <v>28.3239551214574</v>
      </c>
      <c r="S113" s="8">
        <v>28.33127816391061</v>
      </c>
      <c r="T113" s="8">
        <v>28.33894953982963</v>
      </c>
      <c r="U113" s="8">
        <v>28.34696722292574</v>
      </c>
      <c r="V113" s="8">
        <v>28.35532917052624</v>
      </c>
      <c r="W113" s="8">
        <v>28.36403332362243</v>
      </c>
      <c r="X113" s="8">
        <v>28.37307760692638</v>
      </c>
      <c r="Y113" s="8">
        <v>28.38245992887678</v>
      </c>
      <c r="Z113" s="8">
        <v>28.39217818173347</v>
      </c>
      <c r="AA113" s="8">
        <v>28.40223024157458</v>
      </c>
      <c r="AB113" s="8">
        <v>28.41261396835471</v>
      </c>
      <c r="AC113" s="8">
        <v>28.42332720595005</v>
      </c>
      <c r="AD113" s="8">
        <v>28.43436778223404</v>
      </c>
      <c r="AE113" s="8">
        <v>28.44573350902792</v>
      </c>
      <c r="AF113" s="8">
        <v>28.45742218225642</v>
      </c>
      <c r="AG113" s="8">
        <v>28.46943158191862</v>
      </c>
      <c r="AH113" s="8">
        <v>28.48175947212876</v>
      </c>
      <c r="AI113" s="8">
        <v>28.4944036012108</v>
      </c>
      <c r="AJ113" s="8">
        <v>28.5073617017013</v>
      </c>
      <c r="AK113" s="8">
        <v>28.52063149039459</v>
      </c>
      <c r="AL113" s="8">
        <v>28.53421066840965</v>
      </c>
      <c r="AM113" s="8">
        <v>28.54809692120762</v>
      </c>
      <c r="AN113" s="8">
        <v>28.56228791864996</v>
      </c>
      <c r="AO113" s="8">
        <v>28.57678131504072</v>
      </c>
      <c r="AP113" s="8">
        <v>28.59157474916428</v>
      </c>
      <c r="AQ113" s="8">
        <v>28.60666584432911</v>
      </c>
      <c r="AR113" s="8">
        <v>28.62205220844771</v>
      </c>
      <c r="AS113" s="8">
        <v>28.63773143400467</v>
      </c>
      <c r="AT113" s="8">
        <v>28.65370109820651</v>
      </c>
    </row>
    <row r="114" spans="1:46">
      <c r="A114" s="7">
        <v>38</v>
      </c>
      <c r="B114" s="8">
        <v>28.25490229727729</v>
      </c>
      <c r="C114" s="8">
        <v>28.25664084504242</v>
      </c>
      <c r="D114" s="8">
        <v>28.25876044828183</v>
      </c>
      <c r="E114" s="8">
        <v>28.2612593377693</v>
      </c>
      <c r="F114" s="8">
        <v>28.26413572700694</v>
      </c>
      <c r="G114" s="8">
        <v>28.26738781233725</v>
      </c>
      <c r="H114" s="8">
        <v>28.27101377289655</v>
      </c>
      <c r="I114" s="8">
        <v>28.27501177074883</v>
      </c>
      <c r="J114" s="8">
        <v>28.27937995086104</v>
      </c>
      <c r="K114" s="8">
        <v>28.28411644119478</v>
      </c>
      <c r="L114" s="8">
        <v>28.28921935272956</v>
      </c>
      <c r="M114" s="8">
        <v>28.29468677951227</v>
      </c>
      <c r="N114" s="8">
        <v>28.30051679869793</v>
      </c>
      <c r="O114" s="8">
        <v>28.3067074705963</v>
      </c>
      <c r="P114" s="8">
        <v>28.31325683872856</v>
      </c>
      <c r="Q114" s="8">
        <v>28.3201629298419</v>
      </c>
      <c r="R114" s="8">
        <v>28.32742375399539</v>
      </c>
      <c r="S114" s="8">
        <v>28.33503730455704</v>
      </c>
      <c r="T114" s="8">
        <v>28.34300155828969</v>
      </c>
      <c r="U114" s="8">
        <v>28.35131447535969</v>
      </c>
      <c r="V114" s="8">
        <v>28.35997399941698</v>
      </c>
      <c r="W114" s="8">
        <v>28.36897805759945</v>
      </c>
      <c r="X114" s="8">
        <v>28.3783245606217</v>
      </c>
      <c r="Y114" s="8">
        <v>28.38801140275755</v>
      </c>
      <c r="Z114" s="8">
        <v>28.39803646196233</v>
      </c>
      <c r="AA114" s="8">
        <v>28.40839759984519</v>
      </c>
      <c r="AB114" s="8">
        <v>28.41909266174916</v>
      </c>
      <c r="AC114" s="8">
        <v>28.43011947680061</v>
      </c>
      <c r="AD114" s="8">
        <v>28.44147585792089</v>
      </c>
      <c r="AE114" s="8">
        <v>28.45315960190928</v>
      </c>
      <c r="AF114" s="8">
        <v>28.46516848945175</v>
      </c>
      <c r="AG114" s="8">
        <v>28.47750028518931</v>
      </c>
      <c r="AH114" s="8">
        <v>28.49015273775731</v>
      </c>
      <c r="AI114" s="8">
        <v>28.50312357982039</v>
      </c>
      <c r="AJ114" s="8">
        <v>28.51641052813066</v>
      </c>
      <c r="AK114" s="8">
        <v>28.53001128355536</v>
      </c>
      <c r="AL114" s="8">
        <v>28.5439235311278</v>
      </c>
      <c r="AM114" s="8">
        <v>28.55814494012447</v>
      </c>
      <c r="AN114" s="8">
        <v>28.5726731640505</v>
      </c>
      <c r="AO114" s="8">
        <v>28.58750584071822</v>
      </c>
      <c r="AP114" s="8">
        <v>28.60264059229667</v>
      </c>
      <c r="AQ114" s="8">
        <v>28.61807502536103</v>
      </c>
      <c r="AR114" s="8">
        <v>28.63380673091597</v>
      </c>
      <c r="AS114" s="8">
        <v>28.64983328444068</v>
      </c>
      <c r="AT114" s="8">
        <v>28.66615224597335</v>
      </c>
    </row>
    <row r="115" spans="1:46">
      <c r="A115" s="7">
        <v>38.1</v>
      </c>
      <c r="B115" s="8">
        <v>28.25414685578144</v>
      </c>
      <c r="C115" s="8">
        <v>28.25613563531806</v>
      </c>
      <c r="D115" s="8">
        <v>28.25850801076158</v>
      </c>
      <c r="E115" s="8">
        <v>28.26126220206788</v>
      </c>
      <c r="F115" s="8">
        <v>28.26439641177712</v>
      </c>
      <c r="G115" s="8">
        <v>28.2679088250472</v>
      </c>
      <c r="H115" s="8">
        <v>28.27179760972212</v>
      </c>
      <c r="I115" s="8">
        <v>28.27606091634662</v>
      </c>
      <c r="J115" s="8">
        <v>28.28069687824609</v>
      </c>
      <c r="K115" s="8">
        <v>28.28570361155435</v>
      </c>
      <c r="L115" s="8">
        <v>28.29107921525429</v>
      </c>
      <c r="M115" s="8">
        <v>28.29682177123177</v>
      </c>
      <c r="N115" s="8">
        <v>28.30292934432073</v>
      </c>
      <c r="O115" s="8">
        <v>28.30939998235117</v>
      </c>
      <c r="P115" s="8">
        <v>28.31623171619285</v>
      </c>
      <c r="Q115" s="8">
        <v>28.32342255978292</v>
      </c>
      <c r="R115" s="8">
        <v>28.33097051020741</v>
      </c>
      <c r="S115" s="8">
        <v>28.33887354771141</v>
      </c>
      <c r="T115" s="8">
        <v>28.34712963576458</v>
      </c>
      <c r="U115" s="8">
        <v>28.35573672109604</v>
      </c>
      <c r="V115" s="8">
        <v>28.36469273373805</v>
      </c>
      <c r="W115" s="8">
        <v>28.37399558708421</v>
      </c>
      <c r="X115" s="8">
        <v>28.38364317791856</v>
      </c>
      <c r="Y115" s="8">
        <v>28.39363338646799</v>
      </c>
      <c r="Z115" s="8">
        <v>28.40396407645166</v>
      </c>
      <c r="AA115" s="8">
        <v>28.41463309512037</v>
      </c>
      <c r="AB115" s="8">
        <v>28.42563827329432</v>
      </c>
      <c r="AC115" s="8">
        <v>28.43697742541117</v>
      </c>
      <c r="AD115" s="8">
        <v>28.44864834959153</v>
      </c>
      <c r="AE115" s="8">
        <v>28.46064882766514</v>
      </c>
      <c r="AF115" s="8">
        <v>28.47297662519559</v>
      </c>
      <c r="AG115" s="8">
        <v>28.48562949158368</v>
      </c>
      <c r="AH115" s="8">
        <v>28.49860516004701</v>
      </c>
      <c r="AI115" s="8">
        <v>28.51190134770877</v>
      </c>
      <c r="AJ115" s="8">
        <v>28.52551575563557</v>
      </c>
      <c r="AK115" s="8">
        <v>28.53944606886944</v>
      </c>
      <c r="AL115" s="8">
        <v>28.55368995648314</v>
      </c>
      <c r="AM115" s="8">
        <v>28.56824507163692</v>
      </c>
      <c r="AN115" s="8">
        <v>28.58310905158869</v>
      </c>
      <c r="AO115" s="8">
        <v>28.59827951780171</v>
      </c>
      <c r="AP115" s="8">
        <v>28.61375407590968</v>
      </c>
      <c r="AQ115" s="8">
        <v>28.62953031584766</v>
      </c>
      <c r="AR115" s="8">
        <v>28.64560581183905</v>
      </c>
      <c r="AS115" s="8">
        <v>28.66197812246683</v>
      </c>
      <c r="AT115" s="8">
        <v>28.67864479072013</v>
      </c>
    </row>
    <row r="116" spans="1:46">
      <c r="A116" s="7">
        <v>38.2</v>
      </c>
      <c r="B116" s="8">
        <v>28.25349025731703</v>
      </c>
      <c r="C116" s="8">
        <v>28.25572859105741</v>
      </c>
      <c r="D116" s="8">
        <v>28.25835303733766</v>
      </c>
      <c r="E116" s="8">
        <v>28.26136180536996</v>
      </c>
      <c r="F116" s="8">
        <v>28.26475308676891</v>
      </c>
      <c r="G116" s="8">
        <v>28.26852505560673</v>
      </c>
      <c r="H116" s="8">
        <v>28.27267586848175</v>
      </c>
      <c r="I116" s="8">
        <v>28.27720366453141</v>
      </c>
      <c r="J116" s="8">
        <v>28.28210656547599</v>
      </c>
      <c r="K116" s="8">
        <v>28.28738267570734</v>
      </c>
      <c r="L116" s="8">
        <v>28.29303008228307</v>
      </c>
      <c r="M116" s="8">
        <v>28.29904685502261</v>
      </c>
      <c r="N116" s="8">
        <v>28.30543104651297</v>
      </c>
      <c r="O116" s="8">
        <v>28.31218069218303</v>
      </c>
      <c r="P116" s="8">
        <v>28.31929381030932</v>
      </c>
      <c r="Q116" s="8">
        <v>28.32676840214554</v>
      </c>
      <c r="R116" s="8">
        <v>28.3346024518527</v>
      </c>
      <c r="S116" s="8">
        <v>28.34279392665339</v>
      </c>
      <c r="T116" s="8">
        <v>28.35134077679686</v>
      </c>
      <c r="U116" s="8">
        <v>28.36024093566521</v>
      </c>
      <c r="V116" s="8">
        <v>28.36949231978069</v>
      </c>
      <c r="W116" s="8">
        <v>28.3790928288523</v>
      </c>
      <c r="X116" s="8">
        <v>28.3890403458543</v>
      </c>
      <c r="Y116" s="8">
        <v>28.399332737035</v>
      </c>
      <c r="Z116" s="8">
        <v>28.40996785198076</v>
      </c>
      <c r="AA116" s="8">
        <v>28.42094352366839</v>
      </c>
      <c r="AB116" s="8">
        <v>28.43225756848842</v>
      </c>
      <c r="AC116" s="8">
        <v>28.44390778630623</v>
      </c>
      <c r="AD116" s="8">
        <v>28.45589196051878</v>
      </c>
      <c r="AE116" s="8">
        <v>28.46820785808668</v>
      </c>
      <c r="AF116" s="8">
        <v>28.48085322956322</v>
      </c>
      <c r="AG116" s="8">
        <v>28.49382580917736</v>
      </c>
      <c r="AH116" s="8">
        <v>28.50712331485993</v>
      </c>
      <c r="AI116" s="8">
        <v>28.52074344828579</v>
      </c>
      <c r="AJ116" s="8">
        <v>28.53468389493501</v>
      </c>
      <c r="AK116" s="8">
        <v>28.5489423241248</v>
      </c>
      <c r="AL116" s="8">
        <v>28.56351638908236</v>
      </c>
      <c r="AM116" s="8">
        <v>28.57840372694627</v>
      </c>
      <c r="AN116" s="8">
        <v>28.59360195885529</v>
      </c>
      <c r="AO116" s="8">
        <v>28.60910868998617</v>
      </c>
      <c r="AP116" s="8">
        <v>28.62492150959006</v>
      </c>
      <c r="AQ116" s="8">
        <v>28.64103799105505</v>
      </c>
      <c r="AR116" s="8">
        <v>28.6574556919295</v>
      </c>
      <c r="AS116" s="8">
        <v>28.67417215400346</v>
      </c>
      <c r="AT116" s="8">
        <v>28.69118490335095</v>
      </c>
    </row>
    <row r="117" spans="1:46">
      <c r="A117" s="7">
        <v>38.3</v>
      </c>
      <c r="B117" s="8">
        <v>28.25293994167732</v>
      </c>
      <c r="C117" s="8">
        <v>28.25542712785682</v>
      </c>
      <c r="D117" s="8">
        <v>28.25830291913153</v>
      </c>
      <c r="E117" s="8">
        <v>28.26156551402382</v>
      </c>
      <c r="F117" s="8">
        <v>28.26521309332457</v>
      </c>
      <c r="G117" s="8">
        <v>28.26924382008583</v>
      </c>
      <c r="H117" s="8">
        <v>28.27365583973151</v>
      </c>
      <c r="I117" s="8">
        <v>28.27844728003547</v>
      </c>
      <c r="J117" s="8">
        <v>28.28361625123507</v>
      </c>
      <c r="K117" s="8">
        <v>28.28916084602388</v>
      </c>
      <c r="L117" s="8">
        <v>28.2950791396288</v>
      </c>
      <c r="M117" s="8">
        <v>28.30136918987118</v>
      </c>
      <c r="N117" s="8">
        <v>28.3080290371654</v>
      </c>
      <c r="O117" s="8">
        <v>28.31505670460901</v>
      </c>
      <c r="P117" s="8">
        <v>28.32245019802794</v>
      </c>
      <c r="Q117" s="8">
        <v>28.33020750599826</v>
      </c>
      <c r="R117" s="8">
        <v>28.33832659989566</v>
      </c>
      <c r="S117" s="8">
        <v>28.34680543397408</v>
      </c>
      <c r="T117" s="8">
        <v>28.35564194537001</v>
      </c>
      <c r="U117" s="8">
        <v>28.36483405418985</v>
      </c>
      <c r="V117" s="8">
        <v>28.374379663539</v>
      </c>
      <c r="W117" s="8">
        <v>28.38427665954514</v>
      </c>
      <c r="X117" s="8">
        <v>28.39452291144553</v>
      </c>
      <c r="Y117" s="8">
        <v>28.4051162716074</v>
      </c>
      <c r="Z117" s="8">
        <v>28.4160545755818</v>
      </c>
      <c r="AA117" s="8">
        <v>28.42733564216469</v>
      </c>
      <c r="AB117" s="8">
        <v>28.43895727341442</v>
      </c>
      <c r="AC117" s="8">
        <v>28.45091725472157</v>
      </c>
      <c r="AD117" s="8">
        <v>28.46321335485409</v>
      </c>
      <c r="AE117" s="8">
        <v>28.47584332599508</v>
      </c>
      <c r="AF117" s="8">
        <v>28.48880490378797</v>
      </c>
      <c r="AG117" s="8">
        <v>28.50209580741502</v>
      </c>
      <c r="AH117" s="8">
        <v>28.51571373958141</v>
      </c>
      <c r="AI117" s="8">
        <v>28.52965638665482</v>
      </c>
      <c r="AJ117" s="8">
        <v>28.54392141861463</v>
      </c>
      <c r="AK117" s="8">
        <v>28.55850648916385</v>
      </c>
      <c r="AL117" s="8">
        <v>28.57340923576557</v>
      </c>
      <c r="AM117" s="8">
        <v>28.58862727966916</v>
      </c>
      <c r="AN117" s="8">
        <v>28.6041582260048</v>
      </c>
      <c r="AO117" s="8">
        <v>28.61999966376025</v>
      </c>
      <c r="AP117" s="8">
        <v>28.63614916590741</v>
      </c>
      <c r="AQ117" s="8">
        <v>28.65260428939801</v>
      </c>
      <c r="AR117" s="8">
        <v>28.66936257524212</v>
      </c>
      <c r="AS117" s="8">
        <v>28.68642154853151</v>
      </c>
      <c r="AT117" s="8">
        <v>28.70377871851524</v>
      </c>
    </row>
    <row r="118" spans="1:46">
      <c r="A118" s="7">
        <v>38.4</v>
      </c>
      <c r="B118" s="8">
        <v>28.25250330542476</v>
      </c>
      <c r="C118" s="8">
        <v>28.2552386181138</v>
      </c>
      <c r="D118" s="8">
        <v>28.2583650041197</v>
      </c>
      <c r="E118" s="8">
        <v>28.26188065136521</v>
      </c>
      <c r="F118" s="8">
        <v>28.26578372984805</v>
      </c>
      <c r="G118" s="8">
        <v>28.27007239170926</v>
      </c>
      <c r="H118" s="8">
        <v>28.27474477122596</v>
      </c>
      <c r="I118" s="8">
        <v>28.27979898493941</v>
      </c>
      <c r="J118" s="8">
        <v>28.28523313162441</v>
      </c>
      <c r="K118" s="8">
        <v>28.29104529238684</v>
      </c>
      <c r="L118" s="8">
        <v>28.29723353070003</v>
      </c>
      <c r="M118" s="8">
        <v>28.30379589244549</v>
      </c>
      <c r="N118" s="8">
        <v>28.31073040596966</v>
      </c>
      <c r="O118" s="8">
        <v>28.3180350821247</v>
      </c>
      <c r="P118" s="8">
        <v>28.3257079143179</v>
      </c>
      <c r="Q118" s="8">
        <v>28.33374687858304</v>
      </c>
      <c r="R118" s="8">
        <v>28.34214993357164</v>
      </c>
      <c r="S118" s="8">
        <v>28.35091502067225</v>
      </c>
      <c r="T118" s="8">
        <v>28.36004006399016</v>
      </c>
      <c r="U118" s="8">
        <v>28.36952297044773</v>
      </c>
      <c r="V118" s="8">
        <v>28.37936162980623</v>
      </c>
      <c r="W118" s="8">
        <v>28.38955391470663</v>
      </c>
      <c r="X118" s="8">
        <v>28.40009768075834</v>
      </c>
      <c r="Y118" s="8">
        <v>28.41099076653045</v>
      </c>
      <c r="Z118" s="8">
        <v>28.42223099364055</v>
      </c>
      <c r="AA118" s="8">
        <v>28.43381616678671</v>
      </c>
      <c r="AB118" s="8">
        <v>28.44574407380569</v>
      </c>
      <c r="AC118" s="8">
        <v>28.45801248569041</v>
      </c>
      <c r="AD118" s="8">
        <v>28.47061915669037</v>
      </c>
      <c r="AE118" s="8">
        <v>28.48356182431598</v>
      </c>
      <c r="AF118" s="8">
        <v>28.49683820939681</v>
      </c>
      <c r="AG118" s="8">
        <v>28.51044601616304</v>
      </c>
      <c r="AH118" s="8">
        <v>28.52438293223531</v>
      </c>
      <c r="AI118" s="8">
        <v>28.53864662870474</v>
      </c>
      <c r="AJ118" s="8">
        <v>28.55323476020567</v>
      </c>
      <c r="AK118" s="8">
        <v>28.56814496493316</v>
      </c>
      <c r="AL118" s="8">
        <v>28.58337486468372</v>
      </c>
      <c r="AM118" s="8">
        <v>28.59892206493532</v>
      </c>
      <c r="AN118" s="8">
        <v>28.61478415488091</v>
      </c>
      <c r="AO118" s="8">
        <v>28.63095870747348</v>
      </c>
      <c r="AP118" s="8">
        <v>28.64744327949593</v>
      </c>
      <c r="AQ118" s="8">
        <v>28.66423541158292</v>
      </c>
      <c r="AR118" s="8">
        <v>28.68133262829651</v>
      </c>
      <c r="AS118" s="8">
        <v>28.69873243816255</v>
      </c>
      <c r="AT118" s="8">
        <v>28.7164323337347</v>
      </c>
    </row>
    <row r="119" spans="1:46">
      <c r="A119" s="7">
        <v>38.5</v>
      </c>
      <c r="B119" s="8">
        <v>28.25218770095089</v>
      </c>
      <c r="C119" s="8">
        <v>28.25517039014812</v>
      </c>
      <c r="D119" s="8">
        <v>28.25854659630131</v>
      </c>
      <c r="E119" s="8">
        <v>28.26231449677289</v>
      </c>
      <c r="F119" s="8">
        <v>28.26647225089691</v>
      </c>
      <c r="G119" s="8">
        <v>28.2710179999005</v>
      </c>
      <c r="H119" s="8">
        <v>28.27594986706536</v>
      </c>
      <c r="I119" s="8">
        <v>28.28126595770154</v>
      </c>
      <c r="J119" s="8">
        <v>28.28696435925376</v>
      </c>
      <c r="K119" s="8">
        <v>28.29304314128967</v>
      </c>
      <c r="L119" s="8">
        <v>28.29950035560469</v>
      </c>
      <c r="M119" s="8">
        <v>28.30633403623942</v>
      </c>
      <c r="N119" s="8">
        <v>28.31354219953791</v>
      </c>
      <c r="O119" s="8">
        <v>28.3211228441869</v>
      </c>
      <c r="P119" s="8">
        <v>28.3290739512915</v>
      </c>
      <c r="Q119" s="8">
        <v>28.33739348438685</v>
      </c>
      <c r="R119" s="8">
        <v>28.34607938950939</v>
      </c>
      <c r="S119" s="8">
        <v>28.35512959525077</v>
      </c>
      <c r="T119" s="8">
        <v>28.36454201278975</v>
      </c>
      <c r="U119" s="8">
        <v>28.37431453595054</v>
      </c>
      <c r="V119" s="8">
        <v>28.38444504124054</v>
      </c>
      <c r="W119" s="8">
        <v>28.39493138792459</v>
      </c>
      <c r="X119" s="8">
        <v>28.40577141803806</v>
      </c>
      <c r="Y119" s="8">
        <v>28.41696295647562</v>
      </c>
      <c r="Z119" s="8">
        <v>28.42850381099852</v>
      </c>
      <c r="AA119" s="8">
        <v>28.44039177231171</v>
      </c>
      <c r="AB119" s="8">
        <v>28.45262461412203</v>
      </c>
      <c r="AC119" s="8">
        <v>28.46520009314263</v>
      </c>
      <c r="AD119" s="8">
        <v>28.47811594919476</v>
      </c>
      <c r="AE119" s="8">
        <v>28.49136990520201</v>
      </c>
      <c r="AF119" s="8">
        <v>28.50495966731396</v>
      </c>
      <c r="AG119" s="8">
        <v>28.5188829248742</v>
      </c>
      <c r="AH119" s="8">
        <v>28.53313735052507</v>
      </c>
      <c r="AI119" s="8">
        <v>28.54772060023242</v>
      </c>
      <c r="AJ119" s="8">
        <v>28.5626303133482</v>
      </c>
      <c r="AK119" s="8">
        <v>28.5778641126657</v>
      </c>
      <c r="AL119" s="8">
        <v>28.59341960444144</v>
      </c>
      <c r="AM119" s="8">
        <v>28.60929437847226</v>
      </c>
      <c r="AN119" s="8">
        <v>28.6254860081579</v>
      </c>
      <c r="AO119" s="8">
        <v>28.64199205049663</v>
      </c>
      <c r="AP119" s="8">
        <v>28.65881004620023</v>
      </c>
      <c r="AQ119" s="8">
        <v>28.67593751969543</v>
      </c>
      <c r="AR119" s="8">
        <v>28.6933719792316</v>
      </c>
      <c r="AS119" s="8">
        <v>28.71111091685743</v>
      </c>
      <c r="AT119" s="8">
        <v>28.72915180855489</v>
      </c>
    </row>
    <row r="120" spans="1:46">
      <c r="A120" s="7">
        <v>38.6</v>
      </c>
      <c r="B120" s="8">
        <v>28.25200043554651</v>
      </c>
      <c r="C120" s="8">
        <v>28.25522972725739</v>
      </c>
      <c r="D120" s="8">
        <v>28.25885495470284</v>
      </c>
      <c r="E120" s="8">
        <v>28.26287428479263</v>
      </c>
      <c r="F120" s="8">
        <v>28.26728586620884</v>
      </c>
      <c r="G120" s="8">
        <v>28.27208782941161</v>
      </c>
      <c r="H120" s="8">
        <v>28.27727828669013</v>
      </c>
      <c r="I120" s="8">
        <v>28.28285533226881</v>
      </c>
      <c r="J120" s="8">
        <v>28.2888170422797</v>
      </c>
      <c r="K120" s="8">
        <v>28.29516147486574</v>
      </c>
      <c r="L120" s="8">
        <v>28.30188667022157</v>
      </c>
      <c r="M120" s="8">
        <v>28.30899065060657</v>
      </c>
      <c r="N120" s="8">
        <v>28.31647142045113</v>
      </c>
      <c r="O120" s="8">
        <v>28.32432696638862</v>
      </c>
      <c r="P120" s="8">
        <v>28.33255525725253</v>
      </c>
      <c r="Q120" s="8">
        <v>28.34115424421761</v>
      </c>
      <c r="R120" s="8">
        <v>28.35012186076347</v>
      </c>
      <c r="S120" s="8">
        <v>28.35945602278516</v>
      </c>
      <c r="T120" s="8">
        <v>28.36915462860925</v>
      </c>
      <c r="U120" s="8">
        <v>28.37921555905486</v>
      </c>
      <c r="V120" s="8">
        <v>28.38963667748612</v>
      </c>
      <c r="W120" s="8">
        <v>28.40041582985432</v>
      </c>
      <c r="X120" s="8">
        <v>28.41155084476195</v>
      </c>
      <c r="Y120" s="8">
        <v>28.42303953346418</v>
      </c>
      <c r="Z120" s="8">
        <v>28.43487969000999</v>
      </c>
      <c r="AA120" s="8">
        <v>28.44706909120432</v>
      </c>
      <c r="AB120" s="8">
        <v>28.45960549669108</v>
      </c>
      <c r="AC120" s="8">
        <v>28.47248664902581</v>
      </c>
      <c r="AD120" s="8">
        <v>28.48571027369035</v>
      </c>
      <c r="AE120" s="8">
        <v>28.49927407915093</v>
      </c>
      <c r="AF120" s="8">
        <v>28.51317575693538</v>
      </c>
      <c r="AG120" s="8">
        <v>28.52741298163601</v>
      </c>
      <c r="AH120" s="8">
        <v>28.54198341101728</v>
      </c>
      <c r="AI120" s="8">
        <v>28.55688468602311</v>
      </c>
      <c r="AJ120" s="8">
        <v>28.57211443083361</v>
      </c>
      <c r="AK120" s="8">
        <v>28.5876702529451</v>
      </c>
      <c r="AL120" s="8">
        <v>28.60354974318616</v>
      </c>
      <c r="AM120" s="8">
        <v>28.61975047578453</v>
      </c>
      <c r="AN120" s="8">
        <v>28.63627000843407</v>
      </c>
      <c r="AO120" s="8">
        <v>28.65310588231659</v>
      </c>
      <c r="AP120" s="8">
        <v>28.67025562217459</v>
      </c>
      <c r="AQ120" s="8">
        <v>28.68771673635929</v>
      </c>
      <c r="AR120" s="8">
        <v>28.70548671688885</v>
      </c>
      <c r="AS120" s="8">
        <v>28.723563039492</v>
      </c>
      <c r="AT120" s="8">
        <v>28.74194316365174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Y200"/>
  <sheetViews>
    <sheetView workbookViewId="0">
      <pane xSplit="1" topLeftCell="B1" activePane="topRight" state="frozen"/>
      <selection pane="topRight"/>
    </sheetView>
  </sheetViews>
  <sheetFormatPr defaultRowHeight="15"/>
  <cols>
    <col min="1" max="155" width="9.7109375" customWidth="1"/>
  </cols>
  <sheetData>
    <row r="1" spans="1:155">
      <c r="A1" s="7" t="s">
        <v>6</v>
      </c>
    </row>
    <row r="2" spans="1:155">
      <c r="B2" s="7">
        <v>125.75</v>
      </c>
      <c r="C2" s="7">
        <v>125.775</v>
      </c>
      <c r="D2" s="7">
        <v>125.8</v>
      </c>
      <c r="E2" s="7">
        <v>125.825</v>
      </c>
      <c r="F2" s="7">
        <v>125.85</v>
      </c>
      <c r="G2" s="7">
        <v>125.875</v>
      </c>
      <c r="H2" s="7">
        <v>125.9</v>
      </c>
      <c r="I2" s="7">
        <v>125.925</v>
      </c>
      <c r="J2" s="7">
        <v>125.95</v>
      </c>
      <c r="K2" s="7">
        <v>125.975</v>
      </c>
      <c r="L2" s="7">
        <v>126</v>
      </c>
      <c r="M2" s="7">
        <v>126.025</v>
      </c>
      <c r="N2" s="7">
        <v>126.05</v>
      </c>
      <c r="O2" s="7">
        <v>126.075</v>
      </c>
      <c r="P2" s="7">
        <v>126.1</v>
      </c>
      <c r="Q2" s="7">
        <v>126.125</v>
      </c>
      <c r="R2" s="7">
        <v>126.15</v>
      </c>
      <c r="S2" s="7">
        <v>126.175</v>
      </c>
      <c r="T2" s="7">
        <v>126.2</v>
      </c>
      <c r="U2" s="7">
        <v>126.225</v>
      </c>
      <c r="V2" s="7">
        <v>126.25</v>
      </c>
      <c r="W2" s="7">
        <v>126.275</v>
      </c>
      <c r="X2" s="7">
        <v>126.3</v>
      </c>
      <c r="Y2" s="7">
        <v>126.325</v>
      </c>
      <c r="Z2" s="7">
        <v>126.35</v>
      </c>
      <c r="AA2" s="7">
        <v>126.375</v>
      </c>
      <c r="AB2" s="7">
        <v>126.4</v>
      </c>
      <c r="AC2" s="7">
        <v>126.425</v>
      </c>
      <c r="AD2" s="7">
        <v>126.45</v>
      </c>
      <c r="AE2" s="7">
        <v>126.475</v>
      </c>
      <c r="AF2" s="7">
        <v>126.5</v>
      </c>
      <c r="AG2" s="7">
        <v>126.525</v>
      </c>
      <c r="AH2" s="7">
        <v>126.55</v>
      </c>
      <c r="AI2" s="7">
        <v>126.575</v>
      </c>
      <c r="AJ2" s="7">
        <v>126.6</v>
      </c>
      <c r="AK2" s="7">
        <v>126.625</v>
      </c>
      <c r="AL2" s="7">
        <v>126.65</v>
      </c>
      <c r="AM2" s="7">
        <v>126.675</v>
      </c>
      <c r="AN2" s="7">
        <v>126.7</v>
      </c>
      <c r="AO2" s="7">
        <v>126.725</v>
      </c>
      <c r="AP2" s="7">
        <v>126.75</v>
      </c>
      <c r="AQ2" s="7">
        <v>126.775</v>
      </c>
      <c r="AR2" s="7">
        <v>126.8</v>
      </c>
      <c r="AS2" s="7">
        <v>126.825</v>
      </c>
      <c r="AT2" s="7">
        <v>126.85</v>
      </c>
      <c r="AU2" s="7">
        <v>126.875</v>
      </c>
      <c r="AV2" s="7">
        <v>126.9</v>
      </c>
      <c r="AW2" s="7">
        <v>126.925</v>
      </c>
      <c r="AX2" s="7">
        <v>126.95</v>
      </c>
      <c r="AY2" s="7">
        <v>126.975</v>
      </c>
      <c r="AZ2" s="7">
        <v>127</v>
      </c>
      <c r="BA2" s="7">
        <v>127.025</v>
      </c>
      <c r="BB2" s="7">
        <v>127.05</v>
      </c>
      <c r="BC2" s="7">
        <v>127.075</v>
      </c>
      <c r="BD2" s="7">
        <v>127.1</v>
      </c>
      <c r="BE2" s="7">
        <v>127.125</v>
      </c>
      <c r="BF2" s="7">
        <v>127.15</v>
      </c>
      <c r="BG2" s="7">
        <v>127.175</v>
      </c>
      <c r="BH2" s="7">
        <v>127.2</v>
      </c>
      <c r="BI2" s="7">
        <v>127.225</v>
      </c>
      <c r="BJ2" s="7">
        <v>127.25</v>
      </c>
      <c r="BK2" s="7">
        <v>127.275</v>
      </c>
      <c r="BL2" s="7">
        <v>127.3</v>
      </c>
      <c r="BM2" s="7">
        <v>127.325</v>
      </c>
      <c r="BN2" s="7">
        <v>127.35</v>
      </c>
      <c r="BO2" s="7">
        <v>127.375</v>
      </c>
      <c r="BP2" s="7">
        <v>127.4</v>
      </c>
      <c r="BQ2" s="7">
        <v>127.425</v>
      </c>
      <c r="BR2" s="7">
        <v>127.45</v>
      </c>
      <c r="BS2" s="7">
        <v>127.475</v>
      </c>
      <c r="BT2" s="7">
        <v>127.5</v>
      </c>
      <c r="BU2" s="7">
        <v>127.525</v>
      </c>
      <c r="BV2" s="7">
        <v>127.55</v>
      </c>
      <c r="BW2" s="7">
        <v>127.575</v>
      </c>
      <c r="BX2" s="7">
        <v>127.6</v>
      </c>
      <c r="BY2" s="7">
        <v>127.625</v>
      </c>
      <c r="BZ2" s="7">
        <v>127.65</v>
      </c>
      <c r="CA2" s="7">
        <v>127.675</v>
      </c>
      <c r="CB2" s="7">
        <v>127.7</v>
      </c>
      <c r="CC2" s="7">
        <v>127.725</v>
      </c>
      <c r="CD2" s="7">
        <v>127.75</v>
      </c>
      <c r="CE2" s="7">
        <v>127.775</v>
      </c>
      <c r="CF2" s="7">
        <v>127.8</v>
      </c>
      <c r="CG2" s="7">
        <v>127.825</v>
      </c>
      <c r="CH2" s="7">
        <v>127.85</v>
      </c>
      <c r="CI2" s="7">
        <v>127.875</v>
      </c>
      <c r="CJ2" s="7">
        <v>127.9</v>
      </c>
      <c r="CK2" s="7">
        <v>127.925</v>
      </c>
      <c r="CL2" s="7">
        <v>127.95</v>
      </c>
      <c r="CM2" s="7">
        <v>127.975</v>
      </c>
      <c r="CN2" s="7">
        <v>128</v>
      </c>
      <c r="CO2" s="7">
        <v>128.025</v>
      </c>
      <c r="CP2" s="7">
        <v>128.05</v>
      </c>
      <c r="CQ2" s="7">
        <v>128.075</v>
      </c>
      <c r="CR2" s="7">
        <v>128.1</v>
      </c>
      <c r="CS2" s="7">
        <v>128.125</v>
      </c>
      <c r="CT2" s="7">
        <v>128.15</v>
      </c>
      <c r="CU2" s="7">
        <v>128.175</v>
      </c>
      <c r="CV2" s="7">
        <v>128.2</v>
      </c>
      <c r="CW2" s="7">
        <v>128.225</v>
      </c>
      <c r="CX2" s="7">
        <v>128.25</v>
      </c>
      <c r="CY2" s="7">
        <v>128.275</v>
      </c>
      <c r="CZ2" s="7">
        <v>128.3</v>
      </c>
      <c r="DA2" s="7">
        <v>128.325</v>
      </c>
      <c r="DB2" s="7">
        <v>128.35</v>
      </c>
      <c r="DC2" s="7">
        <v>128.375</v>
      </c>
      <c r="DD2" s="7">
        <v>128.4</v>
      </c>
      <c r="DE2" s="7">
        <v>128.425</v>
      </c>
      <c r="DF2" s="7">
        <v>128.45</v>
      </c>
      <c r="DG2" s="7">
        <v>128.475</v>
      </c>
      <c r="DH2" s="7">
        <v>128.5</v>
      </c>
      <c r="DI2" s="7">
        <v>128.525</v>
      </c>
      <c r="DJ2" s="7">
        <v>128.55</v>
      </c>
      <c r="DK2" s="7">
        <v>128.575</v>
      </c>
      <c r="DL2" s="7">
        <v>128.6</v>
      </c>
      <c r="DM2" s="7">
        <v>128.625</v>
      </c>
      <c r="DN2" s="7">
        <v>128.65</v>
      </c>
      <c r="DO2" s="7">
        <v>128.675</v>
      </c>
      <c r="DP2" s="7">
        <v>128.7</v>
      </c>
      <c r="DQ2" s="7">
        <v>128.725</v>
      </c>
      <c r="DR2" s="7">
        <v>128.75</v>
      </c>
      <c r="DS2" s="7">
        <v>128.775</v>
      </c>
      <c r="DT2" s="7">
        <v>128.8</v>
      </c>
      <c r="DU2" s="7">
        <v>128.825</v>
      </c>
      <c r="DV2" s="7">
        <v>128.85</v>
      </c>
      <c r="DW2" s="7">
        <v>128.875</v>
      </c>
      <c r="DX2" s="7">
        <v>128.9</v>
      </c>
      <c r="DY2" s="7">
        <v>128.925</v>
      </c>
      <c r="DZ2" s="7">
        <v>128.95</v>
      </c>
      <c r="EA2" s="7">
        <v>128.975</v>
      </c>
      <c r="EB2" s="7">
        <v>129</v>
      </c>
      <c r="EC2" s="7">
        <v>129.025</v>
      </c>
      <c r="ED2" s="7">
        <v>129.05</v>
      </c>
      <c r="EE2" s="7">
        <v>129.075</v>
      </c>
      <c r="EF2" s="7">
        <v>129.1</v>
      </c>
      <c r="EG2" s="7">
        <v>129.125</v>
      </c>
      <c r="EH2" s="7">
        <v>129.15</v>
      </c>
      <c r="EI2" s="7">
        <v>129.175</v>
      </c>
      <c r="EJ2" s="7">
        <v>129.2</v>
      </c>
      <c r="EK2" s="7">
        <v>129.225</v>
      </c>
      <c r="EL2" s="7">
        <v>129.25</v>
      </c>
      <c r="EM2" s="7">
        <v>129.275</v>
      </c>
      <c r="EN2" s="7">
        <v>129.3</v>
      </c>
      <c r="EO2" s="7">
        <v>129.325</v>
      </c>
      <c r="EP2" s="7">
        <v>129.35</v>
      </c>
      <c r="EQ2" s="7">
        <v>129.375</v>
      </c>
      <c r="ER2" s="7">
        <v>129.4</v>
      </c>
      <c r="ES2" s="7">
        <v>129.425</v>
      </c>
      <c r="ET2" s="7">
        <v>129.45</v>
      </c>
      <c r="EU2" s="7">
        <v>129.475</v>
      </c>
      <c r="EV2" s="7">
        <v>129.5</v>
      </c>
      <c r="EW2" s="7">
        <v>129.525</v>
      </c>
      <c r="EX2" s="7">
        <v>129.55</v>
      </c>
      <c r="EY2" s="7">
        <v>129.575</v>
      </c>
    </row>
    <row r="3" spans="1:155">
      <c r="A3" s="7">
        <v>33.2</v>
      </c>
      <c r="W3" s="8">
        <v>-66.7</v>
      </c>
    </row>
    <row r="4" spans="1:155">
      <c r="A4" s="7">
        <v>33.225</v>
      </c>
      <c r="V4" s="8">
        <v>-10.4</v>
      </c>
      <c r="W4" s="8">
        <v>3</v>
      </c>
      <c r="X4" s="8">
        <v>-40.7</v>
      </c>
      <c r="AE4" s="8">
        <v>40.6</v>
      </c>
    </row>
    <row r="5" spans="1:155">
      <c r="A5" s="7">
        <v>33.25</v>
      </c>
      <c r="T5" s="8">
        <v>54.8</v>
      </c>
      <c r="U5" s="8">
        <v>-65.7</v>
      </c>
      <c r="V5" s="8">
        <v>58</v>
      </c>
      <c r="W5" s="8">
        <v>84.7</v>
      </c>
      <c r="X5" s="8">
        <v>263.9</v>
      </c>
      <c r="Y5" s="8">
        <v>278.1</v>
      </c>
      <c r="Z5" s="8">
        <v>119.3</v>
      </c>
      <c r="AA5" s="8">
        <v>-29.8</v>
      </c>
      <c r="AB5" s="8">
        <v>-65.3</v>
      </c>
      <c r="AC5" s="8">
        <v>235</v>
      </c>
      <c r="AD5" s="8">
        <v>175.6</v>
      </c>
      <c r="AE5" s="8">
        <v>119</v>
      </c>
      <c r="AF5" s="8">
        <v>211.5</v>
      </c>
      <c r="AG5" s="8">
        <v>335.6</v>
      </c>
      <c r="AH5" s="8">
        <v>220.3</v>
      </c>
      <c r="AI5" s="8">
        <v>184</v>
      </c>
      <c r="AJ5" s="8">
        <v>97.2</v>
      </c>
      <c r="AK5" s="8">
        <v>47.6</v>
      </c>
    </row>
    <row r="6" spans="1:155">
      <c r="A6" s="7">
        <v>33.275</v>
      </c>
      <c r="S6" s="8">
        <v>36.9</v>
      </c>
      <c r="T6" s="8">
        <v>193.7</v>
      </c>
      <c r="U6" s="8">
        <v>102.7</v>
      </c>
      <c r="V6" s="8">
        <v>82.2</v>
      </c>
      <c r="W6" s="8">
        <v>146.8</v>
      </c>
      <c r="X6" s="8">
        <v>59.3</v>
      </c>
      <c r="Y6" s="8">
        <v>388.5</v>
      </c>
      <c r="Z6" s="8">
        <v>334.7</v>
      </c>
      <c r="AA6" s="8">
        <v>347.3</v>
      </c>
      <c r="AB6" s="8">
        <v>217.9</v>
      </c>
      <c r="AC6" s="8">
        <v>349.3</v>
      </c>
      <c r="AD6" s="8">
        <v>448.8</v>
      </c>
      <c r="AE6" s="8">
        <v>388.5</v>
      </c>
      <c r="AF6" s="8">
        <v>494.2</v>
      </c>
      <c r="AG6" s="8">
        <v>441.4</v>
      </c>
      <c r="AH6" s="8">
        <v>361.4</v>
      </c>
      <c r="AI6" s="8">
        <v>183</v>
      </c>
      <c r="AJ6" s="8">
        <v>309.3</v>
      </c>
      <c r="AK6" s="8">
        <v>174</v>
      </c>
      <c r="AL6" s="8">
        <v>-13.5</v>
      </c>
      <c r="AM6" s="8">
        <v>172.6</v>
      </c>
      <c r="AN6" s="8">
        <v>161.8</v>
      </c>
      <c r="AO6" s="8">
        <v>175.3</v>
      </c>
    </row>
    <row r="7" spans="1:155">
      <c r="A7" s="7">
        <v>33.3</v>
      </c>
      <c r="S7" s="8">
        <v>-225.4</v>
      </c>
      <c r="T7" s="8">
        <v>-69.40000000000001</v>
      </c>
      <c r="U7" s="8">
        <v>62.3</v>
      </c>
      <c r="V7" s="8">
        <v>76.3</v>
      </c>
      <c r="W7" s="8">
        <v>-23.1</v>
      </c>
      <c r="X7" s="8">
        <v>-40.7</v>
      </c>
      <c r="Y7" s="8">
        <v>-160.4</v>
      </c>
      <c r="Z7" s="8">
        <v>-57.9</v>
      </c>
      <c r="AA7" s="8">
        <v>573.5</v>
      </c>
      <c r="AB7" s="8">
        <v>576.8</v>
      </c>
      <c r="AC7" s="8">
        <v>533.2</v>
      </c>
      <c r="AD7" s="8">
        <v>718.5</v>
      </c>
      <c r="AE7" s="8">
        <v>470.7</v>
      </c>
      <c r="AF7" s="8">
        <v>751</v>
      </c>
      <c r="AG7" s="8">
        <v>571</v>
      </c>
      <c r="AH7" s="8">
        <v>104</v>
      </c>
      <c r="AI7" s="8">
        <v>252.8</v>
      </c>
      <c r="AJ7" s="8">
        <v>108.6</v>
      </c>
      <c r="AK7" s="8">
        <v>211.3</v>
      </c>
      <c r="AL7" s="8">
        <v>261.8</v>
      </c>
      <c r="AM7" s="8">
        <v>390.3</v>
      </c>
      <c r="AN7" s="8">
        <v>202.4</v>
      </c>
      <c r="AO7" s="8">
        <v>208.4</v>
      </c>
      <c r="AP7" s="8">
        <v>40.2</v>
      </c>
      <c r="AQ7" s="8">
        <v>-108.6</v>
      </c>
      <c r="AR7" s="8">
        <v>156.4</v>
      </c>
    </row>
    <row r="8" spans="1:155">
      <c r="A8" s="7">
        <v>33.325</v>
      </c>
      <c r="S8" s="8">
        <v>-145.4</v>
      </c>
      <c r="T8" s="8">
        <v>-220.2</v>
      </c>
      <c r="U8" s="8">
        <v>-185.8</v>
      </c>
      <c r="V8" s="8">
        <v>19.9</v>
      </c>
      <c r="W8" s="8">
        <v>194.5</v>
      </c>
      <c r="X8" s="8">
        <v>-16.3</v>
      </c>
      <c r="Y8" s="8">
        <v>169.4</v>
      </c>
      <c r="Z8" s="8">
        <v>63.1</v>
      </c>
      <c r="AA8" s="8">
        <v>102.2</v>
      </c>
      <c r="AB8" s="8">
        <v>410.8</v>
      </c>
      <c r="AC8" s="8">
        <v>398</v>
      </c>
      <c r="AD8" s="8">
        <v>542.3</v>
      </c>
      <c r="AE8" s="8">
        <v>766</v>
      </c>
      <c r="AF8" s="8">
        <v>616.2</v>
      </c>
      <c r="AG8" s="8">
        <v>749.5</v>
      </c>
      <c r="AH8" s="8">
        <v>1170.1</v>
      </c>
      <c r="AI8" s="8">
        <v>518.9</v>
      </c>
      <c r="AJ8" s="8">
        <v>174.8</v>
      </c>
      <c r="AK8" s="8">
        <v>239.7</v>
      </c>
      <c r="AL8" s="8">
        <v>204.7</v>
      </c>
      <c r="AM8" s="8">
        <v>306.1</v>
      </c>
      <c r="AN8" s="8">
        <v>219</v>
      </c>
      <c r="AO8" s="8">
        <v>440.4</v>
      </c>
      <c r="AP8" s="8">
        <v>8.5</v>
      </c>
      <c r="AQ8" s="8">
        <v>-18</v>
      </c>
      <c r="AR8" s="8">
        <v>64.5</v>
      </c>
      <c r="AS8" s="8">
        <v>159.2</v>
      </c>
    </row>
    <row r="9" spans="1:155">
      <c r="A9" s="7">
        <v>33.35</v>
      </c>
      <c r="T9" s="8">
        <v>-199.9</v>
      </c>
      <c r="U9" s="8">
        <v>-138.8</v>
      </c>
      <c r="V9" s="8">
        <v>-111.4</v>
      </c>
      <c r="W9" s="8">
        <v>-40.5</v>
      </c>
      <c r="X9" s="8">
        <v>-209.9</v>
      </c>
      <c r="Y9" s="8">
        <v>6</v>
      </c>
      <c r="Z9" s="8">
        <v>284.4</v>
      </c>
      <c r="AA9" s="8">
        <v>334.3</v>
      </c>
      <c r="AB9" s="8">
        <v>-33</v>
      </c>
      <c r="AC9" s="8">
        <v>259.4</v>
      </c>
      <c r="AD9" s="8">
        <v>376.3</v>
      </c>
      <c r="AE9" s="8">
        <v>192</v>
      </c>
      <c r="AF9" s="8">
        <v>83.8</v>
      </c>
      <c r="AG9" s="8">
        <v>496</v>
      </c>
      <c r="AH9" s="8">
        <v>953.6</v>
      </c>
      <c r="AI9" s="8">
        <v>905.6</v>
      </c>
      <c r="AJ9" s="8">
        <v>518.4</v>
      </c>
      <c r="AK9" s="8">
        <v>445.7</v>
      </c>
      <c r="AL9" s="8">
        <v>328.7</v>
      </c>
      <c r="AM9" s="8">
        <v>335.9</v>
      </c>
      <c r="AN9" s="8">
        <v>240.4</v>
      </c>
      <c r="AO9" s="8">
        <v>445.5</v>
      </c>
      <c r="AP9" s="8">
        <v>139.6</v>
      </c>
      <c r="AQ9" s="8">
        <v>37.9</v>
      </c>
      <c r="AR9" s="8">
        <v>-27.1</v>
      </c>
      <c r="AS9" s="8">
        <v>123.2</v>
      </c>
      <c r="AT9" s="8">
        <v>402.3</v>
      </c>
    </row>
    <row r="10" spans="1:155">
      <c r="A10" s="7">
        <v>33.375</v>
      </c>
      <c r="U10" s="8">
        <v>-64.3</v>
      </c>
      <c r="V10" s="8">
        <v>-175.1</v>
      </c>
      <c r="W10" s="8">
        <v>-88.2</v>
      </c>
      <c r="X10" s="8">
        <v>-56</v>
      </c>
      <c r="Y10" s="8">
        <v>34.9</v>
      </c>
      <c r="Z10" s="8">
        <v>-75.2</v>
      </c>
      <c r="AA10" s="8">
        <v>-71.5</v>
      </c>
      <c r="AB10" s="8">
        <v>-5.5</v>
      </c>
      <c r="AC10" s="8">
        <v>-134.1</v>
      </c>
      <c r="AD10" s="8">
        <v>-91.7</v>
      </c>
      <c r="AE10" s="8">
        <v>-226.5</v>
      </c>
      <c r="AF10" s="8">
        <v>-200</v>
      </c>
      <c r="AG10" s="8">
        <v>127.8</v>
      </c>
      <c r="AH10" s="8">
        <v>-3.5</v>
      </c>
      <c r="AI10" s="8">
        <v>61.5</v>
      </c>
      <c r="AJ10" s="8">
        <v>312.2</v>
      </c>
      <c r="AK10" s="8">
        <v>197</v>
      </c>
      <c r="AL10" s="8">
        <v>145.6</v>
      </c>
      <c r="AM10" s="8">
        <v>197.7</v>
      </c>
      <c r="AN10" s="8">
        <v>236.2</v>
      </c>
      <c r="AO10" s="8">
        <v>415.1</v>
      </c>
      <c r="AP10" s="8">
        <v>206.5</v>
      </c>
      <c r="AQ10" s="8">
        <v>239.1</v>
      </c>
      <c r="AR10" s="8">
        <v>-15.2</v>
      </c>
      <c r="AS10" s="8">
        <v>214.8</v>
      </c>
      <c r="AT10" s="8">
        <v>342.8</v>
      </c>
      <c r="AU10" s="8">
        <v>360.8</v>
      </c>
    </row>
    <row r="11" spans="1:155">
      <c r="A11" s="7">
        <v>33.4</v>
      </c>
      <c r="V11" s="8">
        <v>-258.3</v>
      </c>
      <c r="W11" s="8">
        <v>-288</v>
      </c>
      <c r="X11" s="8">
        <v>-227.4</v>
      </c>
      <c r="Y11" s="8">
        <v>-160.1</v>
      </c>
      <c r="Z11" s="8">
        <v>-186.4</v>
      </c>
      <c r="AA11" s="8">
        <v>-17.7</v>
      </c>
      <c r="AB11" s="8">
        <v>-42.6</v>
      </c>
      <c r="AC11" s="8">
        <v>-42.2</v>
      </c>
      <c r="AD11" s="8">
        <v>-35.6</v>
      </c>
      <c r="AE11" s="8">
        <v>-109.7</v>
      </c>
      <c r="AF11" s="8">
        <v>-33.2</v>
      </c>
      <c r="AG11" s="8">
        <v>-408.5</v>
      </c>
      <c r="AH11" s="8">
        <v>-114.2</v>
      </c>
      <c r="AI11" s="8">
        <v>-144</v>
      </c>
      <c r="AJ11" s="8">
        <v>74.3</v>
      </c>
      <c r="AK11" s="8">
        <v>215.1</v>
      </c>
      <c r="AL11" s="8">
        <v>50.8</v>
      </c>
      <c r="AM11" s="8">
        <v>116.3</v>
      </c>
      <c r="AN11" s="8">
        <v>-21.7</v>
      </c>
      <c r="AO11" s="8">
        <v>-25.1</v>
      </c>
      <c r="AP11" s="8">
        <v>144</v>
      </c>
      <c r="AQ11" s="8">
        <v>123.4</v>
      </c>
      <c r="AR11" s="8">
        <v>25</v>
      </c>
      <c r="AS11" s="8">
        <v>-165.9</v>
      </c>
      <c r="AT11" s="8">
        <v>-164.5</v>
      </c>
      <c r="AU11" s="8">
        <v>240.3</v>
      </c>
      <c r="AV11" s="8">
        <v>241.1</v>
      </c>
    </row>
    <row r="12" spans="1:155">
      <c r="A12" s="7">
        <v>33.425</v>
      </c>
      <c r="W12" s="8">
        <v>-11.1</v>
      </c>
      <c r="X12" s="8">
        <v>-85.8</v>
      </c>
      <c r="Y12" s="8">
        <v>-51.8</v>
      </c>
      <c r="Z12" s="8">
        <v>-36.8</v>
      </c>
      <c r="AA12" s="8">
        <v>-164.8</v>
      </c>
      <c r="AB12" s="8">
        <v>-205.4</v>
      </c>
      <c r="AC12" s="8">
        <v>-380.3</v>
      </c>
      <c r="AD12" s="8">
        <v>-368.7</v>
      </c>
      <c r="AE12" s="8">
        <v>-174.5</v>
      </c>
      <c r="AF12" s="8">
        <v>-111.3</v>
      </c>
      <c r="AG12" s="8">
        <v>-165.8</v>
      </c>
      <c r="AH12" s="8">
        <v>-0.1</v>
      </c>
      <c r="AI12" s="8">
        <v>25.8</v>
      </c>
      <c r="AJ12" s="8">
        <v>28</v>
      </c>
      <c r="AK12" s="8">
        <v>369.1</v>
      </c>
      <c r="AL12" s="8">
        <v>176.4</v>
      </c>
      <c r="AM12" s="8">
        <v>122.7</v>
      </c>
      <c r="AN12" s="8">
        <v>70.7</v>
      </c>
      <c r="AO12" s="8">
        <v>245.6</v>
      </c>
      <c r="AP12" s="8">
        <v>125.9</v>
      </c>
      <c r="AQ12" s="8">
        <v>76.5</v>
      </c>
      <c r="AR12" s="8">
        <v>134.1</v>
      </c>
      <c r="AS12" s="8">
        <v>89.7</v>
      </c>
      <c r="AT12" s="8">
        <v>-52</v>
      </c>
      <c r="AU12" s="8">
        <v>11.9</v>
      </c>
      <c r="AV12" s="8">
        <v>286.5</v>
      </c>
    </row>
    <row r="13" spans="1:155">
      <c r="A13" s="7">
        <v>33.45</v>
      </c>
      <c r="Y13" s="8">
        <v>-200</v>
      </c>
      <c r="Z13" s="8">
        <v>-186.6</v>
      </c>
      <c r="AA13" s="8">
        <v>-124.4</v>
      </c>
      <c r="AB13" s="8">
        <v>-249.2</v>
      </c>
      <c r="AC13" s="8">
        <v>-371</v>
      </c>
      <c r="AD13" s="8">
        <v>-258.8</v>
      </c>
      <c r="AE13" s="8">
        <v>-271.6</v>
      </c>
      <c r="AF13" s="8">
        <v>-224.8</v>
      </c>
      <c r="AG13" s="8">
        <v>-143.6</v>
      </c>
      <c r="AH13" s="8">
        <v>-105.4</v>
      </c>
      <c r="AI13" s="8">
        <v>18.7</v>
      </c>
      <c r="AJ13" s="8">
        <v>42.2</v>
      </c>
      <c r="AK13" s="8">
        <v>-97.3</v>
      </c>
      <c r="AL13" s="8">
        <v>34.9</v>
      </c>
      <c r="AM13" s="8">
        <v>-113.2</v>
      </c>
      <c r="AN13" s="8">
        <v>-74.8</v>
      </c>
      <c r="AO13" s="8">
        <v>-19.9</v>
      </c>
      <c r="AP13" s="8">
        <v>197.6</v>
      </c>
      <c r="AQ13" s="8">
        <v>-53.6</v>
      </c>
      <c r="AR13" s="8">
        <v>100.7</v>
      </c>
      <c r="AS13" s="8">
        <v>-68.8</v>
      </c>
      <c r="AT13" s="8">
        <v>-475</v>
      </c>
      <c r="AU13" s="8">
        <v>-113.1</v>
      </c>
      <c r="AV13" s="8">
        <v>9.1</v>
      </c>
      <c r="AW13" s="8">
        <v>52.9</v>
      </c>
    </row>
    <row r="14" spans="1:155">
      <c r="A14" s="7">
        <v>33.475</v>
      </c>
      <c r="AA14" s="8">
        <v>-195.8</v>
      </c>
      <c r="AB14" s="8">
        <v>-61.1</v>
      </c>
      <c r="AC14" s="8">
        <v>279.5</v>
      </c>
      <c r="AD14" s="8">
        <v>-95.40000000000001</v>
      </c>
      <c r="AE14" s="8">
        <v>-225.7</v>
      </c>
      <c r="AF14" s="8">
        <v>-485.2</v>
      </c>
      <c r="AG14" s="8">
        <v>-274.6</v>
      </c>
      <c r="AH14" s="8">
        <v>-251.8</v>
      </c>
      <c r="AI14" s="8">
        <v>-74.40000000000001</v>
      </c>
      <c r="AJ14" s="8">
        <v>-50.3</v>
      </c>
      <c r="AK14" s="8">
        <v>-165.2</v>
      </c>
      <c r="AL14" s="8">
        <v>2.4</v>
      </c>
      <c r="AM14" s="8">
        <v>58.6</v>
      </c>
      <c r="AN14" s="8">
        <v>-328.3</v>
      </c>
      <c r="AO14" s="8">
        <v>41.1</v>
      </c>
      <c r="AP14" s="8">
        <v>19.5</v>
      </c>
      <c r="AQ14" s="8">
        <v>126.3</v>
      </c>
      <c r="AR14" s="8">
        <v>81.09999999999999</v>
      </c>
      <c r="AS14" s="8">
        <v>-162.6</v>
      </c>
      <c r="AT14" s="8">
        <v>-24.9</v>
      </c>
      <c r="AU14" s="8">
        <v>24.8</v>
      </c>
      <c r="AV14" s="8">
        <v>6</v>
      </c>
    </row>
    <row r="15" spans="1:155">
      <c r="A15" s="7">
        <v>33.5</v>
      </c>
      <c r="AE15" s="8">
        <v>-12.1</v>
      </c>
      <c r="AF15" s="8">
        <v>-80</v>
      </c>
      <c r="AG15" s="8">
        <v>-70.59999999999999</v>
      </c>
      <c r="AH15" s="8">
        <v>-22</v>
      </c>
      <c r="AI15" s="8">
        <v>130</v>
      </c>
      <c r="AJ15" s="8">
        <v>206.1</v>
      </c>
      <c r="AK15" s="8">
        <v>-82.59999999999999</v>
      </c>
      <c r="AL15" s="8">
        <v>-266.6</v>
      </c>
      <c r="AM15" s="8">
        <v>-355.5</v>
      </c>
      <c r="AN15" s="8">
        <v>-282.1</v>
      </c>
      <c r="AO15" s="8">
        <v>-223.4</v>
      </c>
      <c r="AP15" s="8">
        <v>-272.4</v>
      </c>
      <c r="AQ15" s="8">
        <v>-176</v>
      </c>
      <c r="AR15" s="8">
        <v>69.40000000000001</v>
      </c>
      <c r="AS15" s="8">
        <v>-17.1</v>
      </c>
      <c r="AT15" s="8">
        <v>274.7</v>
      </c>
      <c r="AU15" s="8">
        <v>-20.1</v>
      </c>
      <c r="AV15" s="8">
        <v>87.40000000000001</v>
      </c>
    </row>
    <row r="16" spans="1:155">
      <c r="A16" s="7">
        <v>33.525</v>
      </c>
      <c r="AJ16" s="8">
        <v>-333.5</v>
      </c>
      <c r="AK16" s="8">
        <v>-282.9</v>
      </c>
      <c r="AL16" s="8">
        <v>-244.4</v>
      </c>
      <c r="AM16" s="8">
        <v>-228.7</v>
      </c>
      <c r="AN16" s="8">
        <v>-194.2</v>
      </c>
      <c r="AO16" s="8">
        <v>-139</v>
      </c>
      <c r="AP16" s="8">
        <v>-122</v>
      </c>
      <c r="AQ16" s="8">
        <v>-130.1</v>
      </c>
      <c r="AR16" s="8">
        <v>165.9</v>
      </c>
      <c r="AS16" s="8">
        <v>98.40000000000001</v>
      </c>
      <c r="AT16" s="8">
        <v>-99.7</v>
      </c>
      <c r="AU16" s="8">
        <v>-105.8</v>
      </c>
    </row>
    <row r="17" spans="1:45">
      <c r="A17" s="7">
        <v>33.55</v>
      </c>
      <c r="AN17" s="8">
        <v>-225.5</v>
      </c>
      <c r="AO17" s="8">
        <v>-223.7</v>
      </c>
      <c r="AP17" s="8">
        <v>-165.7</v>
      </c>
      <c r="AQ17" s="8">
        <v>-174.9</v>
      </c>
      <c r="AR17" s="8">
        <v>-208.1</v>
      </c>
      <c r="AS17" s="8">
        <v>133.2</v>
      </c>
    </row>
    <row r="18" spans="1:45">
      <c r="A18" s="7">
        <v>33.575</v>
      </c>
    </row>
    <row r="19" spans="1:45">
      <c r="A19" s="7">
        <v>33.6</v>
      </c>
    </row>
    <row r="20" spans="1:45">
      <c r="A20" s="7">
        <v>33.625</v>
      </c>
    </row>
    <row r="21" spans="1:45">
      <c r="A21" s="7">
        <v>33.65</v>
      </c>
    </row>
    <row r="22" spans="1:45">
      <c r="A22" s="7">
        <v>33.675</v>
      </c>
    </row>
    <row r="23" spans="1:45">
      <c r="A23" s="7">
        <v>33.7</v>
      </c>
    </row>
    <row r="24" spans="1:45">
      <c r="A24" s="7">
        <v>33.725</v>
      </c>
    </row>
    <row r="25" spans="1:45">
      <c r="A25" s="7">
        <v>33.75</v>
      </c>
    </row>
    <row r="26" spans="1:45">
      <c r="A26" s="7">
        <v>33.775</v>
      </c>
    </row>
    <row r="27" spans="1:45">
      <c r="A27" s="7">
        <v>33.8</v>
      </c>
    </row>
    <row r="28" spans="1:45">
      <c r="A28" s="7">
        <v>33.825</v>
      </c>
    </row>
    <row r="29" spans="1:45">
      <c r="A29" s="7">
        <v>33.85</v>
      </c>
    </row>
    <row r="30" spans="1:45">
      <c r="A30" s="7">
        <v>33.875</v>
      </c>
    </row>
    <row r="31" spans="1:45">
      <c r="A31" s="7">
        <v>33.9</v>
      </c>
    </row>
    <row r="32" spans="1:45">
      <c r="A32" s="7">
        <v>33.925</v>
      </c>
    </row>
    <row r="33" spans="1:62">
      <c r="A33" s="7">
        <v>33.95</v>
      </c>
    </row>
    <row r="34" spans="1:62">
      <c r="A34" s="7">
        <v>33.975</v>
      </c>
    </row>
    <row r="35" spans="1:62">
      <c r="A35" s="7">
        <v>34</v>
      </c>
    </row>
    <row r="36" spans="1:62">
      <c r="A36" s="7">
        <v>34.025</v>
      </c>
    </row>
    <row r="37" spans="1:62">
      <c r="A37" s="7">
        <v>34.05</v>
      </c>
    </row>
    <row r="38" spans="1:62">
      <c r="A38" s="7">
        <v>34.075</v>
      </c>
    </row>
    <row r="39" spans="1:62">
      <c r="A39" s="7">
        <v>34.1</v>
      </c>
      <c r="AF39" s="8">
        <v>-161.8</v>
      </c>
      <c r="AG39" s="8">
        <v>-109.8</v>
      </c>
      <c r="AH39" s="8">
        <v>-162.3</v>
      </c>
      <c r="AI39" s="8">
        <v>-8.1</v>
      </c>
      <c r="AJ39" s="8">
        <v>39</v>
      </c>
      <c r="AK39" s="8">
        <v>3.9</v>
      </c>
      <c r="AL39" s="8">
        <v>-0.1</v>
      </c>
      <c r="AM39" s="8">
        <v>-7.9</v>
      </c>
      <c r="AN39" s="8">
        <v>-45.8</v>
      </c>
      <c r="AO39" s="8">
        <v>-92.59999999999999</v>
      </c>
      <c r="AP39" s="8">
        <v>-121.9</v>
      </c>
      <c r="AQ39" s="8">
        <v>-24.5</v>
      </c>
    </row>
    <row r="40" spans="1:62">
      <c r="A40" s="7">
        <v>34.125</v>
      </c>
      <c r="AD40" s="8">
        <v>-87</v>
      </c>
      <c r="AE40" s="8">
        <v>-114.3</v>
      </c>
      <c r="AF40" s="8">
        <v>-198.7</v>
      </c>
      <c r="AG40" s="8">
        <v>-18.1</v>
      </c>
      <c r="AH40" s="8">
        <v>149.3</v>
      </c>
      <c r="AI40" s="8">
        <v>41.5</v>
      </c>
      <c r="AJ40" s="8">
        <v>51.2</v>
      </c>
      <c r="AK40" s="8">
        <v>75</v>
      </c>
      <c r="AL40" s="8">
        <v>84</v>
      </c>
      <c r="AM40" s="8">
        <v>85.7</v>
      </c>
      <c r="AN40" s="8">
        <v>42.5</v>
      </c>
      <c r="AO40" s="8">
        <v>130.9</v>
      </c>
      <c r="AP40" s="8">
        <v>60.4</v>
      </c>
      <c r="AQ40" s="8">
        <v>58.3</v>
      </c>
      <c r="AR40" s="8">
        <v>-27</v>
      </c>
      <c r="AS40" s="8">
        <v>27.7</v>
      </c>
      <c r="AT40" s="8">
        <v>112.2</v>
      </c>
      <c r="AU40" s="8">
        <v>144.6</v>
      </c>
      <c r="AV40" s="8">
        <v>112.8</v>
      </c>
      <c r="AW40" s="8">
        <v>128.9</v>
      </c>
      <c r="AX40" s="8">
        <v>373.8</v>
      </c>
      <c r="AY40" s="8">
        <v>301</v>
      </c>
      <c r="AZ40" s="8">
        <v>270.6</v>
      </c>
    </row>
    <row r="41" spans="1:62">
      <c r="A41" s="7">
        <v>34.15</v>
      </c>
      <c r="AD41" s="8">
        <v>0.9</v>
      </c>
      <c r="AE41" s="8">
        <v>-103</v>
      </c>
      <c r="AF41" s="8">
        <v>-117.8</v>
      </c>
      <c r="AG41" s="8">
        <v>-43.2</v>
      </c>
      <c r="AH41" s="8">
        <v>-54.9</v>
      </c>
      <c r="AI41" s="8">
        <v>147.1</v>
      </c>
      <c r="AJ41" s="8">
        <v>49.9</v>
      </c>
      <c r="AK41" s="8">
        <v>54.9</v>
      </c>
      <c r="AL41" s="8">
        <v>145.7</v>
      </c>
      <c r="AM41" s="8">
        <v>97.90000000000001</v>
      </c>
      <c r="AN41" s="8">
        <v>-96.09999999999999</v>
      </c>
      <c r="AO41" s="8">
        <v>85.2</v>
      </c>
      <c r="AP41" s="8">
        <v>198.1</v>
      </c>
      <c r="AQ41" s="8">
        <v>121.3</v>
      </c>
      <c r="AR41" s="8">
        <v>-61.8</v>
      </c>
      <c r="AS41" s="8">
        <v>6.9</v>
      </c>
      <c r="AT41" s="8">
        <v>105.4</v>
      </c>
      <c r="AU41" s="8">
        <v>315.4</v>
      </c>
      <c r="AV41" s="8">
        <v>239.2</v>
      </c>
      <c r="AW41" s="8">
        <v>120.7</v>
      </c>
      <c r="AX41" s="8">
        <v>201.2</v>
      </c>
      <c r="AY41" s="8">
        <v>193.3</v>
      </c>
      <c r="AZ41" s="8">
        <v>-76.59999999999999</v>
      </c>
    </row>
    <row r="42" spans="1:62">
      <c r="A42" s="7">
        <v>34.175</v>
      </c>
      <c r="AD42" s="8">
        <v>-71.3</v>
      </c>
      <c r="AE42" s="8">
        <v>-12</v>
      </c>
      <c r="AF42" s="8">
        <v>-125.5</v>
      </c>
      <c r="AG42" s="8">
        <v>-92.40000000000001</v>
      </c>
      <c r="AH42" s="8">
        <v>-76.5</v>
      </c>
      <c r="AI42" s="8">
        <v>-115.5</v>
      </c>
      <c r="AJ42" s="8">
        <v>47.9</v>
      </c>
      <c r="AK42" s="8">
        <v>247.4</v>
      </c>
      <c r="AL42" s="8">
        <v>343.2</v>
      </c>
      <c r="AM42" s="8">
        <v>519</v>
      </c>
      <c r="AN42" s="8">
        <v>-7.8</v>
      </c>
      <c r="AO42" s="8">
        <v>-202.7</v>
      </c>
      <c r="AP42" s="8">
        <v>100.7</v>
      </c>
      <c r="AQ42" s="8">
        <v>63.1</v>
      </c>
      <c r="AR42" s="8">
        <v>-6.1</v>
      </c>
      <c r="AS42" s="8">
        <v>6.6</v>
      </c>
      <c r="AT42" s="8">
        <v>199.5</v>
      </c>
      <c r="AU42" s="8">
        <v>-7.3</v>
      </c>
      <c r="AV42" s="8">
        <v>-5.7</v>
      </c>
      <c r="AW42" s="8">
        <v>33.5</v>
      </c>
      <c r="AX42" s="8">
        <v>10.6</v>
      </c>
      <c r="AY42" s="8">
        <v>723.2</v>
      </c>
      <c r="AZ42" s="8">
        <v>142.7</v>
      </c>
    </row>
    <row r="43" spans="1:62">
      <c r="A43" s="7">
        <v>34.2</v>
      </c>
      <c r="E43" s="8">
        <v>40.4</v>
      </c>
      <c r="F43" s="8">
        <v>-11.9</v>
      </c>
      <c r="G43" s="8">
        <v>-31.7</v>
      </c>
      <c r="H43" s="8">
        <v>17.8</v>
      </c>
      <c r="I43" s="8">
        <v>100.8</v>
      </c>
      <c r="J43" s="8">
        <v>477.2</v>
      </c>
      <c r="K43" s="8">
        <v>166.6</v>
      </c>
      <c r="L43" s="8">
        <v>127.5</v>
      </c>
      <c r="M43" s="8">
        <v>155.5</v>
      </c>
      <c r="N43" s="8">
        <v>23.9</v>
      </c>
      <c r="O43" s="8">
        <v>73.8</v>
      </c>
      <c r="P43" s="8">
        <v>117.9</v>
      </c>
      <c r="Q43" s="8">
        <v>378.9</v>
      </c>
      <c r="R43" s="8">
        <v>207.4</v>
      </c>
      <c r="S43" s="8">
        <v>213.2</v>
      </c>
      <c r="T43" s="8">
        <v>90.5</v>
      </c>
      <c r="U43" s="8">
        <v>25.3</v>
      </c>
      <c r="V43" s="8">
        <v>-29.6</v>
      </c>
      <c r="W43" s="8">
        <v>60</v>
      </c>
      <c r="X43" s="8">
        <v>-45.8</v>
      </c>
      <c r="Y43" s="8">
        <v>-10.3</v>
      </c>
      <c r="Z43" s="8">
        <v>-68.7</v>
      </c>
      <c r="AA43" s="8">
        <v>-67.8</v>
      </c>
      <c r="AB43" s="8">
        <v>-177.4</v>
      </c>
      <c r="AC43" s="8">
        <v>-184.4</v>
      </c>
      <c r="AD43" s="8">
        <v>-172.3</v>
      </c>
      <c r="AE43" s="8">
        <v>-164.8</v>
      </c>
      <c r="AF43" s="8">
        <v>-151.4</v>
      </c>
      <c r="AG43" s="8">
        <v>-191.1</v>
      </c>
      <c r="AH43" s="8">
        <v>-212.1</v>
      </c>
      <c r="AI43" s="8">
        <v>-91.40000000000001</v>
      </c>
      <c r="AJ43" s="8">
        <v>-36.7</v>
      </c>
      <c r="AK43" s="8">
        <v>5.2</v>
      </c>
      <c r="AL43" s="8">
        <v>-149.4</v>
      </c>
      <c r="AM43" s="8">
        <v>-392.2</v>
      </c>
      <c r="AN43" s="8">
        <v>-213.2</v>
      </c>
      <c r="AO43" s="8">
        <v>-229.3</v>
      </c>
      <c r="AP43" s="8">
        <v>-217.8</v>
      </c>
      <c r="AQ43" s="8">
        <v>-150.2</v>
      </c>
      <c r="AR43" s="8">
        <v>137.2</v>
      </c>
      <c r="AS43" s="8">
        <v>-112.8</v>
      </c>
      <c r="AT43" s="8">
        <v>-119.4</v>
      </c>
      <c r="AU43" s="8">
        <v>45.7</v>
      </c>
      <c r="AV43" s="8">
        <v>120.9</v>
      </c>
      <c r="AW43" s="8">
        <v>51.3</v>
      </c>
      <c r="AX43" s="8">
        <v>-76.40000000000001</v>
      </c>
      <c r="AY43" s="8">
        <v>440.4</v>
      </c>
      <c r="AZ43" s="8">
        <v>-442.7</v>
      </c>
    </row>
    <row r="44" spans="1:62">
      <c r="A44" s="7">
        <v>34.225</v>
      </c>
      <c r="E44" s="8">
        <v>-51.4</v>
      </c>
      <c r="F44" s="8">
        <v>-15.7</v>
      </c>
      <c r="G44" s="8">
        <v>-7.2</v>
      </c>
      <c r="H44" s="8">
        <v>-40</v>
      </c>
      <c r="I44" s="8">
        <v>265.2</v>
      </c>
      <c r="J44" s="8">
        <v>421.6</v>
      </c>
      <c r="K44" s="8">
        <v>208.6</v>
      </c>
      <c r="L44" s="8">
        <v>276.3</v>
      </c>
      <c r="M44" s="8">
        <v>191</v>
      </c>
      <c r="N44" s="8">
        <v>139.3</v>
      </c>
      <c r="O44" s="8">
        <v>-65.7</v>
      </c>
      <c r="P44" s="8">
        <v>117.9</v>
      </c>
      <c r="Q44" s="8">
        <v>111.5</v>
      </c>
      <c r="R44" s="8">
        <v>84.59999999999999</v>
      </c>
      <c r="S44" s="8">
        <v>166.1</v>
      </c>
      <c r="T44" s="8">
        <v>167.4</v>
      </c>
      <c r="U44" s="8">
        <v>122.2</v>
      </c>
      <c r="V44" s="8">
        <v>43.9</v>
      </c>
      <c r="W44" s="8">
        <v>111.3</v>
      </c>
      <c r="X44" s="8">
        <v>9.4</v>
      </c>
      <c r="Y44" s="8">
        <v>-67.09999999999999</v>
      </c>
      <c r="Z44" s="8">
        <v>-39.7</v>
      </c>
      <c r="AA44" s="8">
        <v>-71.40000000000001</v>
      </c>
      <c r="AB44" s="8">
        <v>-76.40000000000001</v>
      </c>
      <c r="AC44" s="8">
        <v>-69.2</v>
      </c>
      <c r="AD44" s="8">
        <v>-72.8</v>
      </c>
      <c r="AE44" s="8">
        <v>-168.1</v>
      </c>
      <c r="AF44" s="8">
        <v>-167.9</v>
      </c>
      <c r="AG44" s="8">
        <v>-121.4</v>
      </c>
      <c r="AH44" s="8">
        <v>-124.9</v>
      </c>
      <c r="AI44" s="8">
        <v>-178.6</v>
      </c>
      <c r="AJ44" s="8">
        <v>-206.1</v>
      </c>
      <c r="AK44" s="8">
        <v>-11.4</v>
      </c>
      <c r="AL44" s="8">
        <v>-222.4</v>
      </c>
      <c r="AM44" s="8">
        <v>-187.2</v>
      </c>
      <c r="AN44" s="8">
        <v>-218.4</v>
      </c>
      <c r="AO44" s="8">
        <v>-203.3</v>
      </c>
      <c r="AP44" s="8">
        <v>-168.1</v>
      </c>
      <c r="AQ44" s="8">
        <v>-141.1</v>
      </c>
      <c r="AR44" s="8">
        <v>-35.8</v>
      </c>
      <c r="AS44" s="8">
        <v>78.3</v>
      </c>
      <c r="AT44" s="8">
        <v>104.6</v>
      </c>
      <c r="AU44" s="8">
        <v>46.4</v>
      </c>
      <c r="AV44" s="8">
        <v>122.2</v>
      </c>
      <c r="AW44" s="8">
        <v>111.9</v>
      </c>
      <c r="AX44" s="8">
        <v>255.8</v>
      </c>
      <c r="AY44" s="8">
        <v>-114.5</v>
      </c>
      <c r="AZ44" s="8">
        <v>-167.1</v>
      </c>
    </row>
    <row r="45" spans="1:62">
      <c r="A45" s="7">
        <v>34.25</v>
      </c>
      <c r="E45" s="8">
        <v>-79.5</v>
      </c>
      <c r="F45" s="8">
        <v>-5.4</v>
      </c>
      <c r="G45" s="8">
        <v>67.3</v>
      </c>
      <c r="H45" s="8">
        <v>155.8</v>
      </c>
      <c r="I45" s="8">
        <v>456.3</v>
      </c>
      <c r="J45" s="8">
        <v>334.2</v>
      </c>
      <c r="K45" s="8">
        <v>196.8</v>
      </c>
      <c r="L45" s="8">
        <v>89.8</v>
      </c>
      <c r="M45" s="8">
        <v>133.5</v>
      </c>
      <c r="N45" s="8">
        <v>98.8</v>
      </c>
      <c r="O45" s="8">
        <v>-2.4</v>
      </c>
      <c r="P45" s="8">
        <v>77</v>
      </c>
      <c r="Q45" s="8">
        <v>-150.4</v>
      </c>
      <c r="R45" s="8">
        <v>364</v>
      </c>
      <c r="S45" s="8">
        <v>30.5</v>
      </c>
      <c r="T45" s="8">
        <v>41.1</v>
      </c>
      <c r="U45" s="8">
        <v>57.9</v>
      </c>
      <c r="V45" s="8">
        <v>-9.4</v>
      </c>
      <c r="W45" s="8">
        <v>-1.4</v>
      </c>
      <c r="X45" s="8">
        <v>-34.2</v>
      </c>
      <c r="Y45" s="8">
        <v>14.2</v>
      </c>
      <c r="Z45" s="8">
        <v>-33.5</v>
      </c>
      <c r="AA45" s="8">
        <v>-59.2</v>
      </c>
      <c r="AB45" s="8">
        <v>-48.6</v>
      </c>
      <c r="AC45" s="8">
        <v>-4.8</v>
      </c>
      <c r="AD45" s="8">
        <v>-72.8</v>
      </c>
      <c r="AE45" s="8">
        <v>-155.9</v>
      </c>
      <c r="AF45" s="8">
        <v>-108</v>
      </c>
      <c r="AG45" s="8">
        <v>-154</v>
      </c>
      <c r="AH45" s="8">
        <v>-213.9</v>
      </c>
      <c r="AI45" s="8">
        <v>-359</v>
      </c>
      <c r="AJ45" s="8">
        <v>-262.4</v>
      </c>
      <c r="AK45" s="8">
        <v>-230.5</v>
      </c>
      <c r="AL45" s="8">
        <v>-137.2</v>
      </c>
      <c r="AM45" s="8">
        <v>-113.5</v>
      </c>
      <c r="AN45" s="8">
        <v>-135.8</v>
      </c>
      <c r="AO45" s="8">
        <v>-111.2</v>
      </c>
      <c r="AP45" s="8">
        <v>-198.2</v>
      </c>
      <c r="AQ45" s="8">
        <v>-206.4</v>
      </c>
      <c r="AR45" s="8">
        <v>-91.09999999999999</v>
      </c>
      <c r="AS45" s="8">
        <v>-26.1</v>
      </c>
      <c r="AT45" s="8">
        <v>55.8</v>
      </c>
      <c r="AU45" s="8">
        <v>207.5</v>
      </c>
      <c r="AV45" s="8">
        <v>127.3</v>
      </c>
      <c r="AW45" s="8">
        <v>169.1</v>
      </c>
      <c r="AX45" s="8">
        <v>196.2</v>
      </c>
      <c r="AY45" s="8">
        <v>39.4</v>
      </c>
      <c r="AZ45" s="8">
        <v>-50.8</v>
      </c>
      <c r="BA45" s="8">
        <v>-120.1</v>
      </c>
      <c r="BB45" s="8">
        <v>-105.3</v>
      </c>
      <c r="BC45" s="8">
        <v>-41.9</v>
      </c>
      <c r="BD45" s="8">
        <v>6</v>
      </c>
      <c r="BE45" s="8">
        <v>66.7</v>
      </c>
      <c r="BF45" s="8">
        <v>107.1</v>
      </c>
      <c r="BG45" s="8">
        <v>51.1</v>
      </c>
      <c r="BH45" s="8">
        <v>38.2</v>
      </c>
      <c r="BI45" s="8">
        <v>78.40000000000001</v>
      </c>
      <c r="BJ45" s="8">
        <v>149.8</v>
      </c>
    </row>
    <row r="46" spans="1:62">
      <c r="A46" s="7">
        <v>34.275</v>
      </c>
      <c r="E46" s="8">
        <v>-96.7</v>
      </c>
      <c r="F46" s="8">
        <v>-28.2</v>
      </c>
      <c r="G46" s="8">
        <v>31.2</v>
      </c>
      <c r="H46" s="8">
        <v>176.4</v>
      </c>
      <c r="I46" s="8">
        <v>165.2</v>
      </c>
      <c r="J46" s="8">
        <v>177.8</v>
      </c>
      <c r="K46" s="8">
        <v>422.7</v>
      </c>
      <c r="L46" s="8">
        <v>137.1</v>
      </c>
      <c r="M46" s="8">
        <v>134.6</v>
      </c>
      <c r="N46" s="8">
        <v>102.9</v>
      </c>
      <c r="O46" s="8">
        <v>52.4</v>
      </c>
      <c r="P46" s="8">
        <v>132.1</v>
      </c>
      <c r="Q46" s="8">
        <v>244.4</v>
      </c>
      <c r="R46" s="8">
        <v>369.9</v>
      </c>
      <c r="S46" s="8">
        <v>-4.1</v>
      </c>
      <c r="T46" s="8">
        <v>0.8</v>
      </c>
      <c r="U46" s="8">
        <v>-1</v>
      </c>
      <c r="V46" s="8">
        <v>-18.8</v>
      </c>
      <c r="W46" s="8">
        <v>-11.2</v>
      </c>
      <c r="X46" s="8">
        <v>-39.9</v>
      </c>
      <c r="Y46" s="8">
        <v>-28</v>
      </c>
      <c r="Z46" s="8">
        <v>-59.3</v>
      </c>
      <c r="AA46" s="8">
        <v>-90.5</v>
      </c>
      <c r="AB46" s="8">
        <v>-94.3</v>
      </c>
      <c r="AC46" s="8">
        <v>-180.2</v>
      </c>
      <c r="AD46" s="8">
        <v>-151.4</v>
      </c>
      <c r="AE46" s="8">
        <v>-83.2</v>
      </c>
      <c r="AF46" s="8">
        <v>-214.3</v>
      </c>
      <c r="AG46" s="8">
        <v>-240.2</v>
      </c>
      <c r="AH46" s="8">
        <v>-272.9</v>
      </c>
      <c r="AI46" s="8">
        <v>-225.7</v>
      </c>
      <c r="AJ46" s="8">
        <v>-309.8</v>
      </c>
      <c r="AK46" s="8">
        <v>-220.1</v>
      </c>
      <c r="AL46" s="8">
        <v>-171.6</v>
      </c>
      <c r="AM46" s="8">
        <v>-135.5</v>
      </c>
      <c r="AN46" s="8">
        <v>199.5</v>
      </c>
      <c r="AO46" s="8">
        <v>134.3</v>
      </c>
      <c r="AP46" s="8">
        <v>122.3</v>
      </c>
      <c r="AQ46" s="8">
        <v>-131.2</v>
      </c>
      <c r="AR46" s="8">
        <v>-517.7</v>
      </c>
      <c r="AS46" s="8">
        <v>-150</v>
      </c>
      <c r="AT46" s="8">
        <v>30.8</v>
      </c>
      <c r="AU46" s="8">
        <v>-177.5</v>
      </c>
      <c r="AV46" s="8">
        <v>33.4</v>
      </c>
      <c r="AW46" s="8">
        <v>-37.1</v>
      </c>
      <c r="AX46" s="8">
        <v>-66.09999999999999</v>
      </c>
      <c r="AY46" s="8">
        <v>20.6</v>
      </c>
      <c r="AZ46" s="8">
        <v>-41.8</v>
      </c>
      <c r="BA46" s="8">
        <v>-55</v>
      </c>
      <c r="BB46" s="8">
        <v>-76.90000000000001</v>
      </c>
      <c r="BC46" s="8">
        <v>-70.2</v>
      </c>
      <c r="BD46" s="8">
        <v>-49.7</v>
      </c>
      <c r="BE46" s="8">
        <v>-56</v>
      </c>
      <c r="BF46" s="8">
        <v>-59</v>
      </c>
      <c r="BG46" s="8">
        <v>-129.6</v>
      </c>
      <c r="BH46" s="8">
        <v>29.9</v>
      </c>
      <c r="BI46" s="8">
        <v>86.90000000000001</v>
      </c>
      <c r="BJ46" s="8">
        <v>93.40000000000001</v>
      </c>
    </row>
    <row r="47" spans="1:62">
      <c r="A47" s="7">
        <v>34.3</v>
      </c>
      <c r="E47" s="8">
        <v>-107.6</v>
      </c>
      <c r="F47" s="8">
        <v>-73.90000000000001</v>
      </c>
      <c r="G47" s="8">
        <v>20.8</v>
      </c>
      <c r="H47" s="8">
        <v>555.5</v>
      </c>
      <c r="I47" s="8">
        <v>159.6</v>
      </c>
      <c r="J47" s="8">
        <v>69.59999999999999</v>
      </c>
      <c r="K47" s="8">
        <v>95</v>
      </c>
      <c r="L47" s="8">
        <v>91.8</v>
      </c>
      <c r="M47" s="8">
        <v>87.09999999999999</v>
      </c>
      <c r="N47" s="8">
        <v>116.2</v>
      </c>
      <c r="O47" s="8">
        <v>84.90000000000001</v>
      </c>
      <c r="P47" s="8">
        <v>1.1</v>
      </c>
      <c r="Q47" s="8">
        <v>-385.9</v>
      </c>
      <c r="R47" s="8">
        <v>-126.3</v>
      </c>
      <c r="S47" s="8">
        <v>-27.7</v>
      </c>
      <c r="T47" s="8">
        <v>33.3</v>
      </c>
      <c r="U47" s="8">
        <v>-57.9</v>
      </c>
      <c r="V47" s="8">
        <v>-50.9</v>
      </c>
      <c r="W47" s="8">
        <v>-37.4</v>
      </c>
      <c r="X47" s="8">
        <v>-92.2</v>
      </c>
      <c r="Y47" s="8">
        <v>-109.7</v>
      </c>
      <c r="Z47" s="8">
        <v>-141.3</v>
      </c>
      <c r="AA47" s="8">
        <v>-171.6</v>
      </c>
      <c r="AB47" s="8">
        <v>-108.6</v>
      </c>
      <c r="AC47" s="8">
        <v>-91.5</v>
      </c>
      <c r="AD47" s="8">
        <v>-184.1</v>
      </c>
      <c r="AE47" s="8">
        <v>-167.5</v>
      </c>
      <c r="AF47" s="8">
        <v>-169.9</v>
      </c>
      <c r="AG47" s="8">
        <v>-177.1</v>
      </c>
      <c r="AH47" s="8">
        <v>-174.3</v>
      </c>
      <c r="AI47" s="8">
        <v>-181.3</v>
      </c>
      <c r="AJ47" s="8">
        <v>-159.9</v>
      </c>
      <c r="AK47" s="8">
        <v>-152.4</v>
      </c>
      <c r="AL47" s="8">
        <v>-118.7</v>
      </c>
      <c r="AM47" s="8">
        <v>-99.2</v>
      </c>
      <c r="AN47" s="8">
        <v>-73.5</v>
      </c>
      <c r="AO47" s="8">
        <v>231.5</v>
      </c>
      <c r="AP47" s="8">
        <v>73</v>
      </c>
      <c r="AQ47" s="8">
        <v>-116.7</v>
      </c>
      <c r="AR47" s="8">
        <v>170.9</v>
      </c>
      <c r="AS47" s="8">
        <v>-124.3</v>
      </c>
      <c r="AT47" s="8">
        <v>-158.4</v>
      </c>
      <c r="AU47" s="8">
        <v>30.2</v>
      </c>
      <c r="AV47" s="8">
        <v>23.3</v>
      </c>
      <c r="AW47" s="8">
        <v>76.59999999999999</v>
      </c>
      <c r="AX47" s="8">
        <v>-33.5</v>
      </c>
      <c r="AY47" s="8">
        <v>135.6</v>
      </c>
      <c r="AZ47" s="8">
        <v>47</v>
      </c>
      <c r="BA47" s="8">
        <v>38.9</v>
      </c>
      <c r="BB47" s="8">
        <v>8.5</v>
      </c>
      <c r="BC47" s="8">
        <v>-49.4</v>
      </c>
      <c r="BD47" s="8">
        <v>-7.4</v>
      </c>
      <c r="BE47" s="8">
        <v>125</v>
      </c>
      <c r="BF47" s="8">
        <v>-94.7</v>
      </c>
      <c r="BG47" s="8">
        <v>-74.40000000000001</v>
      </c>
      <c r="BH47" s="8">
        <v>-43.7</v>
      </c>
      <c r="BI47" s="8">
        <v>-137.9</v>
      </c>
      <c r="BJ47" s="8">
        <v>-143.9</v>
      </c>
    </row>
    <row r="48" spans="1:62">
      <c r="A48" s="7">
        <v>34.325</v>
      </c>
      <c r="E48" s="8">
        <v>-154.8</v>
      </c>
      <c r="F48" s="8">
        <v>-151.1</v>
      </c>
      <c r="G48" s="8">
        <v>-141.7</v>
      </c>
      <c r="H48" s="8">
        <v>-104.6</v>
      </c>
      <c r="I48" s="8">
        <v>37.2</v>
      </c>
      <c r="J48" s="8">
        <v>41.1</v>
      </c>
      <c r="K48" s="8">
        <v>8.300000000000001</v>
      </c>
      <c r="L48" s="8">
        <v>-28.2</v>
      </c>
      <c r="M48" s="8">
        <v>-44.8</v>
      </c>
      <c r="N48" s="8">
        <v>61.3</v>
      </c>
      <c r="O48" s="8">
        <v>8.699999999999999</v>
      </c>
      <c r="P48" s="8">
        <v>63.2</v>
      </c>
      <c r="Q48" s="8">
        <v>46.4</v>
      </c>
      <c r="R48" s="8">
        <v>51.9</v>
      </c>
      <c r="S48" s="8">
        <v>-23.8</v>
      </c>
      <c r="T48" s="8">
        <v>-13</v>
      </c>
      <c r="U48" s="8">
        <v>24.2</v>
      </c>
      <c r="V48" s="8">
        <v>-36.3</v>
      </c>
      <c r="W48" s="8">
        <v>-42.2</v>
      </c>
      <c r="X48" s="8">
        <v>-86.09999999999999</v>
      </c>
      <c r="Y48" s="8">
        <v>-66.40000000000001</v>
      </c>
      <c r="Z48" s="8">
        <v>-183</v>
      </c>
      <c r="AA48" s="8">
        <v>-95.8</v>
      </c>
      <c r="AB48" s="8">
        <v>-113.3</v>
      </c>
      <c r="AC48" s="8">
        <v>-106.2</v>
      </c>
      <c r="AD48" s="8">
        <v>-117.1</v>
      </c>
      <c r="AE48" s="8">
        <v>-154.1</v>
      </c>
      <c r="AF48" s="8">
        <v>-132.3</v>
      </c>
      <c r="AG48" s="8">
        <v>-147.9</v>
      </c>
      <c r="AH48" s="8">
        <v>-124.1</v>
      </c>
      <c r="AI48" s="8">
        <v>71.40000000000001</v>
      </c>
      <c r="AJ48" s="8">
        <v>-128.7</v>
      </c>
      <c r="AK48" s="8">
        <v>-92.40000000000001</v>
      </c>
      <c r="AL48" s="8">
        <v>-67.2</v>
      </c>
      <c r="AM48" s="8">
        <v>53.1</v>
      </c>
      <c r="AN48" s="8">
        <v>-30.5</v>
      </c>
      <c r="AO48" s="8">
        <v>15.4</v>
      </c>
      <c r="AP48" s="8">
        <v>22.4</v>
      </c>
      <c r="AQ48" s="8">
        <v>-29.7</v>
      </c>
      <c r="AR48" s="8">
        <v>-62.8</v>
      </c>
      <c r="AS48" s="8">
        <v>-119.2</v>
      </c>
      <c r="AT48" s="8">
        <v>-139</v>
      </c>
      <c r="AU48" s="8">
        <v>-159</v>
      </c>
      <c r="AV48" s="8">
        <v>-105.9</v>
      </c>
      <c r="AW48" s="8">
        <v>-217.5</v>
      </c>
      <c r="AX48" s="8">
        <v>-159.6</v>
      </c>
      <c r="AY48" s="8">
        <v>-129.2</v>
      </c>
      <c r="AZ48" s="8">
        <v>-1.1</v>
      </c>
      <c r="BA48" s="8">
        <v>-8.4</v>
      </c>
      <c r="BB48" s="8">
        <v>14.3</v>
      </c>
      <c r="BC48" s="8">
        <v>51.7</v>
      </c>
      <c r="BD48" s="8">
        <v>-32.6</v>
      </c>
      <c r="BE48" s="8">
        <v>-29.5</v>
      </c>
      <c r="BF48" s="8">
        <v>-228.2</v>
      </c>
      <c r="BG48" s="8">
        <v>-56.2</v>
      </c>
      <c r="BH48" s="8">
        <v>73.5</v>
      </c>
      <c r="BI48" s="8">
        <v>-99.90000000000001</v>
      </c>
      <c r="BJ48" s="8">
        <v>-187.6</v>
      </c>
    </row>
    <row r="49" spans="1:122">
      <c r="A49" s="7">
        <v>34.35</v>
      </c>
      <c r="E49" s="8">
        <v>-185.7</v>
      </c>
      <c r="F49" s="8">
        <v>-180.1</v>
      </c>
      <c r="G49" s="8">
        <v>-169.5</v>
      </c>
      <c r="H49" s="8">
        <v>-32.1</v>
      </c>
      <c r="I49" s="8">
        <v>40.8</v>
      </c>
      <c r="J49" s="8">
        <v>128.4</v>
      </c>
      <c r="K49" s="8">
        <v>206.6</v>
      </c>
      <c r="L49" s="8">
        <v>0.6</v>
      </c>
      <c r="M49" s="8">
        <v>18.8</v>
      </c>
      <c r="N49" s="8">
        <v>-12.4</v>
      </c>
      <c r="O49" s="8">
        <v>48.7</v>
      </c>
      <c r="P49" s="8">
        <v>1.9</v>
      </c>
      <c r="Q49" s="8">
        <v>74.40000000000001</v>
      </c>
      <c r="R49" s="8">
        <v>29.1</v>
      </c>
      <c r="S49" s="8">
        <v>25.9</v>
      </c>
      <c r="T49" s="8">
        <v>105.2</v>
      </c>
      <c r="U49" s="8">
        <v>184.4</v>
      </c>
      <c r="V49" s="8">
        <v>222.7</v>
      </c>
      <c r="W49" s="8">
        <v>80.59999999999999</v>
      </c>
      <c r="X49" s="8">
        <v>25.3</v>
      </c>
      <c r="Y49" s="8">
        <v>38.5</v>
      </c>
      <c r="Z49" s="8">
        <v>19.7</v>
      </c>
      <c r="AA49" s="8">
        <v>-28.5</v>
      </c>
      <c r="AB49" s="8">
        <v>-7.9</v>
      </c>
      <c r="AC49" s="8">
        <v>-91.40000000000001</v>
      </c>
      <c r="AD49" s="8">
        <v>-25.5</v>
      </c>
      <c r="AE49" s="8">
        <v>-103.9</v>
      </c>
      <c r="AF49" s="8">
        <v>-75.3</v>
      </c>
      <c r="AG49" s="8">
        <v>-135.3</v>
      </c>
      <c r="AH49" s="8">
        <v>-138.9</v>
      </c>
      <c r="AI49" s="8">
        <v>-13.5</v>
      </c>
      <c r="AJ49" s="8">
        <v>-117.8</v>
      </c>
      <c r="AK49" s="8">
        <v>-21.4</v>
      </c>
      <c r="AL49" s="8">
        <v>48.1</v>
      </c>
      <c r="AM49" s="8">
        <v>-55.9</v>
      </c>
      <c r="AN49" s="8">
        <v>-61.1</v>
      </c>
      <c r="AO49" s="8">
        <v>-30.8</v>
      </c>
      <c r="AP49" s="8">
        <v>-31.3</v>
      </c>
      <c r="AQ49" s="8">
        <v>-223.4</v>
      </c>
      <c r="AR49" s="8">
        <v>-234.1</v>
      </c>
      <c r="AS49" s="8">
        <v>-138.7</v>
      </c>
      <c r="AT49" s="8">
        <v>-106.4</v>
      </c>
      <c r="AU49" s="8">
        <v>-90.59999999999999</v>
      </c>
      <c r="AV49" s="8">
        <v>-105.2</v>
      </c>
      <c r="AW49" s="8">
        <v>-121.4</v>
      </c>
      <c r="AX49" s="8">
        <v>-60.2</v>
      </c>
      <c r="AY49" s="8">
        <v>-75.40000000000001</v>
      </c>
      <c r="AZ49" s="8">
        <v>-55.1</v>
      </c>
      <c r="BA49" s="8">
        <v>118.9</v>
      </c>
      <c r="BB49" s="8">
        <v>80.7</v>
      </c>
      <c r="BC49" s="8">
        <v>148.5</v>
      </c>
      <c r="BD49" s="8">
        <v>-51.8</v>
      </c>
      <c r="BE49" s="8">
        <v>-156.3</v>
      </c>
      <c r="BF49" s="8">
        <v>-196.7</v>
      </c>
      <c r="BG49" s="8">
        <v>-211.2</v>
      </c>
      <c r="BH49" s="8">
        <v>-133.1</v>
      </c>
      <c r="BI49" s="8">
        <v>-191.6</v>
      </c>
      <c r="BJ49" s="8">
        <v>-119.9</v>
      </c>
      <c r="BK49" s="8">
        <v>-205.8</v>
      </c>
      <c r="BL49" s="8">
        <v>-223.4</v>
      </c>
      <c r="BM49" s="8">
        <v>-225.8</v>
      </c>
      <c r="BN49" s="8">
        <v>-194.7</v>
      </c>
      <c r="BO49" s="8">
        <v>-183.6</v>
      </c>
      <c r="BP49" s="8">
        <v>-163.5</v>
      </c>
      <c r="BQ49" s="8">
        <v>-64.90000000000001</v>
      </c>
      <c r="BR49" s="8">
        <v>20.2</v>
      </c>
      <c r="BS49" s="8">
        <v>82.59999999999999</v>
      </c>
      <c r="BT49" s="8">
        <v>210.2</v>
      </c>
      <c r="BU49" s="8">
        <v>220.2</v>
      </c>
      <c r="BV49" s="8">
        <v>100.6</v>
      </c>
      <c r="BW49" s="8">
        <v>2.7</v>
      </c>
      <c r="BX49" s="8">
        <v>24.2</v>
      </c>
      <c r="BY49" s="8">
        <v>39.3</v>
      </c>
      <c r="BZ49" s="8">
        <v>9.9</v>
      </c>
      <c r="CA49" s="8">
        <v>-29.3</v>
      </c>
      <c r="CB49" s="8">
        <v>-59.8</v>
      </c>
      <c r="CC49" s="8">
        <v>-54.4</v>
      </c>
      <c r="CD49" s="8">
        <v>-45.4</v>
      </c>
      <c r="CE49" s="8">
        <v>-25.1</v>
      </c>
      <c r="CF49" s="8">
        <v>-6.2</v>
      </c>
      <c r="CG49" s="8">
        <v>11.6</v>
      </c>
      <c r="CH49" s="8">
        <v>16.7</v>
      </c>
      <c r="CI49" s="8">
        <v>41.2</v>
      </c>
      <c r="CJ49" s="8">
        <v>31.7</v>
      </c>
    </row>
    <row r="50" spans="1:122">
      <c r="A50" s="7">
        <v>34.375</v>
      </c>
      <c r="E50" s="8">
        <v>-155</v>
      </c>
      <c r="F50" s="8">
        <v>-206.8</v>
      </c>
      <c r="G50" s="8">
        <v>-231.1</v>
      </c>
      <c r="H50" s="8">
        <v>-205</v>
      </c>
      <c r="I50" s="8">
        <v>-76.3</v>
      </c>
      <c r="J50" s="8">
        <v>152.2</v>
      </c>
      <c r="K50" s="8">
        <v>-1.8</v>
      </c>
      <c r="L50" s="8">
        <v>-54</v>
      </c>
      <c r="M50" s="8">
        <v>-41.4</v>
      </c>
      <c r="N50" s="8">
        <v>29.7</v>
      </c>
      <c r="O50" s="8">
        <v>23.6</v>
      </c>
      <c r="P50" s="8">
        <v>63.5</v>
      </c>
      <c r="Q50" s="8">
        <v>-232.8</v>
      </c>
      <c r="R50" s="8">
        <v>-410.2</v>
      </c>
      <c r="S50" s="8">
        <v>-68.09999999999999</v>
      </c>
      <c r="T50" s="8">
        <v>156.7</v>
      </c>
      <c r="U50" s="8">
        <v>367.7</v>
      </c>
      <c r="V50" s="8">
        <v>260.8</v>
      </c>
      <c r="W50" s="8">
        <v>155.8</v>
      </c>
      <c r="X50" s="8">
        <v>163.1</v>
      </c>
      <c r="Y50" s="8">
        <v>194</v>
      </c>
      <c r="Z50" s="8">
        <v>315.9</v>
      </c>
      <c r="AA50" s="8">
        <v>377.2</v>
      </c>
      <c r="AB50" s="8">
        <v>58.2</v>
      </c>
      <c r="AC50" s="8">
        <v>73.7</v>
      </c>
      <c r="AD50" s="8">
        <v>-5.5</v>
      </c>
      <c r="AE50" s="8">
        <v>-49</v>
      </c>
      <c r="AF50" s="8">
        <v>-17.1</v>
      </c>
      <c r="AG50" s="8">
        <v>-44.2</v>
      </c>
      <c r="AH50" s="8">
        <v>-66.8</v>
      </c>
      <c r="AI50" s="8">
        <v>-26.3</v>
      </c>
      <c r="AJ50" s="8">
        <v>-83.8</v>
      </c>
      <c r="AK50" s="8">
        <v>-8.800000000000001</v>
      </c>
      <c r="AL50" s="8">
        <v>22.3</v>
      </c>
      <c r="AM50" s="8">
        <v>-4.3</v>
      </c>
      <c r="AN50" s="8">
        <v>28.8</v>
      </c>
      <c r="AO50" s="8">
        <v>-150.3</v>
      </c>
      <c r="AP50" s="8">
        <v>-180.9</v>
      </c>
      <c r="AQ50" s="8">
        <v>-165.6</v>
      </c>
      <c r="AR50" s="8">
        <v>-138.5</v>
      </c>
      <c r="AS50" s="8">
        <v>-89.09999999999999</v>
      </c>
      <c r="AT50" s="8">
        <v>-5.8</v>
      </c>
      <c r="AU50" s="8">
        <v>122.2</v>
      </c>
      <c r="AV50" s="8">
        <v>-98.90000000000001</v>
      </c>
      <c r="AW50" s="8">
        <v>-34.2</v>
      </c>
      <c r="AX50" s="8">
        <v>-254</v>
      </c>
      <c r="AY50" s="8">
        <v>-220.1</v>
      </c>
      <c r="AZ50" s="8">
        <v>-97.7</v>
      </c>
      <c r="BA50" s="8">
        <v>23.7</v>
      </c>
      <c r="BB50" s="8">
        <v>-92.40000000000001</v>
      </c>
      <c r="BC50" s="8">
        <v>-5.7</v>
      </c>
      <c r="BD50" s="8">
        <v>-32.4</v>
      </c>
      <c r="BE50" s="8">
        <v>-77.59999999999999</v>
      </c>
      <c r="BF50" s="8">
        <v>20.2</v>
      </c>
      <c r="BG50" s="8">
        <v>7.6</v>
      </c>
      <c r="BH50" s="8">
        <v>-53.2</v>
      </c>
      <c r="BI50" s="8">
        <v>-122.2</v>
      </c>
      <c r="BJ50" s="8">
        <v>113</v>
      </c>
      <c r="BK50" s="8">
        <v>136.3</v>
      </c>
      <c r="BL50" s="8">
        <v>-35.7</v>
      </c>
      <c r="BM50" s="8">
        <v>-118.5</v>
      </c>
      <c r="BN50" s="8">
        <v>-160.2</v>
      </c>
      <c r="BO50" s="8">
        <v>-130.9</v>
      </c>
      <c r="BP50" s="8">
        <v>-152.2</v>
      </c>
      <c r="BQ50" s="8">
        <v>-86.8</v>
      </c>
      <c r="BR50" s="8">
        <v>-22.8</v>
      </c>
      <c r="BS50" s="8">
        <v>10.5</v>
      </c>
      <c r="BT50" s="8">
        <v>-21.7</v>
      </c>
      <c r="BU50" s="8">
        <v>110</v>
      </c>
      <c r="BV50" s="8">
        <v>87.3</v>
      </c>
      <c r="BW50" s="8">
        <v>41</v>
      </c>
      <c r="BX50" s="8">
        <v>4.8</v>
      </c>
      <c r="BY50" s="8">
        <v>5.1</v>
      </c>
      <c r="BZ50" s="8">
        <v>-14.5</v>
      </c>
      <c r="CA50" s="8">
        <v>-38</v>
      </c>
      <c r="CB50" s="8">
        <v>-46.7</v>
      </c>
      <c r="CC50" s="8">
        <v>27.3</v>
      </c>
      <c r="CD50" s="8">
        <v>102.1</v>
      </c>
      <c r="CE50" s="8">
        <v>113.8</v>
      </c>
      <c r="CF50" s="8">
        <v>134.6</v>
      </c>
      <c r="CG50" s="8">
        <v>115.5</v>
      </c>
      <c r="CH50" s="8">
        <v>110.2</v>
      </c>
      <c r="CI50" s="8">
        <v>92.5</v>
      </c>
      <c r="CJ50" s="8">
        <v>58.1</v>
      </c>
    </row>
    <row r="51" spans="1:122">
      <c r="A51" s="7">
        <v>34.4</v>
      </c>
      <c r="E51" s="8">
        <v>-200.5</v>
      </c>
      <c r="F51" s="8">
        <v>-217.4</v>
      </c>
      <c r="G51" s="8">
        <v>-206.9</v>
      </c>
      <c r="H51" s="8">
        <v>-159.4</v>
      </c>
      <c r="I51" s="8">
        <v>-130.2</v>
      </c>
      <c r="J51" s="8">
        <v>-132.1</v>
      </c>
      <c r="K51" s="8">
        <v>-8.300000000000001</v>
      </c>
      <c r="L51" s="8">
        <v>46.9</v>
      </c>
      <c r="M51" s="8">
        <v>31.7</v>
      </c>
      <c r="N51" s="8">
        <v>50.5</v>
      </c>
      <c r="O51" s="8">
        <v>10</v>
      </c>
      <c r="P51" s="8">
        <v>126.8</v>
      </c>
      <c r="Q51" s="8">
        <v>59.7</v>
      </c>
      <c r="R51" s="8">
        <v>-421.6</v>
      </c>
      <c r="S51" s="8">
        <v>-241.9</v>
      </c>
      <c r="T51" s="8">
        <v>-114.3</v>
      </c>
      <c r="U51" s="8">
        <v>241.3</v>
      </c>
      <c r="V51" s="8">
        <v>393.8</v>
      </c>
      <c r="W51" s="8">
        <v>311.7</v>
      </c>
      <c r="X51" s="8">
        <v>170.1</v>
      </c>
      <c r="Y51" s="8">
        <v>241.5</v>
      </c>
      <c r="Z51" s="8">
        <v>464.6</v>
      </c>
      <c r="AA51" s="8">
        <v>-50.3</v>
      </c>
      <c r="AB51" s="8">
        <v>105.7</v>
      </c>
      <c r="AC51" s="8">
        <v>28.2</v>
      </c>
      <c r="AD51" s="8">
        <v>27.3</v>
      </c>
      <c r="AE51" s="8">
        <v>-38.3</v>
      </c>
      <c r="AF51" s="8">
        <v>-47.4</v>
      </c>
      <c r="AG51" s="8">
        <v>-91.8</v>
      </c>
      <c r="AH51" s="8">
        <v>57.5</v>
      </c>
      <c r="AI51" s="8">
        <v>-34.8</v>
      </c>
      <c r="AJ51" s="8">
        <v>171</v>
      </c>
      <c r="AK51" s="8">
        <v>-191.6</v>
      </c>
      <c r="AL51" s="8">
        <v>-42.9</v>
      </c>
      <c r="AM51" s="8">
        <v>122.9</v>
      </c>
      <c r="AN51" s="8">
        <v>-43.9</v>
      </c>
      <c r="AO51" s="8">
        <v>-28.2</v>
      </c>
      <c r="AP51" s="8">
        <v>-113.1</v>
      </c>
      <c r="AQ51" s="8">
        <v>-140.1</v>
      </c>
      <c r="AR51" s="8">
        <v>101.6</v>
      </c>
      <c r="AS51" s="8">
        <v>39.9</v>
      </c>
      <c r="AT51" s="8">
        <v>123.3</v>
      </c>
      <c r="AU51" s="8">
        <v>54.9</v>
      </c>
      <c r="AV51" s="8">
        <v>-64.8</v>
      </c>
      <c r="AW51" s="8">
        <v>-323.9</v>
      </c>
      <c r="AX51" s="8">
        <v>-4</v>
      </c>
      <c r="AY51" s="8">
        <v>-207.7</v>
      </c>
      <c r="AZ51" s="8">
        <v>-176.4</v>
      </c>
      <c r="BA51" s="8">
        <v>-3</v>
      </c>
      <c r="BB51" s="8">
        <v>-116.9</v>
      </c>
      <c r="BC51" s="8">
        <v>-98.59999999999999</v>
      </c>
      <c r="BD51" s="8">
        <v>-151.5</v>
      </c>
      <c r="BE51" s="8">
        <v>-52.7</v>
      </c>
      <c r="BF51" s="8">
        <v>-113.2</v>
      </c>
      <c r="BG51" s="8">
        <v>-83</v>
      </c>
      <c r="BH51" s="8">
        <v>-93.8</v>
      </c>
      <c r="BI51" s="8">
        <v>-92.8</v>
      </c>
      <c r="BJ51" s="8">
        <v>127.5</v>
      </c>
      <c r="BK51" s="8">
        <v>8.800000000000001</v>
      </c>
      <c r="BL51" s="8">
        <v>-17.1</v>
      </c>
      <c r="BM51" s="8">
        <v>-69.59999999999999</v>
      </c>
      <c r="BN51" s="8">
        <v>-84.2</v>
      </c>
      <c r="BO51" s="8">
        <v>-112.8</v>
      </c>
      <c r="BP51" s="8">
        <v>-125.4</v>
      </c>
      <c r="BQ51" s="8">
        <v>-95.2</v>
      </c>
      <c r="BR51" s="8">
        <v>-79.8</v>
      </c>
      <c r="BS51" s="8">
        <v>12.1</v>
      </c>
      <c r="BT51" s="8">
        <v>168.3</v>
      </c>
      <c r="BU51" s="8">
        <v>309</v>
      </c>
      <c r="BV51" s="8">
        <v>306.4</v>
      </c>
      <c r="BW51" s="8">
        <v>171.1</v>
      </c>
      <c r="BX51" s="8">
        <v>167.4</v>
      </c>
      <c r="BY51" s="8">
        <v>-20.3</v>
      </c>
      <c r="BZ51" s="8">
        <v>-31.9</v>
      </c>
      <c r="CA51" s="8">
        <v>-44.9</v>
      </c>
      <c r="CB51" s="8">
        <v>-49.2</v>
      </c>
      <c r="CC51" s="8">
        <v>43</v>
      </c>
      <c r="CD51" s="8">
        <v>246.8</v>
      </c>
      <c r="CE51" s="8">
        <v>220.2</v>
      </c>
      <c r="CF51" s="8">
        <v>269.9</v>
      </c>
      <c r="CG51" s="8">
        <v>-9.6</v>
      </c>
      <c r="CH51" s="8">
        <v>57.4</v>
      </c>
      <c r="CI51" s="8">
        <v>149.8</v>
      </c>
      <c r="CJ51" s="8">
        <v>212.8</v>
      </c>
      <c r="CK51" s="8">
        <v>160.1</v>
      </c>
    </row>
    <row r="52" spans="1:122">
      <c r="A52" s="7">
        <v>34.425</v>
      </c>
      <c r="E52" s="8">
        <v>-139</v>
      </c>
      <c r="F52" s="8">
        <v>-127.7</v>
      </c>
      <c r="G52" s="8">
        <v>-105.1</v>
      </c>
      <c r="H52" s="8">
        <v>-88.7</v>
      </c>
      <c r="I52" s="8">
        <v>-165.8</v>
      </c>
      <c r="J52" s="8">
        <v>-144.9</v>
      </c>
      <c r="K52" s="8">
        <v>-65.40000000000001</v>
      </c>
      <c r="L52" s="8">
        <v>-29.2</v>
      </c>
      <c r="M52" s="8">
        <v>84.40000000000001</v>
      </c>
      <c r="N52" s="8">
        <v>74.5</v>
      </c>
      <c r="O52" s="8">
        <v>-69.5</v>
      </c>
      <c r="P52" s="8">
        <v>181.1</v>
      </c>
      <c r="Q52" s="8">
        <v>560.2</v>
      </c>
      <c r="R52" s="8">
        <v>-126.4</v>
      </c>
      <c r="S52" s="8">
        <v>-71.8</v>
      </c>
      <c r="T52" s="8">
        <v>112.6</v>
      </c>
      <c r="U52" s="8">
        <v>82.90000000000001</v>
      </c>
      <c r="V52" s="8">
        <v>514.2</v>
      </c>
      <c r="W52" s="8">
        <v>551.4</v>
      </c>
      <c r="X52" s="8">
        <v>426.6</v>
      </c>
      <c r="Y52" s="8">
        <v>270.2</v>
      </c>
      <c r="Z52" s="8">
        <v>159.6</v>
      </c>
      <c r="AA52" s="8">
        <v>197.2</v>
      </c>
      <c r="AB52" s="8">
        <v>210.8</v>
      </c>
      <c r="AC52" s="8">
        <v>112.8</v>
      </c>
      <c r="AD52" s="8">
        <v>22.5</v>
      </c>
      <c r="AE52" s="8">
        <v>18.6</v>
      </c>
      <c r="AF52" s="8">
        <v>31.7</v>
      </c>
      <c r="AG52" s="8">
        <v>26.5</v>
      </c>
      <c r="AH52" s="8">
        <v>42.2</v>
      </c>
      <c r="AI52" s="8">
        <v>58.7</v>
      </c>
      <c r="AJ52" s="8">
        <v>32.8</v>
      </c>
      <c r="AK52" s="8">
        <v>42.1</v>
      </c>
      <c r="AL52" s="8">
        <v>-170.8</v>
      </c>
      <c r="AM52" s="8">
        <v>-265.3</v>
      </c>
      <c r="AN52" s="8">
        <v>-191.7</v>
      </c>
      <c r="AO52" s="8">
        <v>-257.5</v>
      </c>
      <c r="AP52" s="8">
        <v>-333.5</v>
      </c>
      <c r="AQ52" s="8">
        <v>-197</v>
      </c>
      <c r="AR52" s="8">
        <v>-104.5</v>
      </c>
      <c r="AS52" s="8">
        <v>-58.6</v>
      </c>
      <c r="AT52" s="8">
        <v>-203</v>
      </c>
      <c r="AU52" s="8">
        <v>712.2</v>
      </c>
      <c r="AV52" s="8">
        <v>-185.9</v>
      </c>
      <c r="AW52" s="8">
        <v>-283.2</v>
      </c>
      <c r="AX52" s="8">
        <v>-7.7</v>
      </c>
      <c r="AY52" s="8">
        <v>-262.9</v>
      </c>
      <c r="AZ52" s="8">
        <v>-230.3</v>
      </c>
      <c r="BA52" s="8">
        <v>-205.8</v>
      </c>
      <c r="BB52" s="8">
        <v>-179.4</v>
      </c>
      <c r="BC52" s="8">
        <v>-220.2</v>
      </c>
      <c r="BD52" s="8">
        <v>-197.8</v>
      </c>
      <c r="BE52" s="8">
        <v>-50.1</v>
      </c>
      <c r="BF52" s="8">
        <v>-39.9</v>
      </c>
      <c r="BG52" s="8">
        <v>-2.6</v>
      </c>
      <c r="BH52" s="8">
        <v>9.5</v>
      </c>
      <c r="BI52" s="8">
        <v>-42.3</v>
      </c>
      <c r="BJ52" s="8">
        <v>-120</v>
      </c>
      <c r="BK52" s="8">
        <v>-180.6</v>
      </c>
      <c r="BL52" s="8">
        <v>-135.1</v>
      </c>
      <c r="BM52" s="8">
        <v>-64.3</v>
      </c>
      <c r="BN52" s="8">
        <v>-80.09999999999999</v>
      </c>
      <c r="BO52" s="8">
        <v>-66.3</v>
      </c>
      <c r="BP52" s="8">
        <v>-55.5</v>
      </c>
      <c r="BQ52" s="8">
        <v>-43</v>
      </c>
      <c r="BR52" s="8">
        <v>-35.5</v>
      </c>
      <c r="BS52" s="8">
        <v>-6.8</v>
      </c>
      <c r="BT52" s="8">
        <v>91.59999999999999</v>
      </c>
      <c r="BU52" s="8">
        <v>162.9</v>
      </c>
      <c r="BV52" s="8">
        <v>316.3</v>
      </c>
      <c r="BW52" s="8">
        <v>84.09999999999999</v>
      </c>
      <c r="BX52" s="8">
        <v>34</v>
      </c>
      <c r="BY52" s="8">
        <v>-3.2</v>
      </c>
      <c r="BZ52" s="8">
        <v>1.8</v>
      </c>
      <c r="CA52" s="8">
        <v>-5.6</v>
      </c>
      <c r="CB52" s="8">
        <v>-31.1</v>
      </c>
      <c r="CC52" s="8">
        <v>-77</v>
      </c>
      <c r="CD52" s="8">
        <v>-95.40000000000001</v>
      </c>
      <c r="CE52" s="8">
        <v>-226.8</v>
      </c>
      <c r="CF52" s="8">
        <v>559.1</v>
      </c>
      <c r="CG52" s="8">
        <v>-110.2</v>
      </c>
      <c r="CH52" s="8">
        <v>-113.5</v>
      </c>
      <c r="CI52" s="8">
        <v>-161.2</v>
      </c>
      <c r="CJ52" s="8">
        <v>-279.1</v>
      </c>
      <c r="CK52" s="8">
        <v>-40.5</v>
      </c>
      <c r="CL52" s="8">
        <v>9.699999999999999</v>
      </c>
    </row>
    <row r="53" spans="1:122">
      <c r="A53" s="7">
        <v>34.45</v>
      </c>
      <c r="E53" s="8">
        <v>-133.3</v>
      </c>
      <c r="F53" s="8">
        <v>-162.5</v>
      </c>
      <c r="G53" s="8">
        <v>-126.3</v>
      </c>
      <c r="H53" s="8">
        <v>-4.3</v>
      </c>
      <c r="I53" s="8">
        <v>-99.2</v>
      </c>
      <c r="J53" s="8">
        <v>-146.9</v>
      </c>
      <c r="K53" s="8">
        <v>-147.7</v>
      </c>
      <c r="L53" s="8">
        <v>-130.8</v>
      </c>
      <c r="M53" s="8">
        <v>-100.8</v>
      </c>
      <c r="N53" s="8">
        <v>-111.4</v>
      </c>
      <c r="O53" s="8">
        <v>-144.4</v>
      </c>
      <c r="P53" s="8">
        <v>-142</v>
      </c>
      <c r="Q53" s="8">
        <v>96.7</v>
      </c>
      <c r="R53" s="8">
        <v>366.5</v>
      </c>
      <c r="S53" s="8">
        <v>276.6</v>
      </c>
      <c r="T53" s="8">
        <v>195.4</v>
      </c>
      <c r="U53" s="8">
        <v>-29.1</v>
      </c>
      <c r="V53" s="8">
        <v>249.5</v>
      </c>
      <c r="W53" s="8">
        <v>335</v>
      </c>
      <c r="X53" s="8">
        <v>371.5</v>
      </c>
      <c r="Y53" s="8">
        <v>447.1</v>
      </c>
      <c r="Z53" s="8">
        <v>369.8</v>
      </c>
      <c r="AA53" s="8">
        <v>214.2</v>
      </c>
      <c r="AB53" s="8">
        <v>160.6</v>
      </c>
      <c r="AC53" s="8">
        <v>39.9</v>
      </c>
      <c r="AD53" s="8">
        <v>-7.6</v>
      </c>
      <c r="AE53" s="8">
        <v>-21.3</v>
      </c>
      <c r="AF53" s="8">
        <v>8.4</v>
      </c>
      <c r="AG53" s="8">
        <v>58.4</v>
      </c>
      <c r="AH53" s="8">
        <v>33.3</v>
      </c>
      <c r="AI53" s="8">
        <v>66.8</v>
      </c>
      <c r="AJ53" s="8">
        <v>193.8</v>
      </c>
      <c r="AK53" s="8">
        <v>133.3</v>
      </c>
      <c r="AL53" s="8">
        <v>86.90000000000001</v>
      </c>
      <c r="AM53" s="8">
        <v>-183.8</v>
      </c>
      <c r="AN53" s="8">
        <v>-187</v>
      </c>
      <c r="AO53" s="8">
        <v>-235.6</v>
      </c>
      <c r="AP53" s="8">
        <v>-248.2</v>
      </c>
      <c r="AQ53" s="8">
        <v>-41.2</v>
      </c>
      <c r="AR53" s="8">
        <v>35.8</v>
      </c>
      <c r="AS53" s="8">
        <v>-51.2</v>
      </c>
      <c r="AT53" s="8">
        <v>-237</v>
      </c>
      <c r="AU53" s="8">
        <v>-433.5</v>
      </c>
      <c r="AV53" s="8">
        <v>-133.3</v>
      </c>
      <c r="AW53" s="8">
        <v>-282.2</v>
      </c>
      <c r="AX53" s="8">
        <v>-94</v>
      </c>
      <c r="AY53" s="8">
        <v>-192.2</v>
      </c>
      <c r="AZ53" s="8">
        <v>-124.7</v>
      </c>
      <c r="BA53" s="8">
        <v>-110.4</v>
      </c>
      <c r="BB53" s="8">
        <v>-173.3</v>
      </c>
      <c r="BC53" s="8">
        <v>-128.7</v>
      </c>
      <c r="BD53" s="8">
        <v>-146.1</v>
      </c>
      <c r="BE53" s="8">
        <v>-340.6</v>
      </c>
      <c r="BF53" s="8">
        <v>-283.3</v>
      </c>
      <c r="BG53" s="8">
        <v>5.3</v>
      </c>
      <c r="BH53" s="8">
        <v>275.8</v>
      </c>
      <c r="BI53" s="8">
        <v>34.6</v>
      </c>
      <c r="BJ53" s="8">
        <v>72.90000000000001</v>
      </c>
      <c r="BK53" s="8">
        <v>24.2</v>
      </c>
      <c r="BL53" s="8">
        <v>-17.2</v>
      </c>
      <c r="BM53" s="8">
        <v>-51.8</v>
      </c>
      <c r="BN53" s="8">
        <v>-41.2</v>
      </c>
      <c r="BO53" s="8">
        <v>-59.5</v>
      </c>
      <c r="BP53" s="8">
        <v>-62.6</v>
      </c>
      <c r="BQ53" s="8">
        <v>-41.6</v>
      </c>
      <c r="BR53" s="8">
        <v>-21.4</v>
      </c>
      <c r="BS53" s="8">
        <v>63.7</v>
      </c>
      <c r="BT53" s="8">
        <v>40.2</v>
      </c>
      <c r="BU53" s="8">
        <v>-57.8</v>
      </c>
      <c r="BV53" s="8">
        <v>83.7</v>
      </c>
      <c r="BW53" s="8">
        <v>212.7</v>
      </c>
      <c r="BX53" s="8">
        <v>48.5</v>
      </c>
      <c r="BY53" s="8">
        <v>72</v>
      </c>
      <c r="BZ53" s="8">
        <v>6.7</v>
      </c>
      <c r="CA53" s="8">
        <v>12</v>
      </c>
      <c r="CB53" s="8">
        <v>-20.7</v>
      </c>
      <c r="CC53" s="8">
        <v>-52.1</v>
      </c>
      <c r="CD53" s="8">
        <v>-55.3</v>
      </c>
      <c r="CE53" s="8">
        <v>38.2</v>
      </c>
      <c r="CF53" s="8">
        <v>204.7</v>
      </c>
      <c r="CG53" s="8">
        <v>206</v>
      </c>
      <c r="CH53" s="8">
        <v>-7.1</v>
      </c>
      <c r="CI53" s="8">
        <v>-176.5</v>
      </c>
      <c r="CJ53" s="8">
        <v>-157.6</v>
      </c>
      <c r="CK53" s="8">
        <v>-33.7</v>
      </c>
      <c r="CL53" s="8">
        <v>116.1</v>
      </c>
    </row>
    <row r="54" spans="1:122">
      <c r="A54" s="7">
        <v>34.475</v>
      </c>
      <c r="E54" s="8">
        <v>-107.8</v>
      </c>
      <c r="F54" s="8">
        <v>-121.5</v>
      </c>
      <c r="G54" s="8">
        <v>-65.90000000000001</v>
      </c>
      <c r="H54" s="8">
        <v>-151.4</v>
      </c>
      <c r="I54" s="8">
        <v>-20.7</v>
      </c>
      <c r="J54" s="8">
        <v>-82.59999999999999</v>
      </c>
      <c r="K54" s="8">
        <v>37.9</v>
      </c>
      <c r="L54" s="8">
        <v>-82.90000000000001</v>
      </c>
      <c r="M54" s="8">
        <v>-63.9</v>
      </c>
      <c r="N54" s="8">
        <v>-74.3</v>
      </c>
      <c r="O54" s="8">
        <v>-80.2</v>
      </c>
      <c r="P54" s="8">
        <v>-142</v>
      </c>
      <c r="Q54" s="8">
        <v>139.8</v>
      </c>
      <c r="R54" s="8">
        <v>247.3</v>
      </c>
      <c r="S54" s="8">
        <v>368.3</v>
      </c>
      <c r="T54" s="8">
        <v>178.1</v>
      </c>
      <c r="U54" s="8">
        <v>12.8</v>
      </c>
      <c r="V54" s="8">
        <v>-8.800000000000001</v>
      </c>
      <c r="W54" s="8">
        <v>269.1</v>
      </c>
      <c r="X54" s="8">
        <v>-21</v>
      </c>
      <c r="Y54" s="8">
        <v>246</v>
      </c>
      <c r="Z54" s="8">
        <v>46.4</v>
      </c>
      <c r="AA54" s="8">
        <v>90.3</v>
      </c>
      <c r="AB54" s="8">
        <v>65.7</v>
      </c>
      <c r="AC54" s="8">
        <v>-3</v>
      </c>
      <c r="AD54" s="8">
        <v>-18.5</v>
      </c>
      <c r="AE54" s="8">
        <v>-46.2</v>
      </c>
      <c r="AF54" s="8">
        <v>-36.5</v>
      </c>
      <c r="AG54" s="8">
        <v>92.40000000000001</v>
      </c>
      <c r="AH54" s="8">
        <v>24</v>
      </c>
      <c r="AI54" s="8">
        <v>-34.8</v>
      </c>
      <c r="AJ54" s="8">
        <v>183.7</v>
      </c>
      <c r="AK54" s="8">
        <v>63.3</v>
      </c>
      <c r="AL54" s="8">
        <v>-30.4</v>
      </c>
      <c r="AM54" s="8">
        <v>-128.5</v>
      </c>
      <c r="AN54" s="8">
        <v>-201.3</v>
      </c>
      <c r="AO54" s="8">
        <v>-187.6</v>
      </c>
      <c r="AP54" s="8">
        <v>-257.9</v>
      </c>
      <c r="AQ54" s="8">
        <v>-292.1</v>
      </c>
      <c r="AR54" s="8">
        <v>-87.40000000000001</v>
      </c>
      <c r="AS54" s="8">
        <v>-112.2</v>
      </c>
      <c r="AT54" s="8">
        <v>-271.7</v>
      </c>
      <c r="AU54" s="8">
        <v>-55.4</v>
      </c>
      <c r="AV54" s="8">
        <v>-176.3</v>
      </c>
      <c r="AW54" s="8">
        <v>-39.8</v>
      </c>
      <c r="AX54" s="8">
        <v>-97.8</v>
      </c>
      <c r="AY54" s="8">
        <v>-196.4</v>
      </c>
      <c r="AZ54" s="8">
        <v>-209.5</v>
      </c>
      <c r="BA54" s="8">
        <v>-31.6</v>
      </c>
      <c r="BB54" s="8">
        <v>-120</v>
      </c>
      <c r="BC54" s="8">
        <v>-160.9</v>
      </c>
      <c r="BD54" s="8">
        <v>-207.1</v>
      </c>
      <c r="BE54" s="8">
        <v>-298.2</v>
      </c>
      <c r="BF54" s="8">
        <v>-387.9</v>
      </c>
      <c r="BG54" s="8">
        <v>-440.1</v>
      </c>
      <c r="BH54" s="8">
        <v>-365</v>
      </c>
      <c r="BI54" s="8">
        <v>-39.5</v>
      </c>
      <c r="BJ54" s="8">
        <v>158.6</v>
      </c>
      <c r="BK54" s="8">
        <v>-116.1</v>
      </c>
      <c r="BL54" s="8">
        <v>507.6</v>
      </c>
      <c r="BM54" s="8">
        <v>-43.7</v>
      </c>
      <c r="BN54" s="8">
        <v>-69.90000000000001</v>
      </c>
      <c r="BO54" s="8">
        <v>-54.4</v>
      </c>
      <c r="BP54" s="8">
        <v>-80.7</v>
      </c>
      <c r="BQ54" s="8">
        <v>-46.4</v>
      </c>
      <c r="BR54" s="8">
        <v>-44.3</v>
      </c>
      <c r="BS54" s="8">
        <v>-94.7</v>
      </c>
      <c r="BT54" s="8">
        <v>-61</v>
      </c>
      <c r="BU54" s="8">
        <v>-155.1</v>
      </c>
      <c r="BV54" s="8">
        <v>-74.90000000000001</v>
      </c>
      <c r="BW54" s="8">
        <v>-80.90000000000001</v>
      </c>
      <c r="BX54" s="8">
        <v>-51.8</v>
      </c>
      <c r="BY54" s="8">
        <v>-54.8</v>
      </c>
      <c r="BZ54" s="8">
        <v>48.3</v>
      </c>
      <c r="CA54" s="8">
        <v>55.9</v>
      </c>
      <c r="CB54" s="8">
        <v>49.3</v>
      </c>
      <c r="CC54" s="8">
        <v>30.8</v>
      </c>
      <c r="CD54" s="8">
        <v>-29.5</v>
      </c>
      <c r="CE54" s="8">
        <v>148.1</v>
      </c>
      <c r="CF54" s="8">
        <v>61.1</v>
      </c>
      <c r="CG54" s="8">
        <v>974.2</v>
      </c>
      <c r="CH54" s="8">
        <v>65.5</v>
      </c>
      <c r="CI54" s="8">
        <v>-152.3</v>
      </c>
      <c r="CJ54" s="8">
        <v>-92.40000000000001</v>
      </c>
      <c r="CK54" s="8">
        <v>85.90000000000001</v>
      </c>
      <c r="CL54" s="8">
        <v>316.3</v>
      </c>
      <c r="CM54" s="8">
        <v>227.5</v>
      </c>
    </row>
    <row r="55" spans="1:122">
      <c r="A55" s="7">
        <v>34.5</v>
      </c>
      <c r="C55" s="8">
        <v>-35.9</v>
      </c>
      <c r="D55" s="8">
        <v>1.1</v>
      </c>
      <c r="E55" s="8">
        <v>-124.7</v>
      </c>
      <c r="F55" s="8">
        <v>-45.1</v>
      </c>
      <c r="G55" s="8">
        <v>9.4</v>
      </c>
      <c r="H55" s="8">
        <v>-55.6</v>
      </c>
      <c r="I55" s="8">
        <v>-20.6</v>
      </c>
      <c r="J55" s="8">
        <v>171.3</v>
      </c>
      <c r="K55" s="8">
        <v>170.4</v>
      </c>
      <c r="L55" s="8">
        <v>0.5</v>
      </c>
      <c r="M55" s="8">
        <v>-23.7</v>
      </c>
      <c r="N55" s="8">
        <v>-53.4</v>
      </c>
      <c r="O55" s="8">
        <v>21.1</v>
      </c>
      <c r="P55" s="8">
        <v>-69.7</v>
      </c>
      <c r="Q55" s="8">
        <v>-94.40000000000001</v>
      </c>
      <c r="R55" s="8">
        <v>-23.2</v>
      </c>
      <c r="S55" s="8">
        <v>300.1</v>
      </c>
      <c r="T55" s="8">
        <v>168.4</v>
      </c>
      <c r="U55" s="8">
        <v>316.5</v>
      </c>
      <c r="V55" s="8">
        <v>-122.9</v>
      </c>
      <c r="W55" s="8">
        <v>-58.6</v>
      </c>
      <c r="X55" s="8">
        <v>-170.2</v>
      </c>
      <c r="Y55" s="8">
        <v>-132</v>
      </c>
      <c r="Z55" s="8">
        <v>-154</v>
      </c>
      <c r="AA55" s="8">
        <v>161.4</v>
      </c>
      <c r="AB55" s="8">
        <v>-6.7</v>
      </c>
      <c r="AC55" s="8">
        <v>-68.3</v>
      </c>
      <c r="AD55" s="8">
        <v>-90.3</v>
      </c>
      <c r="AE55" s="8">
        <v>-27.1</v>
      </c>
      <c r="AF55" s="8">
        <v>-85.8</v>
      </c>
      <c r="AG55" s="8">
        <v>-83.59999999999999</v>
      </c>
      <c r="AH55" s="8">
        <v>-37.5</v>
      </c>
      <c r="AI55" s="8">
        <v>-32.1</v>
      </c>
      <c r="AJ55" s="8">
        <v>-504.1</v>
      </c>
      <c r="AK55" s="8">
        <v>-200.1</v>
      </c>
      <c r="AL55" s="8">
        <v>-159.5</v>
      </c>
      <c r="AM55" s="8">
        <v>-155.3</v>
      </c>
      <c r="AN55" s="8">
        <v>-121.7</v>
      </c>
      <c r="AO55" s="8">
        <v>-185.8</v>
      </c>
      <c r="AP55" s="8">
        <v>-192.1</v>
      </c>
      <c r="AQ55" s="8">
        <v>-193.7</v>
      </c>
      <c r="AR55" s="8">
        <v>-281.3</v>
      </c>
      <c r="AS55" s="8">
        <v>-79.3</v>
      </c>
      <c r="AT55" s="8">
        <v>-110.6</v>
      </c>
      <c r="AU55" s="8">
        <v>-210.5</v>
      </c>
      <c r="AV55" s="8">
        <v>-81.90000000000001</v>
      </c>
      <c r="AW55" s="8">
        <v>-49.8</v>
      </c>
      <c r="AX55" s="8">
        <v>-46.3</v>
      </c>
      <c r="AY55" s="8">
        <v>-91.3</v>
      </c>
      <c r="AZ55" s="8">
        <v>-118.9</v>
      </c>
      <c r="BA55" s="8">
        <v>-83.3</v>
      </c>
      <c r="BB55" s="8">
        <v>-83.2</v>
      </c>
      <c r="BC55" s="8">
        <v>-96.7</v>
      </c>
      <c r="BD55" s="8">
        <v>-144.7</v>
      </c>
      <c r="BE55" s="8">
        <v>-211.7</v>
      </c>
      <c r="BF55" s="8">
        <v>-249</v>
      </c>
      <c r="BG55" s="8">
        <v>-280.6</v>
      </c>
      <c r="BH55" s="8">
        <v>-291.2</v>
      </c>
      <c r="BI55" s="8">
        <v>-338.3</v>
      </c>
      <c r="BJ55" s="8">
        <v>-222.5</v>
      </c>
      <c r="BK55" s="8">
        <v>-128.8</v>
      </c>
      <c r="BL55" s="8">
        <v>-38.2</v>
      </c>
      <c r="BM55" s="8">
        <v>46.1</v>
      </c>
      <c r="BN55" s="8">
        <v>10.2</v>
      </c>
      <c r="BO55" s="8">
        <v>-48.3</v>
      </c>
      <c r="BP55" s="8">
        <v>-47.6</v>
      </c>
      <c r="BQ55" s="8">
        <v>14.6</v>
      </c>
      <c r="BR55" s="8">
        <v>26.6</v>
      </c>
      <c r="BS55" s="8">
        <v>-66.7</v>
      </c>
      <c r="BT55" s="8">
        <v>-197.1</v>
      </c>
      <c r="BU55" s="8">
        <v>-165.3</v>
      </c>
      <c r="BV55" s="8">
        <v>-102.6</v>
      </c>
      <c r="BW55" s="8">
        <v>-135.7</v>
      </c>
      <c r="BX55" s="8">
        <v>-97.8</v>
      </c>
      <c r="BY55" s="8">
        <v>-2.2</v>
      </c>
      <c r="BZ55" s="8">
        <v>-27.5</v>
      </c>
      <c r="CA55" s="8">
        <v>37.5</v>
      </c>
      <c r="CB55" s="8">
        <v>319.1</v>
      </c>
      <c r="CC55" s="8">
        <v>202.2</v>
      </c>
      <c r="CD55" s="8">
        <v>275.5</v>
      </c>
      <c r="CE55" s="8">
        <v>-22.5</v>
      </c>
      <c r="CF55" s="8">
        <v>14.1</v>
      </c>
      <c r="CG55" s="8">
        <v>126.8</v>
      </c>
      <c r="CH55" s="8">
        <v>-81.40000000000001</v>
      </c>
      <c r="CI55" s="8">
        <v>-195</v>
      </c>
      <c r="CJ55" s="8">
        <v>-62.9</v>
      </c>
      <c r="CK55" s="8">
        <v>265.5</v>
      </c>
      <c r="CL55" s="8">
        <v>168.7</v>
      </c>
      <c r="CM55" s="8">
        <v>-2.9</v>
      </c>
      <c r="CN55" s="8">
        <v>-109.8</v>
      </c>
      <c r="CO55" s="8">
        <v>-41.5</v>
      </c>
      <c r="CP55" s="8">
        <v>72.09999999999999</v>
      </c>
      <c r="CQ55" s="8">
        <v>131.9</v>
      </c>
      <c r="CR55" s="8">
        <v>172.2</v>
      </c>
      <c r="CS55" s="8">
        <v>-172.6</v>
      </c>
      <c r="CT55" s="8">
        <v>-65.2</v>
      </c>
      <c r="CU55" s="8">
        <v>-40.7</v>
      </c>
      <c r="CV55" s="8">
        <v>157</v>
      </c>
      <c r="CW55" s="8">
        <v>31.2</v>
      </c>
      <c r="CX55" s="8">
        <v>21.5</v>
      </c>
      <c r="CY55" s="8">
        <v>92.3</v>
      </c>
      <c r="CZ55" s="8">
        <v>17.3</v>
      </c>
      <c r="DA55" s="8">
        <v>-13.3</v>
      </c>
      <c r="DB55" s="8">
        <v>12.1</v>
      </c>
      <c r="DC55" s="8">
        <v>-150.7</v>
      </c>
      <c r="DD55" s="8">
        <v>-258.2</v>
      </c>
      <c r="DE55" s="8">
        <v>42.4</v>
      </c>
      <c r="DF55" s="8">
        <v>-7.4</v>
      </c>
      <c r="DG55" s="8">
        <v>113.7</v>
      </c>
      <c r="DH55" s="8">
        <v>-165.6</v>
      </c>
      <c r="DI55" s="8">
        <v>-94.3</v>
      </c>
      <c r="DJ55" s="8">
        <v>-23.3</v>
      </c>
      <c r="DK55" s="8">
        <v>83.3</v>
      </c>
      <c r="DL55" s="8">
        <v>-5.7</v>
      </c>
      <c r="DM55" s="8">
        <v>47.4</v>
      </c>
    </row>
    <row r="56" spans="1:122">
      <c r="A56" s="7">
        <v>34.525</v>
      </c>
      <c r="D56" s="8">
        <v>-66.3</v>
      </c>
      <c r="E56" s="8">
        <v>-103.3</v>
      </c>
      <c r="F56" s="8">
        <v>-122</v>
      </c>
      <c r="G56" s="8">
        <v>-31.6</v>
      </c>
      <c r="H56" s="8">
        <v>52.1</v>
      </c>
      <c r="I56" s="8">
        <v>-41.2</v>
      </c>
      <c r="J56" s="8">
        <v>41.6</v>
      </c>
      <c r="K56" s="8">
        <v>51.6</v>
      </c>
      <c r="L56" s="8">
        <v>141.9</v>
      </c>
      <c r="M56" s="8">
        <v>-85.2</v>
      </c>
      <c r="N56" s="8">
        <v>-148.8</v>
      </c>
      <c r="O56" s="8">
        <v>-68.40000000000001</v>
      </c>
      <c r="P56" s="8">
        <v>-109.3</v>
      </c>
      <c r="Q56" s="8">
        <v>-195.7</v>
      </c>
      <c r="R56" s="8">
        <v>-312.4</v>
      </c>
      <c r="S56" s="8">
        <v>-439.6</v>
      </c>
      <c r="T56" s="8">
        <v>-233.3</v>
      </c>
      <c r="U56" s="8">
        <v>-283.3</v>
      </c>
      <c r="V56" s="8">
        <v>-286.2</v>
      </c>
      <c r="W56" s="8">
        <v>-366.8</v>
      </c>
      <c r="X56" s="8">
        <v>-287.9</v>
      </c>
      <c r="Y56" s="8">
        <v>-220.5</v>
      </c>
      <c r="Z56" s="8">
        <v>-151</v>
      </c>
      <c r="AA56" s="8">
        <v>-491.1</v>
      </c>
      <c r="AB56" s="8">
        <v>-491</v>
      </c>
      <c r="AC56" s="8">
        <v>-258.4</v>
      </c>
      <c r="AD56" s="8">
        <v>-237.6</v>
      </c>
      <c r="AE56" s="8">
        <v>-150.5</v>
      </c>
      <c r="AF56" s="8">
        <v>170.7</v>
      </c>
      <c r="AG56" s="8">
        <v>-114.1</v>
      </c>
      <c r="AH56" s="8">
        <v>-211.5</v>
      </c>
      <c r="AI56" s="8">
        <v>-199.8</v>
      </c>
      <c r="AJ56" s="8">
        <v>-162.7</v>
      </c>
      <c r="AK56" s="8">
        <v>102.3</v>
      </c>
      <c r="AL56" s="8">
        <v>47.8</v>
      </c>
      <c r="AM56" s="8">
        <v>-93.2</v>
      </c>
      <c r="AN56" s="8">
        <v>-135.1</v>
      </c>
      <c r="AO56" s="8">
        <v>-171.3</v>
      </c>
      <c r="AP56" s="8">
        <v>-141</v>
      </c>
      <c r="AQ56" s="8">
        <v>-341.7</v>
      </c>
      <c r="AR56" s="8">
        <v>-648.8</v>
      </c>
      <c r="AS56" s="8">
        <v>-371.9</v>
      </c>
      <c r="AT56" s="8">
        <v>-144.9</v>
      </c>
      <c r="AU56" s="8">
        <v>-28.8</v>
      </c>
      <c r="AV56" s="8">
        <v>-35.4</v>
      </c>
      <c r="AW56" s="8">
        <v>-15.1</v>
      </c>
      <c r="AX56" s="8">
        <v>40.7</v>
      </c>
      <c r="AY56" s="8">
        <v>96.8</v>
      </c>
      <c r="AZ56" s="8">
        <v>60.5</v>
      </c>
      <c r="BA56" s="8">
        <v>9.4</v>
      </c>
      <c r="BB56" s="8">
        <v>-32.4</v>
      </c>
      <c r="BC56" s="8">
        <v>-75.2</v>
      </c>
      <c r="BD56" s="8">
        <v>-94.3</v>
      </c>
      <c r="BE56" s="8">
        <v>-112.2</v>
      </c>
      <c r="BF56" s="8">
        <v>-148.9</v>
      </c>
      <c r="BG56" s="8">
        <v>-201.5</v>
      </c>
      <c r="BH56" s="8">
        <v>-153</v>
      </c>
      <c r="BI56" s="8">
        <v>-244.9</v>
      </c>
      <c r="BJ56" s="8">
        <v>-329.7</v>
      </c>
      <c r="BK56" s="8">
        <v>207.2</v>
      </c>
      <c r="BL56" s="8">
        <v>-30.4</v>
      </c>
      <c r="BM56" s="8">
        <v>-98.40000000000001</v>
      </c>
      <c r="BN56" s="8">
        <v>-95.3</v>
      </c>
      <c r="BO56" s="8">
        <v>-96.59999999999999</v>
      </c>
      <c r="BP56" s="8">
        <v>-56.6</v>
      </c>
      <c r="BQ56" s="8">
        <v>0.4</v>
      </c>
      <c r="BR56" s="8">
        <v>13.6</v>
      </c>
      <c r="BS56" s="8">
        <v>-64.40000000000001</v>
      </c>
      <c r="BT56" s="8">
        <v>-62.7</v>
      </c>
      <c r="BU56" s="8">
        <v>9.4</v>
      </c>
      <c r="BV56" s="8">
        <v>-111.8</v>
      </c>
      <c r="BW56" s="8">
        <v>-60.2</v>
      </c>
      <c r="BX56" s="8">
        <v>-13</v>
      </c>
      <c r="BY56" s="8">
        <v>1.4</v>
      </c>
      <c r="BZ56" s="8">
        <v>261.5</v>
      </c>
      <c r="CA56" s="8">
        <v>185.2</v>
      </c>
      <c r="CB56" s="8">
        <v>73.8</v>
      </c>
      <c r="CC56" s="8">
        <v>70.40000000000001</v>
      </c>
      <c r="CD56" s="8">
        <v>-128.7</v>
      </c>
      <c r="CE56" s="8">
        <v>-191.2</v>
      </c>
      <c r="CF56" s="8">
        <v>-247.2</v>
      </c>
      <c r="CG56" s="8">
        <v>-159.8</v>
      </c>
      <c r="CH56" s="8">
        <v>-84.5</v>
      </c>
      <c r="CI56" s="8">
        <v>-179.4</v>
      </c>
      <c r="CJ56" s="8">
        <v>-345</v>
      </c>
      <c r="CK56" s="8">
        <v>-315.3</v>
      </c>
      <c r="CL56" s="8">
        <v>-251.7</v>
      </c>
      <c r="CM56" s="8">
        <v>-199.7</v>
      </c>
      <c r="CN56" s="8">
        <v>-324.5</v>
      </c>
      <c r="CO56" s="8">
        <v>-403.4</v>
      </c>
      <c r="CP56" s="8">
        <v>-388.3</v>
      </c>
      <c r="CQ56" s="8">
        <v>-425.9</v>
      </c>
      <c r="CR56" s="8">
        <v>-484.5</v>
      </c>
      <c r="CS56" s="8">
        <v>-301.3</v>
      </c>
      <c r="CT56" s="8">
        <v>-75.7</v>
      </c>
      <c r="CU56" s="8">
        <v>9.9</v>
      </c>
      <c r="CV56" s="8">
        <v>84.3</v>
      </c>
      <c r="CW56" s="8">
        <v>108.3</v>
      </c>
      <c r="CX56" s="8">
        <v>106.4</v>
      </c>
      <c r="CY56" s="8">
        <v>25.7</v>
      </c>
      <c r="CZ56" s="8">
        <v>-63.1</v>
      </c>
      <c r="DA56" s="8">
        <v>-12.6</v>
      </c>
      <c r="DB56" s="8">
        <v>-31.4</v>
      </c>
      <c r="DC56" s="8">
        <v>-96.59999999999999</v>
      </c>
      <c r="DD56" s="8">
        <v>-88.90000000000001</v>
      </c>
      <c r="DE56" s="8">
        <v>-100.9</v>
      </c>
      <c r="DF56" s="8">
        <v>-44.8</v>
      </c>
      <c r="DG56" s="8">
        <v>-41.6</v>
      </c>
      <c r="DH56" s="8">
        <v>-62.7</v>
      </c>
      <c r="DI56" s="8">
        <v>-189.1</v>
      </c>
      <c r="DJ56" s="8">
        <v>-208.6</v>
      </c>
      <c r="DK56" s="8">
        <v>-99</v>
      </c>
      <c r="DL56" s="8">
        <v>-51.1</v>
      </c>
      <c r="DM56" s="8">
        <v>-46.9</v>
      </c>
    </row>
    <row r="57" spans="1:122">
      <c r="A57" s="7">
        <v>34.55</v>
      </c>
      <c r="D57" s="8">
        <v>-69</v>
      </c>
      <c r="E57" s="8">
        <v>-92.8</v>
      </c>
      <c r="F57" s="8">
        <v>-92.3</v>
      </c>
      <c r="G57" s="8">
        <v>-81.2</v>
      </c>
      <c r="H57" s="8">
        <v>-68.09999999999999</v>
      </c>
      <c r="I57" s="8">
        <v>-58.8</v>
      </c>
      <c r="J57" s="8">
        <v>10.1</v>
      </c>
      <c r="K57" s="8">
        <v>102.7</v>
      </c>
      <c r="L57" s="8">
        <v>-114.9</v>
      </c>
      <c r="M57" s="8">
        <v>-23.1</v>
      </c>
      <c r="N57" s="8">
        <v>-31.5</v>
      </c>
      <c r="O57" s="8">
        <v>-16.1</v>
      </c>
      <c r="P57" s="8">
        <v>-127.7</v>
      </c>
      <c r="Q57" s="8">
        <v>-139.8</v>
      </c>
      <c r="R57" s="8">
        <v>-247.5</v>
      </c>
      <c r="S57" s="8">
        <v>-296.9</v>
      </c>
      <c r="T57" s="8">
        <v>-283.4</v>
      </c>
      <c r="U57" s="8">
        <v>-319.6</v>
      </c>
      <c r="V57" s="8">
        <v>-328.7</v>
      </c>
      <c r="W57" s="8">
        <v>-286.8</v>
      </c>
      <c r="X57" s="8">
        <v>-314.3</v>
      </c>
      <c r="Y57" s="8">
        <v>-259.7</v>
      </c>
      <c r="Z57" s="8">
        <v>-148.3</v>
      </c>
      <c r="AA57" s="8">
        <v>-205.1</v>
      </c>
      <c r="AB57" s="8">
        <v>-180.6</v>
      </c>
      <c r="AC57" s="8">
        <v>-225.7</v>
      </c>
      <c r="AD57" s="8">
        <v>-70</v>
      </c>
      <c r="AE57" s="8">
        <v>-228.8</v>
      </c>
      <c r="AF57" s="8">
        <v>-191.3</v>
      </c>
      <c r="AG57" s="8">
        <v>54.1</v>
      </c>
      <c r="AH57" s="8">
        <v>-31.5</v>
      </c>
      <c r="AI57" s="8">
        <v>-62.2</v>
      </c>
      <c r="AJ57" s="8">
        <v>22.7</v>
      </c>
      <c r="AK57" s="8">
        <v>-115.8</v>
      </c>
      <c r="AL57" s="8">
        <v>-26.6</v>
      </c>
      <c r="AM57" s="8">
        <v>-147.3</v>
      </c>
      <c r="AN57" s="8">
        <v>-156.3</v>
      </c>
      <c r="AO57" s="8">
        <v>-113.1</v>
      </c>
      <c r="AP57" s="8">
        <v>-144.8</v>
      </c>
      <c r="AQ57" s="8">
        <v>-166.6</v>
      </c>
      <c r="AR57" s="8">
        <v>-135.4</v>
      </c>
      <c r="AS57" s="8">
        <v>125.4</v>
      </c>
      <c r="AT57" s="8">
        <v>123.8</v>
      </c>
      <c r="AU57" s="8">
        <v>61</v>
      </c>
      <c r="AV57" s="8">
        <v>-194.1</v>
      </c>
      <c r="AW57" s="8">
        <v>-236.8</v>
      </c>
      <c r="AX57" s="8">
        <v>-92.90000000000001</v>
      </c>
      <c r="AY57" s="8">
        <v>-127.9</v>
      </c>
      <c r="AZ57" s="8">
        <v>-23.6</v>
      </c>
      <c r="BA57" s="8">
        <v>25.1</v>
      </c>
      <c r="BB57" s="8">
        <v>-113.8</v>
      </c>
      <c r="BC57" s="8">
        <v>-141.4</v>
      </c>
      <c r="BD57" s="8">
        <v>-136.2</v>
      </c>
      <c r="BE57" s="8">
        <v>-98.5</v>
      </c>
      <c r="BF57" s="8">
        <v>-148.3</v>
      </c>
      <c r="BG57" s="8">
        <v>-247.9</v>
      </c>
      <c r="BH57" s="8">
        <v>-194.3</v>
      </c>
      <c r="BI57" s="8">
        <v>-206.5</v>
      </c>
      <c r="BJ57" s="8">
        <v>-64.8</v>
      </c>
      <c r="BK57" s="8">
        <v>-83</v>
      </c>
      <c r="BL57" s="8">
        <v>-147.8</v>
      </c>
      <c r="BM57" s="8">
        <v>-147.7</v>
      </c>
      <c r="BN57" s="8">
        <v>-104.1</v>
      </c>
      <c r="BO57" s="8">
        <v>-24.2</v>
      </c>
      <c r="BP57" s="8">
        <v>488.4</v>
      </c>
      <c r="BQ57" s="8">
        <v>521.4</v>
      </c>
      <c r="BR57" s="8">
        <v>29.7</v>
      </c>
      <c r="BS57" s="8">
        <v>-51.6</v>
      </c>
      <c r="BT57" s="8">
        <v>-148.7</v>
      </c>
      <c r="BU57" s="8">
        <v>-123.6</v>
      </c>
      <c r="BV57" s="8">
        <v>-199</v>
      </c>
      <c r="BW57" s="8">
        <v>-163.8</v>
      </c>
      <c r="BX57" s="8">
        <v>-26.9</v>
      </c>
      <c r="BY57" s="8">
        <v>-42.8</v>
      </c>
      <c r="BZ57" s="8">
        <v>67.8</v>
      </c>
      <c r="CA57" s="8">
        <v>147.2</v>
      </c>
      <c r="CB57" s="8">
        <v>-46.4</v>
      </c>
      <c r="CC57" s="8">
        <v>-31.5</v>
      </c>
      <c r="CD57" s="8">
        <v>-28.7</v>
      </c>
      <c r="CE57" s="8">
        <v>-174.7</v>
      </c>
      <c r="CF57" s="8">
        <v>-185.6</v>
      </c>
      <c r="CG57" s="8">
        <v>-94.90000000000001</v>
      </c>
      <c r="CH57" s="8">
        <v>-159.3</v>
      </c>
      <c r="CI57" s="8">
        <v>-188.7</v>
      </c>
      <c r="CJ57" s="8">
        <v>-300</v>
      </c>
      <c r="CK57" s="8">
        <v>-414.6</v>
      </c>
      <c r="CL57" s="8">
        <v>-491.6</v>
      </c>
      <c r="CM57" s="8">
        <v>-513.6</v>
      </c>
      <c r="CN57" s="8">
        <v>-434.8</v>
      </c>
      <c r="CO57" s="8">
        <v>-364</v>
      </c>
      <c r="CP57" s="8">
        <v>-447.6</v>
      </c>
      <c r="CQ57" s="8">
        <v>-545.1</v>
      </c>
      <c r="CR57" s="8">
        <v>-549.1</v>
      </c>
      <c r="CS57" s="8">
        <v>-345.7</v>
      </c>
      <c r="CT57" s="8">
        <v>-143.5</v>
      </c>
      <c r="CU57" s="8">
        <v>-52.5</v>
      </c>
      <c r="CV57" s="8">
        <v>74.40000000000001</v>
      </c>
      <c r="CW57" s="8">
        <v>-232</v>
      </c>
      <c r="CX57" s="8">
        <v>-263.8</v>
      </c>
      <c r="CY57" s="8">
        <v>-207.8</v>
      </c>
      <c r="CZ57" s="8">
        <v>19.7</v>
      </c>
      <c r="DA57" s="8">
        <v>-31.9</v>
      </c>
      <c r="DB57" s="8">
        <v>-81.3</v>
      </c>
      <c r="DC57" s="8">
        <v>-122.4</v>
      </c>
      <c r="DD57" s="8">
        <v>-53.8</v>
      </c>
      <c r="DE57" s="8">
        <v>11.8</v>
      </c>
      <c r="DF57" s="8">
        <v>-23.6</v>
      </c>
      <c r="DG57" s="8">
        <v>-8.199999999999999</v>
      </c>
      <c r="DH57" s="8">
        <v>-43.6</v>
      </c>
      <c r="DI57" s="8">
        <v>-107.8</v>
      </c>
      <c r="DJ57" s="8">
        <v>-12.6</v>
      </c>
      <c r="DK57" s="8">
        <v>15.2</v>
      </c>
      <c r="DL57" s="8">
        <v>5.1</v>
      </c>
      <c r="DM57" s="8">
        <v>-12.8</v>
      </c>
    </row>
    <row r="58" spans="1:122">
      <c r="A58" s="7">
        <v>34.575</v>
      </c>
      <c r="B58" s="8">
        <v>157</v>
      </c>
      <c r="C58" s="8">
        <v>514.3</v>
      </c>
      <c r="D58" s="8">
        <v>-84.2</v>
      </c>
      <c r="E58" s="8">
        <v>-126.9</v>
      </c>
      <c r="F58" s="8">
        <v>50.8</v>
      </c>
      <c r="G58" s="8">
        <v>7.6</v>
      </c>
      <c r="H58" s="8">
        <v>-11.3</v>
      </c>
      <c r="I58" s="8">
        <v>-124.7</v>
      </c>
      <c r="J58" s="8">
        <v>-89.7</v>
      </c>
      <c r="K58" s="8">
        <v>-12.6</v>
      </c>
      <c r="L58" s="8">
        <v>109.8</v>
      </c>
      <c r="M58" s="8">
        <v>85.59999999999999</v>
      </c>
      <c r="N58" s="8">
        <v>1.1</v>
      </c>
      <c r="O58" s="8">
        <v>142</v>
      </c>
      <c r="P58" s="8">
        <v>5</v>
      </c>
      <c r="Q58" s="8">
        <v>59.6</v>
      </c>
      <c r="R58" s="8">
        <v>-111.8</v>
      </c>
      <c r="S58" s="8">
        <v>-244.3</v>
      </c>
      <c r="T58" s="8">
        <v>-237.3</v>
      </c>
      <c r="U58" s="8">
        <v>-284.2</v>
      </c>
      <c r="V58" s="8">
        <v>-116</v>
      </c>
      <c r="W58" s="8">
        <v>-301.4</v>
      </c>
      <c r="X58" s="8">
        <v>-213.4</v>
      </c>
      <c r="Y58" s="8">
        <v>0.7</v>
      </c>
      <c r="Z58" s="8">
        <v>-117.8</v>
      </c>
      <c r="AA58" s="8">
        <v>-83.59999999999999</v>
      </c>
      <c r="AB58" s="8">
        <v>-37.5</v>
      </c>
      <c r="AC58" s="8">
        <v>-44.7</v>
      </c>
      <c r="AD58" s="8">
        <v>-191.2</v>
      </c>
      <c r="AE58" s="8">
        <v>-146.1</v>
      </c>
      <c r="AF58" s="8">
        <v>-136.5</v>
      </c>
      <c r="AG58" s="8">
        <v>-176.5</v>
      </c>
      <c r="AH58" s="8">
        <v>-66.2</v>
      </c>
      <c r="AI58" s="8">
        <v>-53.9</v>
      </c>
      <c r="AJ58" s="8">
        <v>122</v>
      </c>
      <c r="AK58" s="8">
        <v>11</v>
      </c>
      <c r="AL58" s="8">
        <v>-15.4</v>
      </c>
      <c r="AM58" s="8">
        <v>-33.8</v>
      </c>
      <c r="AN58" s="8">
        <v>-177.2</v>
      </c>
      <c r="AO58" s="8">
        <v>-180.7</v>
      </c>
      <c r="AP58" s="8">
        <v>-46.7</v>
      </c>
      <c r="AQ58" s="8">
        <v>-42.9</v>
      </c>
      <c r="AR58" s="8">
        <v>-136.5</v>
      </c>
      <c r="AS58" s="8">
        <v>-180.3</v>
      </c>
      <c r="AT58" s="8">
        <v>-228.5</v>
      </c>
      <c r="AU58" s="8">
        <v>3.7</v>
      </c>
      <c r="AV58" s="8">
        <v>-57.5</v>
      </c>
      <c r="AW58" s="8">
        <v>135.7</v>
      </c>
      <c r="AX58" s="8">
        <v>-14.2</v>
      </c>
      <c r="AY58" s="8">
        <v>103.7</v>
      </c>
      <c r="AZ58" s="8">
        <v>-28.5</v>
      </c>
      <c r="BA58" s="8">
        <v>-177.6</v>
      </c>
      <c r="BB58" s="8">
        <v>-167</v>
      </c>
      <c r="BC58" s="8">
        <v>-170.6</v>
      </c>
      <c r="BD58" s="8">
        <v>-170.1</v>
      </c>
      <c r="BE58" s="8">
        <v>-138.8</v>
      </c>
      <c r="BF58" s="8">
        <v>-144.9</v>
      </c>
      <c r="BG58" s="8">
        <v>-187.6</v>
      </c>
      <c r="BH58" s="8">
        <v>-196.5</v>
      </c>
      <c r="BI58" s="8">
        <v>-269.8</v>
      </c>
      <c r="BJ58" s="8">
        <v>-62.4</v>
      </c>
      <c r="BK58" s="8">
        <v>-29.4</v>
      </c>
      <c r="BL58" s="8">
        <v>14.8</v>
      </c>
      <c r="BM58" s="8">
        <v>-47.5</v>
      </c>
      <c r="BN58" s="8">
        <v>1.1</v>
      </c>
      <c r="BO58" s="8">
        <v>117.5</v>
      </c>
      <c r="BP58" s="8">
        <v>-199.8</v>
      </c>
      <c r="BQ58" s="8">
        <v>-477.6</v>
      </c>
      <c r="BR58" s="8">
        <v>-195.5</v>
      </c>
      <c r="BS58" s="8">
        <v>59.9</v>
      </c>
      <c r="BT58" s="8">
        <v>119.8</v>
      </c>
      <c r="BU58" s="8">
        <v>-124.7</v>
      </c>
      <c r="BV58" s="8">
        <v>-162.9</v>
      </c>
      <c r="BW58" s="8">
        <v>-118.8</v>
      </c>
      <c r="BX58" s="8">
        <v>7.3</v>
      </c>
      <c r="BY58" s="8">
        <v>-103.4</v>
      </c>
      <c r="BZ58" s="8">
        <v>-271.9</v>
      </c>
      <c r="CA58" s="8">
        <v>-230</v>
      </c>
      <c r="CB58" s="8">
        <v>-150.4</v>
      </c>
      <c r="CC58" s="8">
        <v>-96.59999999999999</v>
      </c>
      <c r="CD58" s="8">
        <v>-148.3</v>
      </c>
      <c r="CE58" s="8">
        <v>-39.7</v>
      </c>
      <c r="CF58" s="8">
        <v>125.6</v>
      </c>
      <c r="CG58" s="8">
        <v>-5</v>
      </c>
      <c r="CH58" s="8">
        <v>-132.1</v>
      </c>
      <c r="CI58" s="8">
        <v>-38.1</v>
      </c>
      <c r="CJ58" s="8">
        <v>-196.2</v>
      </c>
      <c r="CK58" s="8">
        <v>-344.2</v>
      </c>
      <c r="CL58" s="8">
        <v>-333.5</v>
      </c>
      <c r="CM58" s="8">
        <v>-291.7</v>
      </c>
      <c r="CN58" s="8">
        <v>-301.8</v>
      </c>
      <c r="CO58" s="8">
        <v>-340.2</v>
      </c>
      <c r="CP58" s="8">
        <v>-342.2</v>
      </c>
      <c r="CQ58" s="8">
        <v>-392.5</v>
      </c>
      <c r="CR58" s="8">
        <v>-422.1</v>
      </c>
      <c r="CS58" s="8">
        <v>-461</v>
      </c>
      <c r="CT58" s="8">
        <v>-369.9</v>
      </c>
      <c r="CU58" s="8">
        <v>-338.6</v>
      </c>
      <c r="CV58" s="8">
        <v>-324</v>
      </c>
      <c r="CW58" s="8">
        <v>-210.6</v>
      </c>
      <c r="CX58" s="8">
        <v>-242.1</v>
      </c>
      <c r="CY58" s="8">
        <v>-88.3</v>
      </c>
      <c r="CZ58" s="8">
        <v>-22.9</v>
      </c>
      <c r="DA58" s="8">
        <v>-27</v>
      </c>
      <c r="DB58" s="8">
        <v>1.8</v>
      </c>
      <c r="DC58" s="8">
        <v>-112</v>
      </c>
      <c r="DD58" s="8">
        <v>-119.3</v>
      </c>
      <c r="DE58" s="8">
        <v>-42.3</v>
      </c>
      <c r="DF58" s="8">
        <v>-154.5</v>
      </c>
      <c r="DG58" s="8">
        <v>-143.7</v>
      </c>
      <c r="DH58" s="8">
        <v>-81.3</v>
      </c>
      <c r="DI58" s="8">
        <v>-30.1</v>
      </c>
      <c r="DJ58" s="8">
        <v>39.7</v>
      </c>
      <c r="DK58" s="8">
        <v>92.59999999999999</v>
      </c>
      <c r="DL58" s="8">
        <v>61.7</v>
      </c>
      <c r="DM58" s="8">
        <v>-9.5</v>
      </c>
    </row>
    <row r="59" spans="1:122">
      <c r="A59" s="7">
        <v>34.6</v>
      </c>
      <c r="B59" s="8">
        <v>-159.8</v>
      </c>
      <c r="C59" s="8">
        <v>-458.3</v>
      </c>
      <c r="D59" s="8">
        <v>520.6</v>
      </c>
      <c r="E59" s="8">
        <v>-121.8</v>
      </c>
      <c r="F59" s="8">
        <v>-53.2</v>
      </c>
      <c r="G59" s="8">
        <v>-317.6</v>
      </c>
      <c r="H59" s="8">
        <v>-360.5</v>
      </c>
      <c r="I59" s="8">
        <v>-108.8</v>
      </c>
      <c r="J59" s="8">
        <v>-115.5</v>
      </c>
      <c r="K59" s="8">
        <v>-58.3</v>
      </c>
      <c r="L59" s="8">
        <v>31.7</v>
      </c>
      <c r="M59" s="8">
        <v>44.4</v>
      </c>
      <c r="N59" s="8">
        <v>82</v>
      </c>
      <c r="O59" s="8">
        <v>48</v>
      </c>
      <c r="P59" s="8">
        <v>-8.699999999999999</v>
      </c>
      <c r="Q59" s="8">
        <v>-5.8</v>
      </c>
      <c r="R59" s="8">
        <v>0.7</v>
      </c>
      <c r="S59" s="8">
        <v>-87.7</v>
      </c>
      <c r="T59" s="8">
        <v>-214.7</v>
      </c>
      <c r="U59" s="8">
        <v>-201.2</v>
      </c>
      <c r="V59" s="8">
        <v>-217.1</v>
      </c>
      <c r="W59" s="8">
        <v>-200.7</v>
      </c>
      <c r="X59" s="8">
        <v>-22.1</v>
      </c>
      <c r="Y59" s="8">
        <v>-4.1</v>
      </c>
      <c r="Z59" s="8">
        <v>-7.5</v>
      </c>
      <c r="AA59" s="8">
        <v>-16</v>
      </c>
      <c r="AB59" s="8">
        <v>-84.59999999999999</v>
      </c>
      <c r="AC59" s="8">
        <v>-201.1</v>
      </c>
      <c r="AD59" s="8">
        <v>-252.6</v>
      </c>
      <c r="AE59" s="8">
        <v>-255.4</v>
      </c>
      <c r="AF59" s="8">
        <v>-250.1</v>
      </c>
      <c r="AG59" s="8">
        <v>-147.8</v>
      </c>
      <c r="AH59" s="8">
        <v>-129.3</v>
      </c>
      <c r="AI59" s="8">
        <v>112.6</v>
      </c>
      <c r="AJ59" s="8">
        <v>47</v>
      </c>
      <c r="AK59" s="8">
        <v>34.8</v>
      </c>
      <c r="AL59" s="8">
        <v>-84.7</v>
      </c>
      <c r="AM59" s="8">
        <v>-165.4</v>
      </c>
      <c r="AN59" s="8">
        <v>-199.1</v>
      </c>
      <c r="AO59" s="8">
        <v>-214.5</v>
      </c>
      <c r="AP59" s="8">
        <v>-89.2</v>
      </c>
      <c r="AQ59" s="8">
        <v>-9.4</v>
      </c>
      <c r="AR59" s="8">
        <v>-145.7</v>
      </c>
      <c r="AS59" s="8">
        <v>-126.5</v>
      </c>
      <c r="AT59" s="8">
        <v>-217.6</v>
      </c>
      <c r="AU59" s="8">
        <v>-251.1</v>
      </c>
      <c r="AV59" s="8">
        <v>-374.5</v>
      </c>
      <c r="AW59" s="8">
        <v>-445.7</v>
      </c>
      <c r="AX59" s="8">
        <v>-185.8</v>
      </c>
      <c r="AY59" s="8">
        <v>197.4</v>
      </c>
      <c r="AZ59" s="8">
        <v>127.4</v>
      </c>
      <c r="BA59" s="8">
        <v>-162.5</v>
      </c>
      <c r="BB59" s="8">
        <v>-181.6</v>
      </c>
      <c r="BC59" s="8">
        <v>-234.1</v>
      </c>
      <c r="BD59" s="8">
        <v>-270.5</v>
      </c>
      <c r="BE59" s="8">
        <v>-215.7</v>
      </c>
      <c r="BF59" s="8">
        <v>-252.4</v>
      </c>
      <c r="BG59" s="8">
        <v>-251.5</v>
      </c>
      <c r="BH59" s="8">
        <v>-136.8</v>
      </c>
      <c r="BI59" s="8">
        <v>-139.8</v>
      </c>
      <c r="BJ59" s="8">
        <v>-145.9</v>
      </c>
      <c r="BK59" s="8">
        <v>-69.09999999999999</v>
      </c>
      <c r="BL59" s="8">
        <v>-42.8</v>
      </c>
      <c r="BM59" s="8">
        <v>-125.4</v>
      </c>
      <c r="BN59" s="8">
        <v>-277.9</v>
      </c>
      <c r="BO59" s="8">
        <v>-209.8</v>
      </c>
      <c r="BP59" s="8">
        <v>-310.7</v>
      </c>
      <c r="BQ59" s="8">
        <v>-61.4</v>
      </c>
      <c r="BR59" s="8">
        <v>120.3</v>
      </c>
      <c r="BS59" s="8">
        <v>-389.9</v>
      </c>
      <c r="BT59" s="8">
        <v>-241.1</v>
      </c>
      <c r="BU59" s="8">
        <v>-107.9</v>
      </c>
      <c r="BV59" s="8">
        <v>-86.8</v>
      </c>
      <c r="BW59" s="8">
        <v>-242.8</v>
      </c>
      <c r="BX59" s="8">
        <v>-154</v>
      </c>
      <c r="BY59" s="8">
        <v>-143.1</v>
      </c>
      <c r="BZ59" s="8">
        <v>-137.4</v>
      </c>
      <c r="CA59" s="8">
        <v>-221.5</v>
      </c>
      <c r="CB59" s="8">
        <v>-267.1</v>
      </c>
      <c r="CC59" s="8">
        <v>-238</v>
      </c>
      <c r="CD59" s="8">
        <v>-181.1</v>
      </c>
      <c r="CE59" s="8">
        <v>56.4</v>
      </c>
      <c r="CF59" s="8">
        <v>70.40000000000001</v>
      </c>
      <c r="CG59" s="8">
        <v>-13.4</v>
      </c>
      <c r="CH59" s="8">
        <v>-21.4</v>
      </c>
      <c r="CI59" s="8">
        <v>102.9</v>
      </c>
      <c r="CJ59" s="8">
        <v>-146.2</v>
      </c>
      <c r="CK59" s="8">
        <v>-134.4</v>
      </c>
      <c r="CL59" s="8">
        <v>-201</v>
      </c>
      <c r="CM59" s="8">
        <v>-244.6</v>
      </c>
      <c r="CN59" s="8">
        <v>-197</v>
      </c>
      <c r="CO59" s="8">
        <v>-134.5</v>
      </c>
      <c r="CP59" s="8">
        <v>-180.3</v>
      </c>
      <c r="CQ59" s="8">
        <v>-220.6</v>
      </c>
      <c r="CR59" s="8">
        <v>-145.1</v>
      </c>
      <c r="CS59" s="8">
        <v>-443.9</v>
      </c>
      <c r="CT59" s="8">
        <v>-403.7</v>
      </c>
      <c r="CU59" s="8">
        <v>-358.7</v>
      </c>
      <c r="CV59" s="8">
        <v>-200.1</v>
      </c>
      <c r="CW59" s="8">
        <v>-126.1</v>
      </c>
      <c r="CX59" s="8">
        <v>-69.8</v>
      </c>
      <c r="CY59" s="8">
        <v>-10.3</v>
      </c>
      <c r="CZ59" s="8">
        <v>-123.6</v>
      </c>
      <c r="DA59" s="8">
        <v>-155.9</v>
      </c>
      <c r="DB59" s="8">
        <v>-159.8</v>
      </c>
      <c r="DC59" s="8">
        <v>-107.8</v>
      </c>
      <c r="DD59" s="8">
        <v>-17.3</v>
      </c>
      <c r="DE59" s="8">
        <v>-94.09999999999999</v>
      </c>
      <c r="DF59" s="8">
        <v>-184.4</v>
      </c>
      <c r="DG59" s="8">
        <v>-181.2</v>
      </c>
      <c r="DH59" s="8">
        <v>-130.8</v>
      </c>
      <c r="DI59" s="8">
        <v>68.2</v>
      </c>
      <c r="DJ59" s="8">
        <v>-195.2</v>
      </c>
      <c r="DK59" s="8">
        <v>190.6</v>
      </c>
      <c r="DL59" s="8">
        <v>-227.6</v>
      </c>
      <c r="DM59" s="8">
        <v>-14.8</v>
      </c>
      <c r="DN59" s="8">
        <v>63.5</v>
      </c>
      <c r="DO59" s="8">
        <v>53.3</v>
      </c>
    </row>
    <row r="60" spans="1:122">
      <c r="A60" s="7">
        <v>34.625</v>
      </c>
      <c r="B60" s="8">
        <v>-152.2</v>
      </c>
      <c r="C60" s="8">
        <v>-192.5</v>
      </c>
      <c r="D60" s="8">
        <v>-197.4</v>
      </c>
      <c r="E60" s="8">
        <v>143</v>
      </c>
      <c r="F60" s="8">
        <v>-377.1</v>
      </c>
      <c r="G60" s="8">
        <v>-724.8</v>
      </c>
      <c r="H60" s="8">
        <v>-48.2</v>
      </c>
      <c r="I60" s="8">
        <v>-85.40000000000001</v>
      </c>
      <c r="J60" s="8">
        <v>-132.6</v>
      </c>
      <c r="K60" s="8">
        <v>-157</v>
      </c>
      <c r="L60" s="8">
        <v>-228.8</v>
      </c>
      <c r="M60" s="8">
        <v>-51.4</v>
      </c>
      <c r="N60" s="8">
        <v>64.5</v>
      </c>
      <c r="O60" s="8">
        <v>37.4</v>
      </c>
      <c r="P60" s="8">
        <v>41.4</v>
      </c>
      <c r="Q60" s="8">
        <v>49</v>
      </c>
      <c r="R60" s="8">
        <v>103.9</v>
      </c>
      <c r="S60" s="8">
        <v>-26.8</v>
      </c>
      <c r="T60" s="8">
        <v>-106.3</v>
      </c>
      <c r="U60" s="8">
        <v>-101.6</v>
      </c>
      <c r="V60" s="8">
        <v>-154.8</v>
      </c>
      <c r="W60" s="8">
        <v>-40.8</v>
      </c>
      <c r="X60" s="8">
        <v>-163.5</v>
      </c>
      <c r="Y60" s="8">
        <v>22.8</v>
      </c>
      <c r="Z60" s="8">
        <v>-79</v>
      </c>
      <c r="AA60" s="8">
        <v>-197.3</v>
      </c>
      <c r="AB60" s="8">
        <v>-254.2</v>
      </c>
      <c r="AC60" s="8">
        <v>-259.4</v>
      </c>
      <c r="AD60" s="8">
        <v>-281.9</v>
      </c>
      <c r="AE60" s="8">
        <v>-289.8</v>
      </c>
      <c r="AF60" s="8">
        <v>-383.3</v>
      </c>
      <c r="AG60" s="8">
        <v>-264.7</v>
      </c>
      <c r="AH60" s="8">
        <v>-332.1</v>
      </c>
      <c r="AI60" s="8">
        <v>-233.7</v>
      </c>
      <c r="AJ60" s="8">
        <v>-278.4</v>
      </c>
      <c r="AK60" s="8">
        <v>-307.1</v>
      </c>
      <c r="AL60" s="8">
        <v>118.6</v>
      </c>
      <c r="AM60" s="8">
        <v>-48</v>
      </c>
      <c r="AN60" s="8">
        <v>-144.8</v>
      </c>
      <c r="AO60" s="8">
        <v>-200.4</v>
      </c>
      <c r="AP60" s="8">
        <v>-199.1</v>
      </c>
      <c r="AQ60" s="8">
        <v>-83.59999999999999</v>
      </c>
      <c r="AR60" s="8">
        <v>-57.3</v>
      </c>
      <c r="AS60" s="8">
        <v>-169.9</v>
      </c>
      <c r="AT60" s="8">
        <v>-252.2</v>
      </c>
      <c r="AU60" s="8">
        <v>-403.1</v>
      </c>
      <c r="AV60" s="8">
        <v>-54.1</v>
      </c>
      <c r="AW60" s="8">
        <v>100.5</v>
      </c>
      <c r="AX60" s="8">
        <v>-47.9</v>
      </c>
      <c r="AY60" s="8">
        <v>-163.1</v>
      </c>
      <c r="AZ60" s="8">
        <v>-163.3</v>
      </c>
      <c r="BA60" s="8">
        <v>-51.3</v>
      </c>
      <c r="BB60" s="8">
        <v>-293.1</v>
      </c>
      <c r="BC60" s="8">
        <v>-238.7</v>
      </c>
      <c r="BD60" s="8">
        <v>-224</v>
      </c>
      <c r="BE60" s="8">
        <v>-183.2</v>
      </c>
      <c r="BF60" s="8">
        <v>-174.6</v>
      </c>
      <c r="BG60" s="8">
        <v>-116.2</v>
      </c>
      <c r="BH60" s="8">
        <v>-144.2</v>
      </c>
      <c r="BI60" s="8">
        <v>-227.4</v>
      </c>
      <c r="BJ60" s="8">
        <v>-300</v>
      </c>
      <c r="BK60" s="8">
        <v>-189.8</v>
      </c>
      <c r="BL60" s="8">
        <v>-185</v>
      </c>
      <c r="BM60" s="8">
        <v>-395.3</v>
      </c>
      <c r="BN60" s="8">
        <v>-108.8</v>
      </c>
      <c r="BO60" s="8">
        <v>368.7</v>
      </c>
      <c r="BP60" s="8">
        <v>-112.3</v>
      </c>
      <c r="BQ60" s="8">
        <v>-219.1</v>
      </c>
      <c r="BR60" s="8">
        <v>-123.7</v>
      </c>
      <c r="BS60" s="8">
        <v>-270.5</v>
      </c>
      <c r="BT60" s="8">
        <v>-339.3</v>
      </c>
      <c r="BU60" s="8">
        <v>-182.9</v>
      </c>
      <c r="BV60" s="8">
        <v>-234.2</v>
      </c>
      <c r="BW60" s="8">
        <v>-281.9</v>
      </c>
      <c r="BX60" s="8">
        <v>-227.9</v>
      </c>
      <c r="BY60" s="8">
        <v>-166.1</v>
      </c>
      <c r="BZ60" s="8">
        <v>-203.8</v>
      </c>
      <c r="CA60" s="8">
        <v>-91.2</v>
      </c>
      <c r="CB60" s="8">
        <v>-167.2</v>
      </c>
      <c r="CC60" s="8">
        <v>-60.3</v>
      </c>
      <c r="CD60" s="8">
        <v>-146.9</v>
      </c>
      <c r="CE60" s="8">
        <v>-252.8</v>
      </c>
      <c r="CF60" s="8">
        <v>-8.6</v>
      </c>
      <c r="CG60" s="8">
        <v>-30.9</v>
      </c>
      <c r="CH60" s="8">
        <v>-190.8</v>
      </c>
      <c r="CI60" s="8">
        <v>-171.4</v>
      </c>
      <c r="CJ60" s="8">
        <v>-129.6</v>
      </c>
      <c r="CK60" s="8">
        <v>-140.2</v>
      </c>
      <c r="CL60" s="8">
        <v>-158.6</v>
      </c>
      <c r="CM60" s="8">
        <v>-225.9</v>
      </c>
      <c r="CN60" s="8">
        <v>-191</v>
      </c>
      <c r="CO60" s="8">
        <v>-125.5</v>
      </c>
      <c r="CP60" s="8">
        <v>-54.6</v>
      </c>
      <c r="CQ60" s="8">
        <v>-83.7</v>
      </c>
      <c r="CR60" s="8">
        <v>-128.8</v>
      </c>
      <c r="CS60" s="8">
        <v>-168.9</v>
      </c>
      <c r="CT60" s="8">
        <v>-143.3</v>
      </c>
      <c r="CU60" s="8">
        <v>-132.7</v>
      </c>
      <c r="CV60" s="8">
        <v>-214.3</v>
      </c>
      <c r="CW60" s="8">
        <v>46.3</v>
      </c>
      <c r="CX60" s="8">
        <v>103.4</v>
      </c>
      <c r="CY60" s="8">
        <v>-102</v>
      </c>
      <c r="CZ60" s="8">
        <v>212</v>
      </c>
      <c r="DA60" s="8">
        <v>-122.5</v>
      </c>
      <c r="DB60" s="8">
        <v>86.8</v>
      </c>
      <c r="DC60" s="8">
        <v>111.8</v>
      </c>
      <c r="DD60" s="8">
        <v>-175.4</v>
      </c>
      <c r="DE60" s="8">
        <v>-245.5</v>
      </c>
      <c r="DF60" s="8">
        <v>-103.1</v>
      </c>
      <c r="DG60" s="8">
        <v>-73.40000000000001</v>
      </c>
      <c r="DH60" s="8">
        <v>-142.9</v>
      </c>
      <c r="DI60" s="8">
        <v>-154.7</v>
      </c>
      <c r="DJ60" s="8">
        <v>-167.9</v>
      </c>
      <c r="DK60" s="8">
        <v>-142.3</v>
      </c>
      <c r="DL60" s="8">
        <v>-176.6</v>
      </c>
      <c r="DM60" s="8">
        <v>-121.8</v>
      </c>
      <c r="DN60" s="8">
        <v>186.9</v>
      </c>
      <c r="DO60" s="8">
        <v>135.6</v>
      </c>
    </row>
    <row r="61" spans="1:122">
      <c r="A61" s="7">
        <v>34.65</v>
      </c>
      <c r="B61" s="8">
        <v>-202.4</v>
      </c>
      <c r="C61" s="8">
        <v>-52.7</v>
      </c>
      <c r="D61" s="8">
        <v>-27.8</v>
      </c>
      <c r="E61" s="8">
        <v>-27.9</v>
      </c>
      <c r="F61" s="8">
        <v>192.6</v>
      </c>
      <c r="G61" s="8">
        <v>-387.9</v>
      </c>
      <c r="H61" s="8">
        <v>-215.4</v>
      </c>
      <c r="I61" s="8">
        <v>-82.8</v>
      </c>
      <c r="J61" s="8">
        <v>-75.40000000000001</v>
      </c>
      <c r="K61" s="8">
        <v>52.2</v>
      </c>
      <c r="L61" s="8">
        <v>-407.9</v>
      </c>
      <c r="M61" s="8">
        <v>40.3</v>
      </c>
      <c r="N61" s="8">
        <v>14.8</v>
      </c>
      <c r="O61" s="8">
        <v>68.59999999999999</v>
      </c>
      <c r="P61" s="8">
        <v>255.2</v>
      </c>
      <c r="Q61" s="8">
        <v>74.5</v>
      </c>
      <c r="R61" s="8">
        <v>-10.2</v>
      </c>
      <c r="S61" s="8">
        <v>103.1</v>
      </c>
      <c r="T61" s="8">
        <v>61.9</v>
      </c>
      <c r="U61" s="8">
        <v>-69.3</v>
      </c>
      <c r="V61" s="8">
        <v>-230.3</v>
      </c>
      <c r="W61" s="8">
        <v>-94.59999999999999</v>
      </c>
      <c r="X61" s="8">
        <v>-98.3</v>
      </c>
      <c r="Y61" s="8">
        <v>387.3</v>
      </c>
      <c r="Z61" s="8">
        <v>-79.59999999999999</v>
      </c>
      <c r="AA61" s="8">
        <v>-206.3</v>
      </c>
      <c r="AB61" s="8">
        <v>-223</v>
      </c>
      <c r="AC61" s="8">
        <v>-125.6</v>
      </c>
      <c r="AD61" s="8">
        <v>-102.6</v>
      </c>
      <c r="AE61" s="8">
        <v>-240</v>
      </c>
      <c r="AF61" s="8">
        <v>-295.8</v>
      </c>
      <c r="AG61" s="8">
        <v>-319.5</v>
      </c>
      <c r="AH61" s="8">
        <v>-361.2</v>
      </c>
      <c r="AI61" s="8">
        <v>-244.3</v>
      </c>
      <c r="AJ61" s="8">
        <v>-177.9</v>
      </c>
      <c r="AK61" s="8">
        <v>-27.4</v>
      </c>
      <c r="AL61" s="8">
        <v>558</v>
      </c>
      <c r="AM61" s="8">
        <v>61.6</v>
      </c>
      <c r="AN61" s="8">
        <v>-249.5</v>
      </c>
      <c r="AO61" s="8">
        <v>-157.8</v>
      </c>
      <c r="AP61" s="8">
        <v>-198.8</v>
      </c>
      <c r="AQ61" s="8">
        <v>-88.90000000000001</v>
      </c>
      <c r="AR61" s="8">
        <v>-92.3</v>
      </c>
      <c r="AS61" s="8">
        <v>-267.8</v>
      </c>
      <c r="AT61" s="8">
        <v>-211</v>
      </c>
      <c r="AU61" s="8">
        <v>-257.7</v>
      </c>
      <c r="AV61" s="8">
        <v>-525.6</v>
      </c>
      <c r="AW61" s="8">
        <v>-242.1</v>
      </c>
      <c r="AX61" s="8">
        <v>-171.7</v>
      </c>
      <c r="AY61" s="8">
        <v>-186.6</v>
      </c>
      <c r="AZ61" s="8">
        <v>-137.6</v>
      </c>
      <c r="BA61" s="8">
        <v>-92.40000000000001</v>
      </c>
      <c r="BB61" s="8">
        <v>-238.5</v>
      </c>
      <c r="BC61" s="8">
        <v>-246.8</v>
      </c>
      <c r="BD61" s="8">
        <v>-214.8</v>
      </c>
      <c r="BE61" s="8">
        <v>-194.7</v>
      </c>
      <c r="BF61" s="8">
        <v>-192.7</v>
      </c>
      <c r="BG61" s="8">
        <v>-172.8</v>
      </c>
      <c r="BH61" s="8">
        <v>-109</v>
      </c>
      <c r="BI61" s="8">
        <v>-104.2</v>
      </c>
      <c r="BJ61" s="8">
        <v>-274.1</v>
      </c>
      <c r="BK61" s="8">
        <v>-305.9</v>
      </c>
      <c r="BL61" s="8">
        <v>-204.2</v>
      </c>
      <c r="BM61" s="8">
        <v>12.2</v>
      </c>
      <c r="BN61" s="8">
        <v>-157.7</v>
      </c>
      <c r="BO61" s="8">
        <v>-670.8</v>
      </c>
      <c r="BP61" s="8">
        <v>-201.8</v>
      </c>
      <c r="BQ61" s="8">
        <v>-76.3</v>
      </c>
      <c r="BR61" s="8">
        <v>-49.8</v>
      </c>
      <c r="BS61" s="8">
        <v>-260.9</v>
      </c>
      <c r="BT61" s="8">
        <v>-292.4</v>
      </c>
      <c r="BU61" s="8">
        <v>-247.1</v>
      </c>
      <c r="BV61" s="8">
        <v>-207.9</v>
      </c>
      <c r="BW61" s="8">
        <v>-213.1</v>
      </c>
      <c r="BX61" s="8">
        <v>-139.7</v>
      </c>
      <c r="BY61" s="8">
        <v>-90</v>
      </c>
      <c r="BZ61" s="8">
        <v>-99.3</v>
      </c>
      <c r="CA61" s="8">
        <v>-106.3</v>
      </c>
      <c r="CB61" s="8">
        <v>-168.3</v>
      </c>
      <c r="CC61" s="8">
        <v>-66</v>
      </c>
      <c r="CD61" s="8">
        <v>-117.4</v>
      </c>
      <c r="CE61" s="8">
        <v>-78.8</v>
      </c>
      <c r="CF61" s="8">
        <v>-129.4</v>
      </c>
      <c r="CG61" s="8">
        <v>-388.4</v>
      </c>
      <c r="CH61" s="8">
        <v>-351.4</v>
      </c>
      <c r="CI61" s="8">
        <v>-314.9</v>
      </c>
      <c r="CJ61" s="8">
        <v>-244.4</v>
      </c>
      <c r="CK61" s="8">
        <v>-156.4</v>
      </c>
      <c r="CL61" s="8">
        <v>-178.2</v>
      </c>
      <c r="CM61" s="8">
        <v>-204.8</v>
      </c>
      <c r="CN61" s="8">
        <v>-182.2</v>
      </c>
      <c r="CO61" s="8">
        <v>225.2</v>
      </c>
      <c r="CP61" s="8">
        <v>420.7</v>
      </c>
      <c r="CQ61" s="8">
        <v>-27.1</v>
      </c>
      <c r="CR61" s="8">
        <v>-31.3</v>
      </c>
      <c r="CS61" s="8">
        <v>-38.4</v>
      </c>
      <c r="CT61" s="8">
        <v>8.5</v>
      </c>
      <c r="CU61" s="8">
        <v>-29.8</v>
      </c>
      <c r="CV61" s="8">
        <v>-94.40000000000001</v>
      </c>
      <c r="CW61" s="8">
        <v>-63.9</v>
      </c>
      <c r="CX61" s="8">
        <v>-184.8</v>
      </c>
      <c r="CY61" s="8">
        <v>-234.8</v>
      </c>
      <c r="CZ61" s="8">
        <v>-147.5</v>
      </c>
      <c r="DA61" s="8">
        <v>-124.5</v>
      </c>
      <c r="DB61" s="8">
        <v>-114.8</v>
      </c>
      <c r="DC61" s="8">
        <v>44.9</v>
      </c>
      <c r="DD61" s="8">
        <v>-61.1</v>
      </c>
      <c r="DE61" s="8">
        <v>-86.8</v>
      </c>
      <c r="DF61" s="8">
        <v>-72.09999999999999</v>
      </c>
      <c r="DG61" s="8">
        <v>19.4</v>
      </c>
      <c r="DH61" s="8">
        <v>11.1</v>
      </c>
      <c r="DI61" s="8">
        <v>-94</v>
      </c>
      <c r="DJ61" s="8">
        <v>-110.8</v>
      </c>
      <c r="DK61" s="8">
        <v>28.1</v>
      </c>
      <c r="DL61" s="8">
        <v>-71.8</v>
      </c>
      <c r="DM61" s="8">
        <v>5.5</v>
      </c>
      <c r="DN61" s="8">
        <v>41.5</v>
      </c>
      <c r="DO61" s="8">
        <v>62.9</v>
      </c>
      <c r="DP61" s="8">
        <v>16.9</v>
      </c>
      <c r="DQ61" s="8">
        <v>91.3</v>
      </c>
      <c r="DR61" s="8">
        <v>205.3</v>
      </c>
    </row>
    <row r="62" spans="1:122">
      <c r="A62" s="7">
        <v>34.675</v>
      </c>
      <c r="B62" s="8">
        <v>4.2</v>
      </c>
      <c r="C62" s="8">
        <v>-47.7</v>
      </c>
      <c r="D62" s="8">
        <v>32.4</v>
      </c>
      <c r="E62" s="8">
        <v>12.7</v>
      </c>
      <c r="F62" s="8">
        <v>77.2</v>
      </c>
      <c r="G62" s="8">
        <v>303.8</v>
      </c>
      <c r="H62" s="8">
        <v>-212.5</v>
      </c>
      <c r="I62" s="8">
        <v>-27</v>
      </c>
      <c r="J62" s="8">
        <v>-117.3</v>
      </c>
      <c r="K62" s="8">
        <v>-16.4</v>
      </c>
      <c r="L62" s="8">
        <v>209.3</v>
      </c>
      <c r="M62" s="8">
        <v>-67.40000000000001</v>
      </c>
      <c r="N62" s="8">
        <v>-39.8</v>
      </c>
      <c r="O62" s="8">
        <v>99.40000000000001</v>
      </c>
      <c r="P62" s="8">
        <v>192.9</v>
      </c>
      <c r="Q62" s="8">
        <v>130</v>
      </c>
      <c r="R62" s="8">
        <v>118</v>
      </c>
      <c r="S62" s="8">
        <v>159.8</v>
      </c>
      <c r="T62" s="8">
        <v>235</v>
      </c>
      <c r="U62" s="8">
        <v>-29.5</v>
      </c>
      <c r="V62" s="8">
        <v>-199.6</v>
      </c>
      <c r="W62" s="8">
        <v>-116.9</v>
      </c>
      <c r="X62" s="8">
        <v>-56.3</v>
      </c>
      <c r="Y62" s="8">
        <v>332.6</v>
      </c>
      <c r="Z62" s="8">
        <v>89.8</v>
      </c>
      <c r="AA62" s="8">
        <v>-159.5</v>
      </c>
      <c r="AB62" s="8">
        <v>70.40000000000001</v>
      </c>
      <c r="AC62" s="8">
        <v>-17.5</v>
      </c>
      <c r="AD62" s="8">
        <v>-178.5</v>
      </c>
      <c r="AE62" s="8">
        <v>-241.9</v>
      </c>
      <c r="AF62" s="8">
        <v>-255.4</v>
      </c>
      <c r="AG62" s="8">
        <v>-236.5</v>
      </c>
      <c r="AH62" s="8">
        <v>-242.8</v>
      </c>
      <c r="AI62" s="8">
        <v>-70.5</v>
      </c>
      <c r="AJ62" s="8">
        <v>62</v>
      </c>
      <c r="AK62" s="8">
        <v>-148</v>
      </c>
      <c r="AL62" s="8">
        <v>-332.3</v>
      </c>
      <c r="AM62" s="8">
        <v>-206</v>
      </c>
      <c r="AN62" s="8">
        <v>-18.5</v>
      </c>
      <c r="AO62" s="8">
        <v>53.6</v>
      </c>
      <c r="AP62" s="8">
        <v>-34.6</v>
      </c>
      <c r="AQ62" s="8">
        <v>-119</v>
      </c>
      <c r="AR62" s="8">
        <v>-194.4</v>
      </c>
      <c r="AS62" s="8">
        <v>-214.4</v>
      </c>
      <c r="AT62" s="8">
        <v>-216.6</v>
      </c>
      <c r="AU62" s="8">
        <v>-192.9</v>
      </c>
      <c r="AV62" s="8">
        <v>-422.5</v>
      </c>
      <c r="AW62" s="8">
        <v>-173.3</v>
      </c>
      <c r="AX62" s="8">
        <v>-246.9</v>
      </c>
      <c r="AY62" s="8">
        <v>-185.9</v>
      </c>
      <c r="AZ62" s="8">
        <v>-261.2</v>
      </c>
      <c r="BA62" s="8">
        <v>-203.7</v>
      </c>
      <c r="BB62" s="8">
        <v>-202.3</v>
      </c>
      <c r="BC62" s="8">
        <v>-246.1</v>
      </c>
      <c r="BD62" s="8">
        <v>-237.5</v>
      </c>
      <c r="BE62" s="8">
        <v>-89.8</v>
      </c>
      <c r="BF62" s="8">
        <v>-103.4</v>
      </c>
      <c r="BG62" s="8">
        <v>-128.2</v>
      </c>
      <c r="BH62" s="8">
        <v>-193.9</v>
      </c>
      <c r="BI62" s="8">
        <v>-239.4</v>
      </c>
      <c r="BJ62" s="8">
        <v>-281.9</v>
      </c>
      <c r="BK62" s="8">
        <v>-342</v>
      </c>
      <c r="BL62" s="8">
        <v>-363.1</v>
      </c>
      <c r="BM62" s="8">
        <v>-320.3</v>
      </c>
      <c r="BN62" s="8">
        <v>-37.4</v>
      </c>
      <c r="BO62" s="8">
        <v>-43.8</v>
      </c>
      <c r="BP62" s="8">
        <v>-68.8</v>
      </c>
      <c r="BQ62" s="8">
        <v>-11.4</v>
      </c>
      <c r="BR62" s="8">
        <v>-178.6</v>
      </c>
      <c r="BS62" s="8">
        <v>-261.3</v>
      </c>
      <c r="BT62" s="8">
        <v>-342</v>
      </c>
      <c r="BU62" s="8">
        <v>-254.4</v>
      </c>
      <c r="BV62" s="8">
        <v>-246.2</v>
      </c>
      <c r="BW62" s="8">
        <v>-148.8</v>
      </c>
      <c r="BX62" s="8">
        <v>-120.2</v>
      </c>
      <c r="BY62" s="8">
        <v>-75.90000000000001</v>
      </c>
      <c r="BZ62" s="8">
        <v>-73.5</v>
      </c>
      <c r="CA62" s="8">
        <v>-140.4</v>
      </c>
      <c r="CB62" s="8">
        <v>231.4</v>
      </c>
      <c r="CC62" s="8">
        <v>56.9</v>
      </c>
      <c r="CD62" s="8">
        <v>-72.8</v>
      </c>
      <c r="CE62" s="8">
        <v>-71.3</v>
      </c>
      <c r="CF62" s="8">
        <v>-126</v>
      </c>
      <c r="CG62" s="8">
        <v>-56.2</v>
      </c>
      <c r="CH62" s="8">
        <v>-322.4</v>
      </c>
      <c r="CI62" s="8">
        <v>-221.6</v>
      </c>
      <c r="CJ62" s="8">
        <v>-205.9</v>
      </c>
      <c r="CK62" s="8">
        <v>-145.6</v>
      </c>
      <c r="CL62" s="8">
        <v>-109.5</v>
      </c>
      <c r="CM62" s="8">
        <v>-160.6</v>
      </c>
      <c r="CN62" s="8">
        <v>-141</v>
      </c>
      <c r="CO62" s="8">
        <v>634.6</v>
      </c>
      <c r="CP62" s="8">
        <v>-20.4</v>
      </c>
      <c r="CQ62" s="8">
        <v>-259.9</v>
      </c>
      <c r="CR62" s="8">
        <v>-134.5</v>
      </c>
      <c r="CS62" s="8">
        <v>-26.9</v>
      </c>
      <c r="CT62" s="8">
        <v>-58.2</v>
      </c>
      <c r="CU62" s="8">
        <v>246.3</v>
      </c>
      <c r="CV62" s="8">
        <v>98.3</v>
      </c>
      <c r="CW62" s="8">
        <v>-188.7</v>
      </c>
      <c r="CX62" s="8">
        <v>-198.7</v>
      </c>
      <c r="CY62" s="8">
        <v>-358.5</v>
      </c>
      <c r="CZ62" s="8">
        <v>-248.5</v>
      </c>
      <c r="DA62" s="8">
        <v>-212.1</v>
      </c>
      <c r="DB62" s="8">
        <v>-213.2</v>
      </c>
      <c r="DC62" s="8">
        <v>-182.1</v>
      </c>
      <c r="DD62" s="8">
        <v>350.3</v>
      </c>
      <c r="DE62" s="8">
        <v>203.6</v>
      </c>
      <c r="DF62" s="8">
        <v>12.2</v>
      </c>
      <c r="DG62" s="8">
        <v>9.199999999999999</v>
      </c>
      <c r="DH62" s="8">
        <v>-115.9</v>
      </c>
      <c r="DI62" s="8">
        <v>195.4</v>
      </c>
      <c r="DJ62" s="8">
        <v>32.7</v>
      </c>
      <c r="DK62" s="8">
        <v>165.8</v>
      </c>
      <c r="DL62" s="8">
        <v>121.8</v>
      </c>
      <c r="DM62" s="8">
        <v>-31.6</v>
      </c>
      <c r="DN62" s="8">
        <v>-73.8</v>
      </c>
      <c r="DO62" s="8">
        <v>15.2</v>
      </c>
      <c r="DP62" s="8">
        <v>-62.2</v>
      </c>
      <c r="DQ62" s="8">
        <v>-8.6</v>
      </c>
      <c r="DR62" s="8">
        <v>100.2</v>
      </c>
    </row>
    <row r="63" spans="1:122">
      <c r="A63" s="7">
        <v>34.7</v>
      </c>
      <c r="B63" s="8">
        <v>18.3</v>
      </c>
      <c r="C63" s="8">
        <v>23.3</v>
      </c>
      <c r="D63" s="8">
        <v>15.5</v>
      </c>
      <c r="E63" s="8">
        <v>47</v>
      </c>
      <c r="F63" s="8">
        <v>0.9</v>
      </c>
      <c r="G63" s="8">
        <v>-33.9</v>
      </c>
      <c r="H63" s="8">
        <v>18.4</v>
      </c>
      <c r="I63" s="8">
        <v>-46.6</v>
      </c>
      <c r="J63" s="8">
        <v>-261.4</v>
      </c>
      <c r="K63" s="8">
        <v>13.7</v>
      </c>
      <c r="L63" s="8">
        <v>-168.9</v>
      </c>
      <c r="M63" s="8">
        <v>72.59999999999999</v>
      </c>
      <c r="N63" s="8">
        <v>258.8</v>
      </c>
      <c r="O63" s="8">
        <v>-125.8</v>
      </c>
      <c r="P63" s="8">
        <v>-24.6</v>
      </c>
      <c r="Q63" s="8">
        <v>77.8</v>
      </c>
      <c r="R63" s="8">
        <v>-123.6</v>
      </c>
      <c r="S63" s="8">
        <v>-134.1</v>
      </c>
      <c r="T63" s="8">
        <v>37.5</v>
      </c>
      <c r="U63" s="8">
        <v>-72.59999999999999</v>
      </c>
      <c r="V63" s="8">
        <v>-157.3</v>
      </c>
      <c r="W63" s="8">
        <v>-123.4</v>
      </c>
      <c r="X63" s="8">
        <v>26.7</v>
      </c>
      <c r="Y63" s="8">
        <v>228.8</v>
      </c>
      <c r="Z63" s="8">
        <v>292</v>
      </c>
      <c r="AA63" s="8">
        <v>-150.2</v>
      </c>
      <c r="AB63" s="8">
        <v>-207</v>
      </c>
      <c r="AC63" s="8">
        <v>-160.2</v>
      </c>
      <c r="AD63" s="8">
        <v>-197.6</v>
      </c>
      <c r="AE63" s="8">
        <v>-219.3</v>
      </c>
      <c r="AF63" s="8">
        <v>-183.8</v>
      </c>
      <c r="AG63" s="8">
        <v>-147</v>
      </c>
      <c r="AH63" s="8">
        <v>111.8</v>
      </c>
      <c r="AI63" s="8">
        <v>58.7</v>
      </c>
      <c r="AJ63" s="8">
        <v>-58.3</v>
      </c>
      <c r="AK63" s="8">
        <v>-149.7</v>
      </c>
      <c r="AL63" s="8">
        <v>-193.5</v>
      </c>
      <c r="AM63" s="8">
        <v>-187.9</v>
      </c>
      <c r="AN63" s="8">
        <v>190.4</v>
      </c>
      <c r="AO63" s="8">
        <v>-28.6</v>
      </c>
      <c r="AP63" s="8">
        <v>-159.4</v>
      </c>
      <c r="AQ63" s="8">
        <v>-136.1</v>
      </c>
      <c r="AR63" s="8">
        <v>-130.1</v>
      </c>
      <c r="AS63" s="8">
        <v>-134.1</v>
      </c>
      <c r="AT63" s="8">
        <v>-129.1</v>
      </c>
      <c r="AU63" s="8">
        <v>8.300000000000001</v>
      </c>
      <c r="AV63" s="8">
        <v>-124.1</v>
      </c>
      <c r="AW63" s="8">
        <v>-234.9</v>
      </c>
      <c r="AX63" s="8">
        <v>-198.1</v>
      </c>
      <c r="AY63" s="8">
        <v>93.40000000000001</v>
      </c>
      <c r="AZ63" s="8">
        <v>-294.4</v>
      </c>
      <c r="BA63" s="8">
        <v>-278</v>
      </c>
      <c r="BB63" s="8">
        <v>-260.5</v>
      </c>
      <c r="BC63" s="8">
        <v>-231.9</v>
      </c>
      <c r="BD63" s="8">
        <v>-198.4</v>
      </c>
      <c r="BE63" s="8">
        <v>-130.6</v>
      </c>
      <c r="BF63" s="8">
        <v>24.4</v>
      </c>
      <c r="BG63" s="8">
        <v>14</v>
      </c>
      <c r="BH63" s="8">
        <v>-179.9</v>
      </c>
      <c r="BI63" s="8">
        <v>-226.1</v>
      </c>
      <c r="BJ63" s="8">
        <v>-230</v>
      </c>
      <c r="BK63" s="8">
        <v>-267.2</v>
      </c>
      <c r="BL63" s="8">
        <v>-299.1</v>
      </c>
      <c r="BM63" s="8">
        <v>-349.5</v>
      </c>
      <c r="BN63" s="8">
        <v>-279.9</v>
      </c>
      <c r="BO63" s="8">
        <v>-203.2</v>
      </c>
      <c r="BP63" s="8">
        <v>-244.4</v>
      </c>
      <c r="BQ63" s="8">
        <v>-314.9</v>
      </c>
      <c r="BR63" s="8">
        <v>-289.6</v>
      </c>
      <c r="BS63" s="8">
        <v>-278.4</v>
      </c>
      <c r="BT63" s="8">
        <v>-284</v>
      </c>
      <c r="BU63" s="8">
        <v>-191.8</v>
      </c>
      <c r="BV63" s="8">
        <v>-192.4</v>
      </c>
      <c r="BW63" s="8">
        <v>-121.4</v>
      </c>
      <c r="BX63" s="8">
        <v>-88.90000000000001</v>
      </c>
      <c r="BY63" s="8">
        <v>-36.8</v>
      </c>
      <c r="BZ63" s="8">
        <v>-42.4</v>
      </c>
      <c r="CA63" s="8">
        <v>-156.3</v>
      </c>
      <c r="CB63" s="8">
        <v>202</v>
      </c>
      <c r="CC63" s="8">
        <v>120.4</v>
      </c>
      <c r="CD63" s="8">
        <v>-6.5</v>
      </c>
      <c r="CE63" s="8">
        <v>-177.5</v>
      </c>
      <c r="CF63" s="8">
        <v>-292.1</v>
      </c>
      <c r="CG63" s="8">
        <v>-235.5</v>
      </c>
      <c r="CH63" s="8">
        <v>-183.3</v>
      </c>
      <c r="CI63" s="8">
        <v>-129.9</v>
      </c>
      <c r="CJ63" s="8">
        <v>-88.5</v>
      </c>
      <c r="CK63" s="8">
        <v>-169.5</v>
      </c>
      <c r="CL63" s="8">
        <v>-241.5</v>
      </c>
      <c r="CM63" s="8">
        <v>-165</v>
      </c>
      <c r="CN63" s="8">
        <v>-237.1</v>
      </c>
      <c r="CO63" s="8">
        <v>-162.2</v>
      </c>
      <c r="CP63" s="8">
        <v>-316.4</v>
      </c>
      <c r="CQ63" s="8">
        <v>-187.1</v>
      </c>
      <c r="CR63" s="8">
        <v>-244.8</v>
      </c>
      <c r="CS63" s="8">
        <v>-271.4</v>
      </c>
      <c r="CT63" s="8">
        <v>-225.6</v>
      </c>
      <c r="CU63" s="8">
        <v>78.3</v>
      </c>
      <c r="CV63" s="8">
        <v>335.6</v>
      </c>
      <c r="CW63" s="8">
        <v>-181.3</v>
      </c>
      <c r="CX63" s="8">
        <v>-320</v>
      </c>
      <c r="CY63" s="8">
        <v>-649.6</v>
      </c>
      <c r="CZ63" s="8">
        <v>-291.6</v>
      </c>
      <c r="DA63" s="8">
        <v>-55.9</v>
      </c>
      <c r="DB63" s="8">
        <v>-188.8</v>
      </c>
      <c r="DC63" s="8">
        <v>-187.9</v>
      </c>
      <c r="DD63" s="8">
        <v>-18.9</v>
      </c>
      <c r="DE63" s="8">
        <v>102.4</v>
      </c>
      <c r="DF63" s="8">
        <v>48.3</v>
      </c>
      <c r="DG63" s="8">
        <v>10.9</v>
      </c>
      <c r="DH63" s="8">
        <v>61</v>
      </c>
      <c r="DI63" s="8">
        <v>78.40000000000001</v>
      </c>
      <c r="DJ63" s="8">
        <v>181.9</v>
      </c>
      <c r="DK63" s="8">
        <v>311.2</v>
      </c>
      <c r="DL63" s="8">
        <v>92.5</v>
      </c>
      <c r="DM63" s="8">
        <v>60.5</v>
      </c>
      <c r="DN63" s="8">
        <v>-48.8</v>
      </c>
      <c r="DO63" s="8">
        <v>11.2</v>
      </c>
      <c r="DP63" s="8">
        <v>-13.4</v>
      </c>
      <c r="DQ63" s="8">
        <v>46.1</v>
      </c>
      <c r="DR63" s="8">
        <v>123.1</v>
      </c>
    </row>
    <row r="64" spans="1:122">
      <c r="A64" s="7">
        <v>34.725</v>
      </c>
      <c r="B64" s="8">
        <v>14.3</v>
      </c>
      <c r="C64" s="8">
        <v>169.4</v>
      </c>
      <c r="D64" s="8">
        <v>6.9</v>
      </c>
      <c r="E64" s="8">
        <v>-56.1</v>
      </c>
      <c r="F64" s="8">
        <v>-81.40000000000001</v>
      </c>
      <c r="G64" s="8">
        <v>-93.40000000000001</v>
      </c>
      <c r="H64" s="8">
        <v>-207.4</v>
      </c>
      <c r="I64" s="8">
        <v>-307.3</v>
      </c>
      <c r="J64" s="8">
        <v>-166.7</v>
      </c>
      <c r="K64" s="8">
        <v>-300.6</v>
      </c>
      <c r="L64" s="8">
        <v>-76.2</v>
      </c>
      <c r="M64" s="8">
        <v>-98.90000000000001</v>
      </c>
      <c r="N64" s="8">
        <v>135.4</v>
      </c>
      <c r="O64" s="8">
        <v>110.7</v>
      </c>
      <c r="P64" s="8">
        <v>64.7</v>
      </c>
      <c r="Q64" s="8">
        <v>-84.40000000000001</v>
      </c>
      <c r="R64" s="8">
        <v>-196.2</v>
      </c>
      <c r="S64" s="8">
        <v>-93.7</v>
      </c>
      <c r="T64" s="8">
        <v>-158.6</v>
      </c>
      <c r="U64" s="8">
        <v>-182.9</v>
      </c>
      <c r="V64" s="8">
        <v>-196.3</v>
      </c>
      <c r="W64" s="8">
        <v>-236.2</v>
      </c>
      <c r="X64" s="8">
        <v>-217.2</v>
      </c>
      <c r="Y64" s="8">
        <v>-408.9</v>
      </c>
      <c r="Z64" s="8">
        <v>-253.6</v>
      </c>
      <c r="AA64" s="8">
        <v>-221.6</v>
      </c>
      <c r="AB64" s="8">
        <v>142.5</v>
      </c>
      <c r="AC64" s="8">
        <v>-187</v>
      </c>
      <c r="AD64" s="8">
        <v>-154.5</v>
      </c>
      <c r="AE64" s="8">
        <v>-126</v>
      </c>
      <c r="AF64" s="8">
        <v>-92.5</v>
      </c>
      <c r="AG64" s="8">
        <v>-1.7</v>
      </c>
      <c r="AH64" s="8">
        <v>-128</v>
      </c>
      <c r="AI64" s="8">
        <v>-70.2</v>
      </c>
      <c r="AJ64" s="8">
        <v>-187.9</v>
      </c>
      <c r="AK64" s="8">
        <v>-213.2</v>
      </c>
      <c r="AL64" s="8">
        <v>-149.8</v>
      </c>
      <c r="AM64" s="8">
        <v>-187.1</v>
      </c>
      <c r="AN64" s="8">
        <v>-175.7</v>
      </c>
      <c r="AO64" s="8">
        <v>-141.5</v>
      </c>
      <c r="AP64" s="8">
        <v>-167.5</v>
      </c>
      <c r="AQ64" s="8">
        <v>-92.2</v>
      </c>
      <c r="AR64" s="8">
        <v>-92.3</v>
      </c>
      <c r="AS64" s="8">
        <v>-105.5</v>
      </c>
      <c r="AT64" s="8">
        <v>-40.4</v>
      </c>
      <c r="AU64" s="8">
        <v>-90.8</v>
      </c>
      <c r="AV64" s="8">
        <v>-193.9</v>
      </c>
      <c r="AW64" s="8">
        <v>-217.3</v>
      </c>
      <c r="AX64" s="8">
        <v>-259.7</v>
      </c>
      <c r="AY64" s="8">
        <v>-360.5</v>
      </c>
      <c r="AZ64" s="8">
        <v>-393.5</v>
      </c>
      <c r="BA64" s="8">
        <v>-295.5</v>
      </c>
      <c r="BB64" s="8">
        <v>-329.7</v>
      </c>
      <c r="BC64" s="8">
        <v>-339.1</v>
      </c>
      <c r="BD64" s="8">
        <v>-263.9</v>
      </c>
      <c r="BE64" s="8">
        <v>-251.2</v>
      </c>
      <c r="BF64" s="8">
        <v>-95.40000000000001</v>
      </c>
      <c r="BG64" s="8">
        <v>-216.8</v>
      </c>
      <c r="BH64" s="8">
        <v>-196.3</v>
      </c>
      <c r="BI64" s="8">
        <v>-218.3</v>
      </c>
      <c r="BJ64" s="8">
        <v>-205.5</v>
      </c>
      <c r="BK64" s="8">
        <v>-224.7</v>
      </c>
      <c r="BL64" s="8">
        <v>-226.9</v>
      </c>
      <c r="BM64" s="8">
        <v>-174.6</v>
      </c>
      <c r="BN64" s="8">
        <v>-204.1</v>
      </c>
      <c r="BO64" s="8">
        <v>-238.3</v>
      </c>
      <c r="BP64" s="8">
        <v>-238.8</v>
      </c>
      <c r="BQ64" s="8">
        <v>-255.6</v>
      </c>
      <c r="BR64" s="8">
        <v>-259.9</v>
      </c>
      <c r="BS64" s="8">
        <v>-253.7</v>
      </c>
      <c r="BT64" s="8">
        <v>-285.9</v>
      </c>
      <c r="BU64" s="8">
        <v>-258.3</v>
      </c>
      <c r="BV64" s="8">
        <v>-228.5</v>
      </c>
      <c r="BW64" s="8">
        <v>-159.9</v>
      </c>
      <c r="BX64" s="8">
        <v>-140.1</v>
      </c>
      <c r="BY64" s="8">
        <v>22.2</v>
      </c>
      <c r="BZ64" s="8">
        <v>83.09999999999999</v>
      </c>
      <c r="CA64" s="8">
        <v>6.6</v>
      </c>
      <c r="CB64" s="8">
        <v>21.7</v>
      </c>
      <c r="CC64" s="8">
        <v>163.3</v>
      </c>
      <c r="CD64" s="8">
        <v>-50.9</v>
      </c>
      <c r="CE64" s="8">
        <v>-266.6</v>
      </c>
      <c r="CF64" s="8">
        <v>-239.9</v>
      </c>
      <c r="CG64" s="8">
        <v>-315.1</v>
      </c>
      <c r="CH64" s="8">
        <v>-242.2</v>
      </c>
      <c r="CI64" s="8">
        <v>98.8</v>
      </c>
      <c r="CJ64" s="8">
        <v>358.3</v>
      </c>
      <c r="CK64" s="8">
        <v>-168.2</v>
      </c>
      <c r="CL64" s="8">
        <v>-93.59999999999999</v>
      </c>
      <c r="CM64" s="8">
        <v>-191.8</v>
      </c>
      <c r="CN64" s="8">
        <v>-335.8</v>
      </c>
      <c r="CO64" s="8">
        <v>-364.6</v>
      </c>
      <c r="CP64" s="8">
        <v>-327.9</v>
      </c>
      <c r="CQ64" s="8">
        <v>-273.3</v>
      </c>
      <c r="CR64" s="8">
        <v>-276.9</v>
      </c>
      <c r="CS64" s="8">
        <v>-291</v>
      </c>
      <c r="CT64" s="8">
        <v>-316</v>
      </c>
      <c r="CU64" s="8">
        <v>-346.8</v>
      </c>
      <c r="CV64" s="8">
        <v>-300.7</v>
      </c>
      <c r="CW64" s="8">
        <v>-203</v>
      </c>
      <c r="CX64" s="8">
        <v>-104.6</v>
      </c>
      <c r="CY64" s="8">
        <v>-155.9</v>
      </c>
      <c r="CZ64" s="8">
        <v>17</v>
      </c>
      <c r="DA64" s="8">
        <v>82.3</v>
      </c>
      <c r="DB64" s="8">
        <v>-147.3</v>
      </c>
      <c r="DC64" s="8">
        <v>-126.1</v>
      </c>
      <c r="DD64" s="8">
        <v>413.5</v>
      </c>
      <c r="DE64" s="8">
        <v>292.2</v>
      </c>
      <c r="DF64" s="8">
        <v>-105.9</v>
      </c>
      <c r="DG64" s="8">
        <v>48</v>
      </c>
      <c r="DH64" s="8">
        <v>12.7</v>
      </c>
      <c r="DI64" s="8">
        <v>80</v>
      </c>
      <c r="DJ64" s="8">
        <v>93.5</v>
      </c>
      <c r="DK64" s="8">
        <v>87.40000000000001</v>
      </c>
      <c r="DL64" s="8">
        <v>140.3</v>
      </c>
      <c r="DM64" s="8">
        <v>55</v>
      </c>
      <c r="DN64" s="8">
        <v>173.4</v>
      </c>
      <c r="DO64" s="8">
        <v>63</v>
      </c>
      <c r="DP64" s="8">
        <v>127.2</v>
      </c>
      <c r="DQ64" s="8">
        <v>84.8</v>
      </c>
      <c r="DR64" s="8">
        <v>31.8</v>
      </c>
    </row>
    <row r="65" spans="1:147">
      <c r="A65" s="7">
        <v>34.75</v>
      </c>
      <c r="B65" s="8">
        <v>136.1</v>
      </c>
      <c r="C65" s="8">
        <v>98.3</v>
      </c>
      <c r="D65" s="8">
        <v>41.4</v>
      </c>
      <c r="E65" s="8">
        <v>-63.7</v>
      </c>
      <c r="F65" s="8">
        <v>-113.2</v>
      </c>
      <c r="G65" s="8">
        <v>-127.5</v>
      </c>
      <c r="H65" s="8">
        <v>-186.7</v>
      </c>
      <c r="I65" s="8">
        <v>14.6</v>
      </c>
      <c r="J65" s="8">
        <v>17.5</v>
      </c>
      <c r="K65" s="8">
        <v>-154.8</v>
      </c>
      <c r="L65" s="8">
        <v>-73</v>
      </c>
      <c r="M65" s="8">
        <v>-155.3</v>
      </c>
      <c r="N65" s="8">
        <v>-82.59999999999999</v>
      </c>
      <c r="O65" s="8">
        <v>-23.4</v>
      </c>
      <c r="P65" s="8">
        <v>-49.6</v>
      </c>
      <c r="Q65" s="8">
        <v>-312.6</v>
      </c>
      <c r="R65" s="8">
        <v>-73.09999999999999</v>
      </c>
      <c r="S65" s="8">
        <v>-72.5</v>
      </c>
      <c r="T65" s="8">
        <v>-127.9</v>
      </c>
      <c r="U65" s="8">
        <v>-152.6</v>
      </c>
      <c r="V65" s="8">
        <v>-109.6</v>
      </c>
      <c r="W65" s="8">
        <v>-150.7</v>
      </c>
      <c r="X65" s="8">
        <v>-278.3</v>
      </c>
      <c r="Y65" s="8">
        <v>-136.1</v>
      </c>
      <c r="Z65" s="8">
        <v>-224.3</v>
      </c>
      <c r="AA65" s="8">
        <v>-242.4</v>
      </c>
      <c r="AB65" s="8">
        <v>-236.9</v>
      </c>
      <c r="AC65" s="8">
        <v>-105.8</v>
      </c>
      <c r="AD65" s="8">
        <v>-111.8</v>
      </c>
      <c r="AE65" s="8">
        <v>-57.2</v>
      </c>
      <c r="AF65" s="8">
        <v>-46.5</v>
      </c>
      <c r="AG65" s="8">
        <v>-186.3</v>
      </c>
      <c r="AH65" s="8">
        <v>-75</v>
      </c>
      <c r="AI65" s="8">
        <v>141.4</v>
      </c>
      <c r="AJ65" s="8">
        <v>-43.2</v>
      </c>
      <c r="AK65" s="8">
        <v>-157.3</v>
      </c>
      <c r="AL65" s="8">
        <v>-138.2</v>
      </c>
      <c r="AM65" s="8">
        <v>-119.3</v>
      </c>
      <c r="AN65" s="8">
        <v>-182.9</v>
      </c>
      <c r="AO65" s="8">
        <v>-135</v>
      </c>
      <c r="AP65" s="8">
        <v>29.9</v>
      </c>
      <c r="AQ65" s="8">
        <v>-10.9</v>
      </c>
      <c r="AR65" s="8">
        <v>-30.5</v>
      </c>
      <c r="AS65" s="8">
        <v>-59.6</v>
      </c>
      <c r="AT65" s="8">
        <v>-31.8</v>
      </c>
      <c r="AU65" s="8">
        <v>-28.8</v>
      </c>
      <c r="AV65" s="8">
        <v>-151.8</v>
      </c>
      <c r="AW65" s="8">
        <v>-163</v>
      </c>
      <c r="AX65" s="8">
        <v>-168.4</v>
      </c>
      <c r="AY65" s="8">
        <v>-174.8</v>
      </c>
      <c r="AZ65" s="8">
        <v>-195.2</v>
      </c>
      <c r="BA65" s="8">
        <v>-255.8</v>
      </c>
      <c r="BB65" s="8">
        <v>-258.6</v>
      </c>
      <c r="BC65" s="8">
        <v>-267.8</v>
      </c>
      <c r="BD65" s="8">
        <v>-207.3</v>
      </c>
      <c r="BE65" s="8">
        <v>-210.8</v>
      </c>
      <c r="BF65" s="8">
        <v>-350.2</v>
      </c>
      <c r="BG65" s="8">
        <v>-243.2</v>
      </c>
      <c r="BH65" s="8">
        <v>-304.5</v>
      </c>
      <c r="BI65" s="8">
        <v>-270.5</v>
      </c>
      <c r="BJ65" s="8">
        <v>-130.9</v>
      </c>
      <c r="BK65" s="8">
        <v>-109.5</v>
      </c>
      <c r="BL65" s="8">
        <v>-143.3</v>
      </c>
      <c r="BM65" s="8">
        <v>-120.4</v>
      </c>
      <c r="BN65" s="8">
        <v>22.4</v>
      </c>
      <c r="BO65" s="8">
        <v>165.3</v>
      </c>
      <c r="BP65" s="8">
        <v>57.6</v>
      </c>
      <c r="BQ65" s="8">
        <v>-67.40000000000001</v>
      </c>
      <c r="BR65" s="8">
        <v>-143.4</v>
      </c>
      <c r="BS65" s="8">
        <v>-191.8</v>
      </c>
      <c r="BT65" s="8">
        <v>-291.8</v>
      </c>
      <c r="BU65" s="8">
        <v>-152.6</v>
      </c>
      <c r="BV65" s="8">
        <v>-239.8</v>
      </c>
      <c r="BW65" s="8">
        <v>-184.2</v>
      </c>
      <c r="BX65" s="8">
        <v>-175.2</v>
      </c>
      <c r="BY65" s="8">
        <v>-235.7</v>
      </c>
      <c r="BZ65" s="8">
        <v>104.1</v>
      </c>
      <c r="CA65" s="8">
        <v>159.1</v>
      </c>
      <c r="CB65" s="8">
        <v>157.3</v>
      </c>
      <c r="CC65" s="8">
        <v>263.8</v>
      </c>
      <c r="CD65" s="8">
        <v>657</v>
      </c>
      <c r="CE65" s="8">
        <v>-54.4</v>
      </c>
      <c r="CF65" s="8">
        <v>-108.2</v>
      </c>
      <c r="CG65" s="8">
        <v>-144</v>
      </c>
      <c r="CH65" s="8">
        <v>-134.3</v>
      </c>
      <c r="CI65" s="8">
        <v>-24</v>
      </c>
      <c r="CJ65" s="8">
        <v>254.3</v>
      </c>
      <c r="CK65" s="8">
        <v>-98.3</v>
      </c>
      <c r="CL65" s="8">
        <v>-111.4</v>
      </c>
      <c r="CM65" s="8">
        <v>-162.2</v>
      </c>
      <c r="CN65" s="8">
        <v>-107.8</v>
      </c>
      <c r="CO65" s="8">
        <v>-113.1</v>
      </c>
      <c r="CP65" s="8">
        <v>-91.3</v>
      </c>
      <c r="CQ65" s="8">
        <v>-154.5</v>
      </c>
      <c r="CR65" s="8">
        <v>-212.6</v>
      </c>
      <c r="CS65" s="8">
        <v>-252.1</v>
      </c>
      <c r="CT65" s="8">
        <v>-234.6</v>
      </c>
      <c r="CU65" s="8">
        <v>-249.6</v>
      </c>
      <c r="CV65" s="8">
        <v>-143.1</v>
      </c>
      <c r="CW65" s="8">
        <v>-72.90000000000001</v>
      </c>
      <c r="CX65" s="8">
        <v>-203.5</v>
      </c>
      <c r="CY65" s="8">
        <v>-61.1</v>
      </c>
      <c r="CZ65" s="8">
        <v>680.7</v>
      </c>
      <c r="DA65" s="8">
        <v>17.8</v>
      </c>
      <c r="DB65" s="8">
        <v>-149.6</v>
      </c>
      <c r="DC65" s="8">
        <v>-186.1</v>
      </c>
      <c r="DD65" s="8">
        <v>336.7</v>
      </c>
      <c r="DE65" s="8">
        <v>332.4</v>
      </c>
      <c r="DF65" s="8">
        <v>-45.6</v>
      </c>
      <c r="DG65" s="8">
        <v>101.2</v>
      </c>
      <c r="DH65" s="8">
        <v>0.2</v>
      </c>
      <c r="DI65" s="8">
        <v>-48.8</v>
      </c>
      <c r="DJ65" s="8">
        <v>154.2</v>
      </c>
      <c r="DK65" s="8">
        <v>161.8</v>
      </c>
      <c r="DL65" s="8">
        <v>326.7</v>
      </c>
      <c r="DM65" s="8">
        <v>712.9</v>
      </c>
      <c r="DN65" s="8">
        <v>-37.8</v>
      </c>
      <c r="DO65" s="8">
        <v>195</v>
      </c>
      <c r="DP65" s="8">
        <v>151.1</v>
      </c>
      <c r="DQ65" s="8">
        <v>206.7</v>
      </c>
      <c r="DR65" s="8">
        <v>316.7</v>
      </c>
    </row>
    <row r="66" spans="1:147">
      <c r="A66" s="7">
        <v>34.775</v>
      </c>
      <c r="B66" s="8">
        <v>196.9</v>
      </c>
      <c r="C66" s="8">
        <v>161.5</v>
      </c>
      <c r="D66" s="8">
        <v>305.8</v>
      </c>
      <c r="E66" s="8">
        <v>41.2</v>
      </c>
      <c r="F66" s="8">
        <v>-36.5</v>
      </c>
      <c r="G66" s="8">
        <v>-232.8</v>
      </c>
      <c r="H66" s="8">
        <v>-147.1</v>
      </c>
      <c r="I66" s="8">
        <v>-54.3</v>
      </c>
      <c r="J66" s="8">
        <v>-40.8</v>
      </c>
      <c r="K66" s="8">
        <v>-66.09999999999999</v>
      </c>
      <c r="L66" s="8">
        <v>53.7</v>
      </c>
      <c r="M66" s="8">
        <v>-211.4</v>
      </c>
      <c r="N66" s="8">
        <v>-219.6</v>
      </c>
      <c r="O66" s="8">
        <v>-387</v>
      </c>
      <c r="P66" s="8">
        <v>-398.6</v>
      </c>
      <c r="Q66" s="8">
        <v>-192.6</v>
      </c>
      <c r="R66" s="8">
        <v>94.09999999999999</v>
      </c>
      <c r="S66" s="8">
        <v>49.4</v>
      </c>
      <c r="T66" s="8">
        <v>-63.5</v>
      </c>
      <c r="U66" s="8">
        <v>-116.1</v>
      </c>
      <c r="V66" s="8">
        <v>-238.5</v>
      </c>
      <c r="W66" s="8">
        <v>-162.1</v>
      </c>
      <c r="X66" s="8">
        <v>-222.6</v>
      </c>
      <c r="Y66" s="8">
        <v>-206.7</v>
      </c>
      <c r="Z66" s="8">
        <v>-191.9</v>
      </c>
      <c r="AA66" s="8">
        <v>-193</v>
      </c>
      <c r="AB66" s="8">
        <v>-186.7</v>
      </c>
      <c r="AC66" s="8">
        <v>-274.6</v>
      </c>
      <c r="AD66" s="8">
        <v>-113.9</v>
      </c>
      <c r="AE66" s="8">
        <v>153.7</v>
      </c>
      <c r="AF66" s="8">
        <v>-25</v>
      </c>
      <c r="AG66" s="8">
        <v>-76.7</v>
      </c>
      <c r="AH66" s="8">
        <v>-98.2</v>
      </c>
      <c r="AI66" s="8">
        <v>107.6</v>
      </c>
      <c r="AJ66" s="8">
        <v>-142.4</v>
      </c>
      <c r="AK66" s="8">
        <v>-163.8</v>
      </c>
      <c r="AL66" s="8">
        <v>-148.2</v>
      </c>
      <c r="AM66" s="8">
        <v>-107.9</v>
      </c>
      <c r="AN66" s="8">
        <v>-136.6</v>
      </c>
      <c r="AO66" s="8">
        <v>-179.9</v>
      </c>
      <c r="AP66" s="8">
        <v>4.8</v>
      </c>
      <c r="AQ66" s="8">
        <v>-4</v>
      </c>
      <c r="AR66" s="8">
        <v>10.7</v>
      </c>
      <c r="AS66" s="8">
        <v>37.2</v>
      </c>
      <c r="AT66" s="8">
        <v>90.3</v>
      </c>
      <c r="AU66" s="8">
        <v>-34.3</v>
      </c>
      <c r="AV66" s="8">
        <v>-103.9</v>
      </c>
      <c r="AW66" s="8">
        <v>-138.4</v>
      </c>
      <c r="AX66" s="8">
        <v>-163</v>
      </c>
      <c r="AY66" s="8">
        <v>-125.9</v>
      </c>
      <c r="AZ66" s="8">
        <v>-161</v>
      </c>
      <c r="BA66" s="8">
        <v>-117.4</v>
      </c>
      <c r="BB66" s="8">
        <v>-214.9</v>
      </c>
      <c r="BC66" s="8">
        <v>-213.5</v>
      </c>
      <c r="BD66" s="8">
        <v>-192.4</v>
      </c>
      <c r="BE66" s="8">
        <v>-201.3</v>
      </c>
      <c r="BF66" s="8">
        <v>-215.5</v>
      </c>
      <c r="BG66" s="8">
        <v>-196.8</v>
      </c>
      <c r="BH66" s="8">
        <v>-223.7</v>
      </c>
      <c r="BI66" s="8">
        <v>-255.5</v>
      </c>
      <c r="BJ66" s="8">
        <v>-237.1</v>
      </c>
      <c r="BK66" s="8">
        <v>-139.1</v>
      </c>
      <c r="BL66" s="8">
        <v>-45.8</v>
      </c>
      <c r="BM66" s="8">
        <v>-35.4</v>
      </c>
      <c r="BN66" s="8">
        <v>26.1</v>
      </c>
      <c r="BO66" s="8">
        <v>-116</v>
      </c>
      <c r="BP66" s="8">
        <v>-42.7</v>
      </c>
      <c r="BQ66" s="8">
        <v>-60.5</v>
      </c>
      <c r="BR66" s="8">
        <v>-111.1</v>
      </c>
      <c r="BS66" s="8">
        <v>-155.2</v>
      </c>
      <c r="BT66" s="8">
        <v>-317.4</v>
      </c>
      <c r="BU66" s="8">
        <v>-229.6</v>
      </c>
      <c r="BV66" s="8">
        <v>-230.3</v>
      </c>
      <c r="BW66" s="8">
        <v>-146.6</v>
      </c>
      <c r="BX66" s="8">
        <v>-124.4</v>
      </c>
      <c r="BY66" s="8">
        <v>-132.4</v>
      </c>
      <c r="BZ66" s="8">
        <v>16.1</v>
      </c>
      <c r="CA66" s="8">
        <v>177.5</v>
      </c>
      <c r="CB66" s="8">
        <v>151.2</v>
      </c>
      <c r="CC66" s="8">
        <v>145.6</v>
      </c>
      <c r="CD66" s="8">
        <v>439.5</v>
      </c>
      <c r="CE66" s="8">
        <v>19.4</v>
      </c>
      <c r="CF66" s="8">
        <v>-169.7</v>
      </c>
      <c r="CG66" s="8">
        <v>-255.7</v>
      </c>
      <c r="CH66" s="8">
        <v>-186</v>
      </c>
      <c r="CI66" s="8">
        <v>-54.1</v>
      </c>
      <c r="CJ66" s="8">
        <v>-289.9</v>
      </c>
      <c r="CK66" s="8">
        <v>105.8</v>
      </c>
      <c r="CL66" s="8">
        <v>-144.6</v>
      </c>
      <c r="CM66" s="8">
        <v>-129.8</v>
      </c>
      <c r="CN66" s="8">
        <v>-145.9</v>
      </c>
      <c r="CO66" s="8">
        <v>-198.2</v>
      </c>
      <c r="CP66" s="8">
        <v>-77</v>
      </c>
      <c r="CQ66" s="8">
        <v>-89</v>
      </c>
      <c r="CR66" s="8">
        <v>-117.8</v>
      </c>
      <c r="CS66" s="8">
        <v>-102.1</v>
      </c>
      <c r="CT66" s="8">
        <v>-127</v>
      </c>
      <c r="CU66" s="8">
        <v>-103.6</v>
      </c>
      <c r="CV66" s="8">
        <v>-26.1</v>
      </c>
      <c r="CW66" s="8">
        <v>129.5</v>
      </c>
      <c r="CX66" s="8">
        <v>209.3</v>
      </c>
      <c r="CY66" s="8">
        <v>166</v>
      </c>
      <c r="CZ66" s="8">
        <v>-63.4</v>
      </c>
      <c r="DA66" s="8">
        <v>-44</v>
      </c>
      <c r="DB66" s="8">
        <v>-102.9</v>
      </c>
      <c r="DC66" s="8">
        <v>-153.9</v>
      </c>
      <c r="DD66" s="8">
        <v>302.4</v>
      </c>
      <c r="DE66" s="8">
        <v>337.4</v>
      </c>
      <c r="DF66" s="8">
        <v>-82.3</v>
      </c>
      <c r="DG66" s="8">
        <v>-2.6</v>
      </c>
      <c r="DH66" s="8">
        <v>-36.6</v>
      </c>
      <c r="DI66" s="8">
        <v>-29.6</v>
      </c>
      <c r="DJ66" s="8">
        <v>67.09999999999999</v>
      </c>
      <c r="DK66" s="8">
        <v>47.4</v>
      </c>
      <c r="DL66" s="8">
        <v>107.6</v>
      </c>
      <c r="DM66" s="8">
        <v>98</v>
      </c>
      <c r="DN66" s="8">
        <v>204.6</v>
      </c>
      <c r="DO66" s="8">
        <v>206.2</v>
      </c>
      <c r="DP66" s="8">
        <v>-24.7</v>
      </c>
      <c r="DQ66" s="8">
        <v>229.5</v>
      </c>
      <c r="DR66" s="8">
        <v>427.9</v>
      </c>
    </row>
    <row r="67" spans="1:147">
      <c r="A67" s="7">
        <v>34.8</v>
      </c>
      <c r="D67" s="8">
        <v>81.2</v>
      </c>
      <c r="E67" s="8">
        <v>167.4</v>
      </c>
      <c r="F67" s="8">
        <v>72.40000000000001</v>
      </c>
      <c r="G67" s="8">
        <v>-91</v>
      </c>
      <c r="H67" s="8">
        <v>-32.6</v>
      </c>
      <c r="I67" s="8">
        <v>-45.4</v>
      </c>
      <c r="J67" s="8">
        <v>-67.90000000000001</v>
      </c>
      <c r="K67" s="8">
        <v>-82.90000000000001</v>
      </c>
      <c r="L67" s="8">
        <v>87</v>
      </c>
      <c r="M67" s="8">
        <v>-171.4</v>
      </c>
      <c r="N67" s="8">
        <v>-278.2</v>
      </c>
      <c r="O67" s="8">
        <v>-52.2</v>
      </c>
      <c r="P67" s="8">
        <v>129.2</v>
      </c>
      <c r="Q67" s="8">
        <v>169.8</v>
      </c>
      <c r="R67" s="8">
        <v>-291.1</v>
      </c>
      <c r="S67" s="8">
        <v>26.4</v>
      </c>
      <c r="T67" s="8">
        <v>11.7</v>
      </c>
      <c r="U67" s="8">
        <v>-62.8</v>
      </c>
      <c r="V67" s="8">
        <v>-289.9</v>
      </c>
      <c r="W67" s="8">
        <v>-116.5</v>
      </c>
      <c r="X67" s="8">
        <v>-151.3</v>
      </c>
      <c r="Y67" s="8">
        <v>-222.8</v>
      </c>
      <c r="Z67" s="8">
        <v>-117.5</v>
      </c>
      <c r="AA67" s="8">
        <v>286.9</v>
      </c>
      <c r="AB67" s="8">
        <v>94.40000000000001</v>
      </c>
      <c r="AC67" s="8">
        <v>-3.6</v>
      </c>
      <c r="AD67" s="8">
        <v>51.5</v>
      </c>
      <c r="AE67" s="8">
        <v>38.1</v>
      </c>
      <c r="AF67" s="8">
        <v>-24.7</v>
      </c>
      <c r="AG67" s="8">
        <v>-141.1</v>
      </c>
      <c r="AH67" s="8">
        <v>-315.4</v>
      </c>
      <c r="AI67" s="8">
        <v>221.5</v>
      </c>
      <c r="AJ67" s="8">
        <v>-213.6</v>
      </c>
      <c r="AK67" s="8">
        <v>-122.6</v>
      </c>
      <c r="AL67" s="8">
        <v>-149.6</v>
      </c>
      <c r="AM67" s="8">
        <v>-172.1</v>
      </c>
      <c r="AN67" s="8">
        <v>-172.8</v>
      </c>
      <c r="AO67" s="8">
        <v>-97.8</v>
      </c>
      <c r="AP67" s="8">
        <v>-96.7</v>
      </c>
      <c r="AQ67" s="8">
        <v>-40.4</v>
      </c>
      <c r="AR67" s="8">
        <v>45.1</v>
      </c>
      <c r="AS67" s="8">
        <v>91.3</v>
      </c>
      <c r="AT67" s="8">
        <v>103.7</v>
      </c>
      <c r="AU67" s="8">
        <v>16.6</v>
      </c>
      <c r="AV67" s="8">
        <v>-77.90000000000001</v>
      </c>
      <c r="AW67" s="8">
        <v>-106</v>
      </c>
      <c r="AX67" s="8">
        <v>-136.3</v>
      </c>
      <c r="AY67" s="8">
        <v>-141.4</v>
      </c>
      <c r="AZ67" s="8">
        <v>-145.9</v>
      </c>
      <c r="BA67" s="8">
        <v>-147.2</v>
      </c>
      <c r="BB67" s="8">
        <v>-166.2</v>
      </c>
      <c r="BC67" s="8">
        <v>-178.1</v>
      </c>
      <c r="BD67" s="8">
        <v>-180.6</v>
      </c>
      <c r="BE67" s="8">
        <v>-192.9</v>
      </c>
      <c r="BF67" s="8">
        <v>-202</v>
      </c>
      <c r="BG67" s="8">
        <v>-231.1</v>
      </c>
      <c r="BH67" s="8">
        <v>-198.5</v>
      </c>
      <c r="BI67" s="8">
        <v>-196</v>
      </c>
      <c r="BJ67" s="8">
        <v>-188</v>
      </c>
      <c r="BK67" s="8">
        <v>-168.9</v>
      </c>
      <c r="BL67" s="8">
        <v>-53.8</v>
      </c>
      <c r="BM67" s="8">
        <v>-57.8</v>
      </c>
      <c r="BN67" s="8">
        <v>-60.6</v>
      </c>
      <c r="BO67" s="8">
        <v>-168</v>
      </c>
      <c r="BP67" s="8">
        <v>-201.3</v>
      </c>
      <c r="BQ67" s="8">
        <v>-211.1</v>
      </c>
      <c r="BR67" s="8">
        <v>-162.6</v>
      </c>
      <c r="BS67" s="8">
        <v>-179.1</v>
      </c>
      <c r="BT67" s="8">
        <v>-135.6</v>
      </c>
      <c r="BU67" s="8">
        <v>-137.2</v>
      </c>
      <c r="BV67" s="8">
        <v>-149.2</v>
      </c>
      <c r="BW67" s="8">
        <v>1.3</v>
      </c>
      <c r="BX67" s="8">
        <v>-130.8</v>
      </c>
      <c r="BY67" s="8">
        <v>-226.6</v>
      </c>
      <c r="BZ67" s="8">
        <v>-173.5</v>
      </c>
      <c r="CA67" s="8">
        <v>-93.09999999999999</v>
      </c>
      <c r="CB67" s="8">
        <v>3.7</v>
      </c>
      <c r="CC67" s="8">
        <v>-140</v>
      </c>
      <c r="CD67" s="8">
        <v>-150.8</v>
      </c>
      <c r="CE67" s="8">
        <v>117.2</v>
      </c>
      <c r="CF67" s="8">
        <v>-106.7</v>
      </c>
      <c r="CG67" s="8">
        <v>-174.3</v>
      </c>
      <c r="CH67" s="8">
        <v>-108</v>
      </c>
      <c r="CI67" s="8">
        <v>-92.5</v>
      </c>
      <c r="CJ67" s="8">
        <v>-71.09999999999999</v>
      </c>
      <c r="CK67" s="8">
        <v>111.9</v>
      </c>
      <c r="CL67" s="8">
        <v>-144.7</v>
      </c>
      <c r="CM67" s="8">
        <v>-173.9</v>
      </c>
      <c r="CN67" s="8">
        <v>-67.8</v>
      </c>
      <c r="CO67" s="8">
        <v>56.8</v>
      </c>
      <c r="CP67" s="8">
        <v>9.699999999999999</v>
      </c>
      <c r="CQ67" s="8">
        <v>-21.1</v>
      </c>
      <c r="CR67" s="8">
        <v>9.800000000000001</v>
      </c>
      <c r="CS67" s="8">
        <v>-17.3</v>
      </c>
      <c r="CT67" s="8">
        <v>-38.5</v>
      </c>
      <c r="CU67" s="8">
        <v>2.4</v>
      </c>
      <c r="CV67" s="8">
        <v>120.8</v>
      </c>
      <c r="CW67" s="8">
        <v>524.5</v>
      </c>
      <c r="CX67" s="8">
        <v>623.5</v>
      </c>
      <c r="CY67" s="8">
        <v>369.5</v>
      </c>
      <c r="CZ67" s="8">
        <v>158.3</v>
      </c>
      <c r="DA67" s="8">
        <v>24.5</v>
      </c>
      <c r="DB67" s="8">
        <v>-64.40000000000001</v>
      </c>
      <c r="DC67" s="8">
        <v>-59.9</v>
      </c>
      <c r="DD67" s="8">
        <v>287.9</v>
      </c>
      <c r="DE67" s="8">
        <v>446.3</v>
      </c>
      <c r="DF67" s="8">
        <v>-147</v>
      </c>
      <c r="DG67" s="8">
        <v>-227.3</v>
      </c>
      <c r="DH67" s="8">
        <v>-353.8</v>
      </c>
      <c r="DI67" s="8">
        <v>-184</v>
      </c>
      <c r="DJ67" s="8">
        <v>-166.3</v>
      </c>
      <c r="DK67" s="8">
        <v>-126.8</v>
      </c>
      <c r="DL67" s="8">
        <v>-53.6</v>
      </c>
      <c r="DM67" s="8">
        <v>-54</v>
      </c>
      <c r="DN67" s="8">
        <v>118.1</v>
      </c>
      <c r="DO67" s="8">
        <v>-10.1</v>
      </c>
      <c r="DP67" s="8">
        <v>219.8</v>
      </c>
      <c r="DQ67" s="8">
        <v>183.6</v>
      </c>
      <c r="DR67" s="8">
        <v>493.6</v>
      </c>
      <c r="DS67" s="8">
        <v>148.6</v>
      </c>
      <c r="DT67" s="8">
        <v>29.5</v>
      </c>
      <c r="DU67" s="8">
        <v>23.1</v>
      </c>
      <c r="DV67" s="8">
        <v>52.3</v>
      </c>
      <c r="DW67" s="8">
        <v>45.1</v>
      </c>
      <c r="DX67" s="8">
        <v>-38.6</v>
      </c>
    </row>
    <row r="68" spans="1:147">
      <c r="A68" s="7">
        <v>34.825</v>
      </c>
      <c r="I68" s="8">
        <v>-127.1</v>
      </c>
      <c r="J68" s="8">
        <v>5.1</v>
      </c>
      <c r="K68" s="8">
        <v>-84.09999999999999</v>
      </c>
      <c r="L68" s="8">
        <v>67.40000000000001</v>
      </c>
      <c r="M68" s="8">
        <v>172.8</v>
      </c>
      <c r="N68" s="8">
        <v>159.4</v>
      </c>
      <c r="O68" s="8">
        <v>120.8</v>
      </c>
      <c r="P68" s="8">
        <v>151.7</v>
      </c>
      <c r="Q68" s="8">
        <v>40.8</v>
      </c>
      <c r="R68" s="8">
        <v>54.5</v>
      </c>
      <c r="S68" s="8">
        <v>36.2</v>
      </c>
      <c r="T68" s="8">
        <v>72.2</v>
      </c>
      <c r="U68" s="8">
        <v>1.1</v>
      </c>
      <c r="V68" s="8">
        <v>-98.40000000000001</v>
      </c>
      <c r="W68" s="8">
        <v>-112.6</v>
      </c>
      <c r="X68" s="8">
        <v>-140.3</v>
      </c>
      <c r="Y68" s="8">
        <v>-162.6</v>
      </c>
      <c r="Z68" s="8">
        <v>-229</v>
      </c>
      <c r="AA68" s="8">
        <v>-356.3</v>
      </c>
      <c r="AB68" s="8">
        <v>-194.7</v>
      </c>
      <c r="AC68" s="8">
        <v>-87.40000000000001</v>
      </c>
      <c r="AD68" s="8">
        <v>-146.8</v>
      </c>
      <c r="AE68" s="8">
        <v>-219.3</v>
      </c>
      <c r="AF68" s="8">
        <v>-161.8</v>
      </c>
      <c r="AG68" s="8">
        <v>-28.8</v>
      </c>
      <c r="AH68" s="8">
        <v>-94.09999999999999</v>
      </c>
      <c r="AI68" s="8">
        <v>-78.90000000000001</v>
      </c>
      <c r="AJ68" s="8">
        <v>-41.2</v>
      </c>
      <c r="AK68" s="8">
        <v>-64.7</v>
      </c>
      <c r="AL68" s="8">
        <v>-89.90000000000001</v>
      </c>
      <c r="AM68" s="8">
        <v>-113.4</v>
      </c>
      <c r="AN68" s="8">
        <v>-133.1</v>
      </c>
      <c r="AO68" s="8">
        <v>-133.9</v>
      </c>
      <c r="AP68" s="8">
        <v>-115.3</v>
      </c>
      <c r="AQ68" s="8">
        <v>-12.7</v>
      </c>
      <c r="AR68" s="8">
        <v>45.4</v>
      </c>
      <c r="AS68" s="8">
        <v>162.6</v>
      </c>
      <c r="AT68" s="8">
        <v>229.5</v>
      </c>
      <c r="AU68" s="8">
        <v>33.6</v>
      </c>
      <c r="AV68" s="8">
        <v>-42</v>
      </c>
      <c r="AW68" s="8">
        <v>-88</v>
      </c>
      <c r="AX68" s="8">
        <v>-84.2</v>
      </c>
      <c r="AY68" s="8">
        <v>-125.1</v>
      </c>
      <c r="AZ68" s="8">
        <v>-129.2</v>
      </c>
      <c r="BA68" s="8">
        <v>-105.1</v>
      </c>
      <c r="BB68" s="8">
        <v>-115.1</v>
      </c>
      <c r="BC68" s="8">
        <v>-129.6</v>
      </c>
      <c r="BD68" s="8">
        <v>-142.8</v>
      </c>
      <c r="BE68" s="8">
        <v>-159.1</v>
      </c>
      <c r="BF68" s="8">
        <v>-174.4</v>
      </c>
      <c r="BG68" s="8">
        <v>-195.2</v>
      </c>
      <c r="BH68" s="8">
        <v>-167.3</v>
      </c>
      <c r="BI68" s="8">
        <v>-181.2</v>
      </c>
      <c r="BJ68" s="8">
        <v>-183.1</v>
      </c>
      <c r="BK68" s="8">
        <v>-126.4</v>
      </c>
      <c r="BL68" s="8">
        <v>-104.4</v>
      </c>
      <c r="BM68" s="8">
        <v>-142.6</v>
      </c>
      <c r="BN68" s="8">
        <v>-92.8</v>
      </c>
      <c r="BO68" s="8">
        <v>-143.9</v>
      </c>
      <c r="BP68" s="8">
        <v>-145.1</v>
      </c>
      <c r="BQ68" s="8">
        <v>-136.8</v>
      </c>
      <c r="BR68" s="8">
        <v>-90.40000000000001</v>
      </c>
      <c r="BS68" s="8">
        <v>-71.8</v>
      </c>
      <c r="BT68" s="8">
        <v>-90.90000000000001</v>
      </c>
      <c r="BU68" s="8">
        <v>-131.2</v>
      </c>
      <c r="BV68" s="8">
        <v>-114.4</v>
      </c>
      <c r="BW68" s="8">
        <v>6.1</v>
      </c>
      <c r="BX68" s="8">
        <v>52.2</v>
      </c>
      <c r="BY68" s="8">
        <v>-308.7</v>
      </c>
      <c r="BZ68" s="8">
        <v>-480.6</v>
      </c>
      <c r="CA68" s="8">
        <v>-414.2</v>
      </c>
      <c r="CB68" s="8">
        <v>-95.5</v>
      </c>
      <c r="CC68" s="8">
        <v>-162.6</v>
      </c>
      <c r="CD68" s="8">
        <v>-103.3</v>
      </c>
      <c r="CE68" s="8">
        <v>-127.3</v>
      </c>
      <c r="CF68" s="8">
        <v>-86</v>
      </c>
      <c r="CG68" s="8">
        <v>87.8</v>
      </c>
      <c r="CH68" s="8">
        <v>190.9</v>
      </c>
      <c r="CI68" s="8">
        <v>18.2</v>
      </c>
      <c r="CJ68" s="8">
        <v>-217.6</v>
      </c>
      <c r="CK68" s="8">
        <v>-226.5</v>
      </c>
      <c r="CL68" s="8">
        <v>-216.9</v>
      </c>
      <c r="CM68" s="8">
        <v>-157.4</v>
      </c>
      <c r="CN68" s="8">
        <v>-28.3</v>
      </c>
      <c r="CO68" s="8">
        <v>-179.5</v>
      </c>
      <c r="CP68" s="8">
        <v>19.4</v>
      </c>
      <c r="CQ68" s="8">
        <v>94</v>
      </c>
      <c r="CR68" s="8">
        <v>94.7</v>
      </c>
      <c r="CS68" s="8">
        <v>56</v>
      </c>
      <c r="CT68" s="8">
        <v>3.8</v>
      </c>
      <c r="CU68" s="8">
        <v>136.1</v>
      </c>
      <c r="CV68" s="8">
        <v>88.09999999999999</v>
      </c>
      <c r="CW68" s="8">
        <v>237.6</v>
      </c>
      <c r="CX68" s="8">
        <v>247.5</v>
      </c>
      <c r="CY68" s="8">
        <v>208</v>
      </c>
      <c r="CZ68" s="8">
        <v>110.5</v>
      </c>
      <c r="DA68" s="8">
        <v>93.90000000000001</v>
      </c>
      <c r="DB68" s="8">
        <v>127.2</v>
      </c>
      <c r="DC68" s="8">
        <v>-112.3</v>
      </c>
      <c r="DD68" s="8">
        <v>-174.1</v>
      </c>
      <c r="DE68" s="8">
        <v>-252.6</v>
      </c>
      <c r="DF68" s="8">
        <v>-119.6</v>
      </c>
      <c r="DG68" s="8">
        <v>-249</v>
      </c>
      <c r="DH68" s="8">
        <v>-262.6</v>
      </c>
      <c r="DI68" s="8">
        <v>-247.8</v>
      </c>
      <c r="DJ68" s="8">
        <v>-159.9</v>
      </c>
      <c r="DK68" s="8">
        <v>-24.4</v>
      </c>
      <c r="DL68" s="8">
        <v>-95.3</v>
      </c>
      <c r="DM68" s="8">
        <v>189.5</v>
      </c>
      <c r="DN68" s="8">
        <v>194.4</v>
      </c>
      <c r="DO68" s="8">
        <v>17.6</v>
      </c>
      <c r="DP68" s="8">
        <v>-208.4</v>
      </c>
      <c r="DQ68" s="8">
        <v>209.2</v>
      </c>
      <c r="DR68" s="8">
        <v>-202.1</v>
      </c>
      <c r="DS68" s="8">
        <v>-171.4</v>
      </c>
      <c r="DT68" s="8">
        <v>-87</v>
      </c>
      <c r="DU68" s="8">
        <v>-39.9</v>
      </c>
      <c r="DV68" s="8">
        <v>-11.8</v>
      </c>
      <c r="DW68" s="8">
        <v>6</v>
      </c>
      <c r="DX68" s="8">
        <v>-80.7</v>
      </c>
    </row>
    <row r="69" spans="1:147">
      <c r="A69" s="7">
        <v>34.85</v>
      </c>
      <c r="I69" s="8">
        <v>-36.1</v>
      </c>
      <c r="J69" s="8">
        <v>107.9</v>
      </c>
      <c r="K69" s="8">
        <v>127.1</v>
      </c>
      <c r="L69" s="8">
        <v>240.8</v>
      </c>
      <c r="M69" s="8">
        <v>106</v>
      </c>
      <c r="N69" s="8">
        <v>53.7</v>
      </c>
      <c r="O69" s="8">
        <v>87.90000000000001</v>
      </c>
      <c r="P69" s="8">
        <v>55</v>
      </c>
      <c r="Q69" s="8">
        <v>31.5</v>
      </c>
      <c r="R69" s="8">
        <v>43.9</v>
      </c>
      <c r="S69" s="8">
        <v>32.6</v>
      </c>
      <c r="T69" s="8">
        <v>17.6</v>
      </c>
      <c r="U69" s="8">
        <v>5.3</v>
      </c>
      <c r="V69" s="8">
        <v>-91.09999999999999</v>
      </c>
      <c r="W69" s="8">
        <v>-114.8</v>
      </c>
      <c r="X69" s="8">
        <v>-113.3</v>
      </c>
      <c r="Y69" s="8">
        <v>-162.6</v>
      </c>
      <c r="Z69" s="8">
        <v>-195.4</v>
      </c>
      <c r="AA69" s="8">
        <v>-236.7</v>
      </c>
      <c r="AB69" s="8">
        <v>-268.5</v>
      </c>
      <c r="AC69" s="8">
        <v>-163.5</v>
      </c>
      <c r="AD69" s="8">
        <v>-117.1</v>
      </c>
      <c r="AE69" s="8">
        <v>-77.8</v>
      </c>
      <c r="AF69" s="8">
        <v>-16.1</v>
      </c>
      <c r="AG69" s="8">
        <v>-16.8</v>
      </c>
      <c r="AH69" s="8">
        <v>-20.7</v>
      </c>
      <c r="AI69" s="8">
        <v>4.4</v>
      </c>
      <c r="AJ69" s="8">
        <v>0</v>
      </c>
      <c r="AK69" s="8">
        <v>-47.3</v>
      </c>
      <c r="AL69" s="8">
        <v>-62.4</v>
      </c>
      <c r="AM69" s="8">
        <v>-104.5</v>
      </c>
      <c r="AN69" s="8">
        <v>-126.8</v>
      </c>
      <c r="AO69" s="8">
        <v>-101.2</v>
      </c>
      <c r="AP69" s="8">
        <v>-49.6</v>
      </c>
      <c r="AQ69" s="8">
        <v>14.7</v>
      </c>
      <c r="AR69" s="8">
        <v>86</v>
      </c>
      <c r="AS69" s="8">
        <v>40.7</v>
      </c>
      <c r="AT69" s="8">
        <v>56.8</v>
      </c>
      <c r="AU69" s="8">
        <v>30.9</v>
      </c>
      <c r="AV69" s="8">
        <v>-37.4</v>
      </c>
      <c r="AW69" s="8">
        <v>-90.3</v>
      </c>
      <c r="AX69" s="8">
        <v>-108.8</v>
      </c>
      <c r="AY69" s="8">
        <v>-96</v>
      </c>
      <c r="AZ69" s="8">
        <v>-74.3</v>
      </c>
      <c r="BA69" s="8">
        <v>-69.5</v>
      </c>
      <c r="BB69" s="8">
        <v>-80.5</v>
      </c>
      <c r="BC69" s="8">
        <v>-97.59999999999999</v>
      </c>
      <c r="BD69" s="8">
        <v>-60</v>
      </c>
      <c r="BE69" s="8">
        <v>52.2</v>
      </c>
      <c r="BF69" s="8">
        <v>-104.1</v>
      </c>
      <c r="BG69" s="8">
        <v>-201.7</v>
      </c>
      <c r="BH69" s="8">
        <v>-208.2</v>
      </c>
      <c r="BI69" s="8">
        <v>-213</v>
      </c>
      <c r="BJ69" s="8">
        <v>-191.1</v>
      </c>
      <c r="BK69" s="8">
        <v>-220</v>
      </c>
      <c r="BL69" s="8">
        <v>-151.5</v>
      </c>
      <c r="BM69" s="8">
        <v>-189.9</v>
      </c>
      <c r="BN69" s="8">
        <v>27.8</v>
      </c>
      <c r="BO69" s="8">
        <v>-119.3</v>
      </c>
      <c r="BP69" s="8">
        <v>-122.7</v>
      </c>
      <c r="BQ69" s="8">
        <v>-124</v>
      </c>
      <c r="BR69" s="8">
        <v>77.7</v>
      </c>
      <c r="BS69" s="8">
        <v>32.4</v>
      </c>
      <c r="BT69" s="8">
        <v>-85.5</v>
      </c>
      <c r="BU69" s="8">
        <v>-44.8</v>
      </c>
      <c r="BV69" s="8">
        <v>117.7</v>
      </c>
      <c r="BW69" s="8">
        <v>16.6</v>
      </c>
      <c r="BX69" s="8">
        <v>-170.3</v>
      </c>
      <c r="BY69" s="8">
        <v>-311.9</v>
      </c>
      <c r="BZ69" s="8">
        <v>-407.6</v>
      </c>
      <c r="CA69" s="8">
        <v>-569.3</v>
      </c>
      <c r="CB69" s="8">
        <v>-551.6</v>
      </c>
      <c r="CC69" s="8">
        <v>-365.2</v>
      </c>
      <c r="CD69" s="8">
        <v>-139.2</v>
      </c>
      <c r="CE69" s="8">
        <v>-523.2</v>
      </c>
      <c r="CF69" s="8">
        <v>-497.2</v>
      </c>
      <c r="CG69" s="8">
        <v>-364.5</v>
      </c>
      <c r="CH69" s="8">
        <v>-48.5</v>
      </c>
      <c r="CI69" s="8">
        <v>86</v>
      </c>
      <c r="CJ69" s="8">
        <v>-76.3</v>
      </c>
      <c r="CK69" s="8">
        <v>-181.1</v>
      </c>
      <c r="CL69" s="8">
        <v>-186.5</v>
      </c>
      <c r="CM69" s="8">
        <v>-144.5</v>
      </c>
      <c r="CN69" s="8">
        <v>-167.4</v>
      </c>
      <c r="CO69" s="8">
        <v>-159.9</v>
      </c>
      <c r="CP69" s="8">
        <v>-5.5</v>
      </c>
      <c r="CQ69" s="8">
        <v>-8.300000000000001</v>
      </c>
      <c r="CR69" s="8">
        <v>-3.3</v>
      </c>
      <c r="CS69" s="8">
        <v>8.1</v>
      </c>
      <c r="CT69" s="8">
        <v>-55.9</v>
      </c>
      <c r="CU69" s="8">
        <v>-83.59999999999999</v>
      </c>
      <c r="CV69" s="8">
        <v>19.6</v>
      </c>
      <c r="CW69" s="8">
        <v>-83.90000000000001</v>
      </c>
      <c r="CX69" s="8">
        <v>286.8</v>
      </c>
      <c r="CY69" s="8">
        <v>54.7</v>
      </c>
      <c r="CZ69" s="8">
        <v>32.4</v>
      </c>
      <c r="DA69" s="8">
        <v>59.5</v>
      </c>
      <c r="DB69" s="8">
        <v>132.2</v>
      </c>
      <c r="DC69" s="8">
        <v>55.9</v>
      </c>
      <c r="DD69" s="8">
        <v>-11.4</v>
      </c>
      <c r="DE69" s="8">
        <v>2.5</v>
      </c>
      <c r="DF69" s="8">
        <v>-280.5</v>
      </c>
      <c r="DG69" s="8">
        <v>-282.5</v>
      </c>
      <c r="DH69" s="8">
        <v>-205.8</v>
      </c>
      <c r="DI69" s="8">
        <v>-297</v>
      </c>
      <c r="DJ69" s="8">
        <v>20.6</v>
      </c>
      <c r="DK69" s="8">
        <v>-59</v>
      </c>
      <c r="DL69" s="8">
        <v>-7.3</v>
      </c>
      <c r="DM69" s="8">
        <v>307.3</v>
      </c>
      <c r="DN69" s="8">
        <v>-296.6</v>
      </c>
      <c r="DO69" s="8">
        <v>217.9</v>
      </c>
      <c r="DP69" s="8">
        <v>-10.9</v>
      </c>
      <c r="DQ69" s="8">
        <v>-330.7</v>
      </c>
      <c r="DR69" s="8">
        <v>-364.2</v>
      </c>
      <c r="DS69" s="8">
        <v>-236.8</v>
      </c>
      <c r="DT69" s="8">
        <v>-118.4</v>
      </c>
      <c r="DU69" s="8">
        <v>-102</v>
      </c>
      <c r="DV69" s="8">
        <v>-34.9</v>
      </c>
      <c r="DW69" s="8">
        <v>-29.3</v>
      </c>
      <c r="DX69" s="8">
        <v>44.7</v>
      </c>
      <c r="DY69" s="8">
        <v>-31.5</v>
      </c>
      <c r="DZ69" s="8">
        <v>-7.8</v>
      </c>
    </row>
    <row r="70" spans="1:147">
      <c r="A70" s="7">
        <v>34.875</v>
      </c>
      <c r="J70" s="8">
        <v>80</v>
      </c>
      <c r="K70" s="8">
        <v>107.1</v>
      </c>
      <c r="L70" s="8">
        <v>116.1</v>
      </c>
      <c r="M70" s="8">
        <v>155.1</v>
      </c>
      <c r="N70" s="8">
        <v>31.1</v>
      </c>
      <c r="O70" s="8">
        <v>-17.9</v>
      </c>
      <c r="P70" s="8">
        <v>-79.2</v>
      </c>
      <c r="Q70" s="8">
        <v>-11.3</v>
      </c>
      <c r="R70" s="8">
        <v>17.1</v>
      </c>
      <c r="S70" s="8">
        <v>58.3</v>
      </c>
      <c r="T70" s="8">
        <v>8.6</v>
      </c>
      <c r="U70" s="8">
        <v>2.8</v>
      </c>
      <c r="V70" s="8">
        <v>89.8</v>
      </c>
      <c r="W70" s="8">
        <v>-83.3</v>
      </c>
      <c r="X70" s="8">
        <v>-76.7</v>
      </c>
      <c r="Y70" s="8">
        <v>-112.3</v>
      </c>
      <c r="Z70" s="8">
        <v>-160.1</v>
      </c>
      <c r="AA70" s="8">
        <v>-290</v>
      </c>
      <c r="AB70" s="8">
        <v>-272.1</v>
      </c>
      <c r="AC70" s="8">
        <v>-154.6</v>
      </c>
      <c r="AD70" s="8">
        <v>-113.5</v>
      </c>
      <c r="AE70" s="8">
        <v>-80.3</v>
      </c>
      <c r="AF70" s="8">
        <v>-9.1</v>
      </c>
      <c r="AG70" s="8">
        <v>77.59999999999999</v>
      </c>
      <c r="AH70" s="8">
        <v>12.3</v>
      </c>
      <c r="AI70" s="8">
        <v>3</v>
      </c>
      <c r="AJ70" s="8">
        <v>-55.6</v>
      </c>
      <c r="AK70" s="8">
        <v>-90.09999999999999</v>
      </c>
      <c r="AL70" s="8">
        <v>-102.8</v>
      </c>
      <c r="AM70" s="8">
        <v>-97.90000000000001</v>
      </c>
      <c r="AN70" s="8">
        <v>-118.9</v>
      </c>
      <c r="AO70" s="8">
        <v>-113.8</v>
      </c>
      <c r="AP70" s="8">
        <v>-124.9</v>
      </c>
      <c r="AQ70" s="8">
        <v>-54.8</v>
      </c>
      <c r="AR70" s="8">
        <v>-33.7</v>
      </c>
      <c r="AS70" s="8">
        <v>60.7</v>
      </c>
      <c r="AT70" s="8">
        <v>49.2</v>
      </c>
      <c r="AU70" s="8">
        <v>0.2</v>
      </c>
      <c r="AV70" s="8">
        <v>-14.2</v>
      </c>
      <c r="AW70" s="8">
        <v>-62.4</v>
      </c>
      <c r="AX70" s="8">
        <v>-85.2</v>
      </c>
      <c r="AY70" s="8">
        <v>-29.6</v>
      </c>
      <c r="AZ70" s="8">
        <v>-65.2</v>
      </c>
      <c r="BA70" s="8">
        <v>-44.7</v>
      </c>
      <c r="BB70" s="8">
        <v>-53.9</v>
      </c>
      <c r="BC70" s="8">
        <v>-95.2</v>
      </c>
      <c r="BD70" s="8">
        <v>-148.6</v>
      </c>
      <c r="BE70" s="8">
        <v>-273.2</v>
      </c>
      <c r="BF70" s="8">
        <v>-191.6</v>
      </c>
      <c r="BG70" s="8">
        <v>-194.6</v>
      </c>
      <c r="BH70" s="8">
        <v>-194.3</v>
      </c>
      <c r="BI70" s="8">
        <v>-188</v>
      </c>
      <c r="BJ70" s="8">
        <v>-131.3</v>
      </c>
      <c r="BK70" s="8">
        <v>-110.2</v>
      </c>
      <c r="BL70" s="8">
        <v>-102.6</v>
      </c>
      <c r="BM70" s="8">
        <v>-121.5</v>
      </c>
      <c r="BN70" s="8">
        <v>-132.1</v>
      </c>
      <c r="BO70" s="8">
        <v>-91.3</v>
      </c>
      <c r="BP70" s="8">
        <v>-144.5</v>
      </c>
      <c r="BQ70" s="8">
        <v>-162.4</v>
      </c>
      <c r="BR70" s="8">
        <v>-185.6</v>
      </c>
      <c r="BS70" s="8">
        <v>-245.1</v>
      </c>
      <c r="BT70" s="8">
        <v>-203.2</v>
      </c>
      <c r="BU70" s="8">
        <v>-167.2</v>
      </c>
      <c r="BV70" s="8">
        <v>-82.3</v>
      </c>
      <c r="BW70" s="8">
        <v>-138.2</v>
      </c>
      <c r="BX70" s="8">
        <v>-175.2</v>
      </c>
      <c r="BY70" s="8">
        <v>-197.9</v>
      </c>
      <c r="BZ70" s="8">
        <v>-254.7</v>
      </c>
      <c r="CA70" s="8">
        <v>-309.5</v>
      </c>
      <c r="CB70" s="8">
        <v>-348.1</v>
      </c>
      <c r="CC70" s="8">
        <v>-354.9</v>
      </c>
      <c r="CD70" s="8">
        <v>-474.5</v>
      </c>
      <c r="CE70" s="8">
        <v>-348.9</v>
      </c>
      <c r="CF70" s="8">
        <v>-278.5</v>
      </c>
      <c r="CG70" s="8">
        <v>-269.3</v>
      </c>
      <c r="CH70" s="8">
        <v>-100.6</v>
      </c>
      <c r="CI70" s="8">
        <v>-225.4</v>
      </c>
      <c r="CJ70" s="8">
        <v>-171.8</v>
      </c>
      <c r="CK70" s="8">
        <v>-139.8</v>
      </c>
      <c r="CL70" s="8">
        <v>-151.9</v>
      </c>
      <c r="CM70" s="8">
        <v>-176.2</v>
      </c>
      <c r="CN70" s="8">
        <v>-212.9</v>
      </c>
      <c r="CO70" s="8">
        <v>-261</v>
      </c>
      <c r="CP70" s="8">
        <v>-163.5</v>
      </c>
      <c r="CQ70" s="8">
        <v>-141.3</v>
      </c>
      <c r="CR70" s="8">
        <v>-99.40000000000001</v>
      </c>
      <c r="CS70" s="8">
        <v>-65.8</v>
      </c>
      <c r="CT70" s="8">
        <v>-80.59999999999999</v>
      </c>
      <c r="CU70" s="8">
        <v>-47.2</v>
      </c>
      <c r="CV70" s="8">
        <v>-115.8</v>
      </c>
      <c r="CW70" s="8">
        <v>-125.3</v>
      </c>
      <c r="CX70" s="8">
        <v>-75</v>
      </c>
      <c r="CY70" s="8">
        <v>63.3</v>
      </c>
      <c r="CZ70" s="8">
        <v>130.3</v>
      </c>
      <c r="DA70" s="8">
        <v>735.3</v>
      </c>
      <c r="DB70" s="8">
        <v>543.8</v>
      </c>
      <c r="DC70" s="8">
        <v>48.8</v>
      </c>
      <c r="DD70" s="8">
        <v>53.5</v>
      </c>
      <c r="DE70" s="8">
        <v>-146</v>
      </c>
      <c r="DF70" s="8">
        <v>-94.09999999999999</v>
      </c>
      <c r="DG70" s="8">
        <v>-191.8</v>
      </c>
      <c r="DH70" s="8">
        <v>-249.8</v>
      </c>
      <c r="DI70" s="8">
        <v>-164.8</v>
      </c>
      <c r="DJ70" s="8">
        <v>30.4</v>
      </c>
      <c r="DK70" s="8">
        <v>-104</v>
      </c>
      <c r="DL70" s="8">
        <v>-10.7</v>
      </c>
      <c r="DM70" s="8">
        <v>-235.8</v>
      </c>
      <c r="DN70" s="8">
        <v>-47.6</v>
      </c>
      <c r="DO70" s="8">
        <v>-15.5</v>
      </c>
      <c r="DP70" s="8">
        <v>-394.7</v>
      </c>
      <c r="DQ70" s="8">
        <v>-339.1</v>
      </c>
      <c r="DR70" s="8">
        <v>204</v>
      </c>
      <c r="DS70" s="8">
        <v>-210.4</v>
      </c>
      <c r="DT70" s="8">
        <v>-193.6</v>
      </c>
      <c r="DU70" s="8">
        <v>-8</v>
      </c>
      <c r="DV70" s="8">
        <v>25.7</v>
      </c>
      <c r="DW70" s="8">
        <v>-10.8</v>
      </c>
      <c r="DX70" s="8">
        <v>-35.1</v>
      </c>
      <c r="DY70" s="8">
        <v>-72.8</v>
      </c>
      <c r="DZ70" s="8">
        <v>34.1</v>
      </c>
    </row>
    <row r="71" spans="1:147">
      <c r="A71" s="7">
        <v>34.9</v>
      </c>
      <c r="J71" s="8">
        <v>61.3</v>
      </c>
      <c r="K71" s="8">
        <v>27.1</v>
      </c>
      <c r="L71" s="8">
        <v>115.6</v>
      </c>
      <c r="M71" s="8">
        <v>64.40000000000001</v>
      </c>
      <c r="N71" s="8">
        <v>27.8</v>
      </c>
      <c r="O71" s="8">
        <v>30.9</v>
      </c>
      <c r="P71" s="8">
        <v>-12.4</v>
      </c>
      <c r="Q71" s="8">
        <v>-53.4</v>
      </c>
      <c r="R71" s="8">
        <v>-357.6</v>
      </c>
      <c r="S71" s="8">
        <v>200.3</v>
      </c>
      <c r="T71" s="8">
        <v>290.3</v>
      </c>
      <c r="U71" s="8">
        <v>127.8</v>
      </c>
      <c r="V71" s="8">
        <v>-122.7</v>
      </c>
      <c r="W71" s="8">
        <v>-20.8</v>
      </c>
      <c r="X71" s="8">
        <v>-54.6</v>
      </c>
      <c r="Y71" s="8">
        <v>-60.7</v>
      </c>
      <c r="Z71" s="8">
        <v>-35.8</v>
      </c>
      <c r="AA71" s="8">
        <v>-146.6</v>
      </c>
      <c r="AB71" s="8">
        <v>-294.3</v>
      </c>
      <c r="AC71" s="8">
        <v>-121.2</v>
      </c>
      <c r="AD71" s="8">
        <v>-115.6</v>
      </c>
      <c r="AE71" s="8">
        <v>-128.7</v>
      </c>
      <c r="AF71" s="8">
        <v>-93.7</v>
      </c>
      <c r="AG71" s="8">
        <v>-46.6</v>
      </c>
      <c r="AH71" s="8">
        <v>23.9</v>
      </c>
      <c r="AI71" s="8">
        <v>-36.9</v>
      </c>
      <c r="AJ71" s="8">
        <v>-95.3</v>
      </c>
      <c r="AK71" s="8">
        <v>-115.5</v>
      </c>
      <c r="AL71" s="8">
        <v>-110.9</v>
      </c>
      <c r="AM71" s="8">
        <v>-95.8</v>
      </c>
      <c r="AN71" s="8">
        <v>-100.8</v>
      </c>
      <c r="AO71" s="8">
        <v>-53.6</v>
      </c>
      <c r="AP71" s="8">
        <v>-70.7</v>
      </c>
      <c r="AQ71" s="8">
        <v>-157.6</v>
      </c>
      <c r="AR71" s="8">
        <v>-172.3</v>
      </c>
      <c r="AS71" s="8">
        <v>33.4</v>
      </c>
      <c r="AT71" s="8">
        <v>-104.2</v>
      </c>
      <c r="AU71" s="8">
        <v>-89.90000000000001</v>
      </c>
      <c r="AV71" s="8">
        <v>-69.90000000000001</v>
      </c>
      <c r="AW71" s="8">
        <v>-9.199999999999999</v>
      </c>
      <c r="AX71" s="8">
        <v>-63.5</v>
      </c>
      <c r="AY71" s="8">
        <v>-49</v>
      </c>
      <c r="AZ71" s="8">
        <v>-48.5</v>
      </c>
      <c r="BA71" s="8">
        <v>-31</v>
      </c>
      <c r="BB71" s="8">
        <v>-82</v>
      </c>
      <c r="BC71" s="8">
        <v>-123.3</v>
      </c>
      <c r="BD71" s="8">
        <v>-154.5</v>
      </c>
      <c r="BE71" s="8">
        <v>-148</v>
      </c>
      <c r="BF71" s="8">
        <v>-169.6</v>
      </c>
      <c r="BG71" s="8">
        <v>-181.2</v>
      </c>
      <c r="BH71" s="8">
        <v>-158.1</v>
      </c>
      <c r="BI71" s="8">
        <v>-169</v>
      </c>
      <c r="BJ71" s="8">
        <v>-163.9</v>
      </c>
      <c r="BK71" s="8">
        <v>-112.9</v>
      </c>
      <c r="BL71" s="8">
        <v>-102.9</v>
      </c>
      <c r="BM71" s="8">
        <v>-98.90000000000001</v>
      </c>
      <c r="BN71" s="8">
        <v>-45.6</v>
      </c>
      <c r="BO71" s="8">
        <v>-91.59999999999999</v>
      </c>
      <c r="BP71" s="8">
        <v>-117</v>
      </c>
      <c r="BQ71" s="8">
        <v>-126.7</v>
      </c>
      <c r="BR71" s="8">
        <v>-155</v>
      </c>
      <c r="BS71" s="8">
        <v>-148.5</v>
      </c>
      <c r="BT71" s="8">
        <v>-163.3</v>
      </c>
      <c r="BU71" s="8">
        <v>-103.2</v>
      </c>
      <c r="BV71" s="8">
        <v>-78.7</v>
      </c>
      <c r="BW71" s="8">
        <v>-54.1</v>
      </c>
      <c r="BX71" s="8">
        <v>-82.90000000000001</v>
      </c>
      <c r="BY71" s="8">
        <v>-118.8</v>
      </c>
      <c r="BZ71" s="8">
        <v>-100.9</v>
      </c>
      <c r="CA71" s="8">
        <v>-189.5</v>
      </c>
      <c r="CB71" s="8">
        <v>-268</v>
      </c>
      <c r="CC71" s="8">
        <v>-267.1</v>
      </c>
      <c r="CD71" s="8">
        <v>65.90000000000001</v>
      </c>
      <c r="CE71" s="8">
        <v>-249.3</v>
      </c>
      <c r="CF71" s="8">
        <v>-230.6</v>
      </c>
      <c r="CG71" s="8">
        <v>-238.6</v>
      </c>
      <c r="CH71" s="8">
        <v>-248.9</v>
      </c>
      <c r="CI71" s="8">
        <v>-139</v>
      </c>
      <c r="CJ71" s="8">
        <v>-33.6</v>
      </c>
      <c r="CK71" s="8">
        <v>-86.3</v>
      </c>
      <c r="CL71" s="8">
        <v>-109.6</v>
      </c>
      <c r="CM71" s="8">
        <v>-138.7</v>
      </c>
      <c r="CN71" s="8">
        <v>-204.5</v>
      </c>
      <c r="CO71" s="8">
        <v>-220.2</v>
      </c>
      <c r="CP71" s="8">
        <v>-167.6</v>
      </c>
      <c r="CQ71" s="8">
        <v>-129.8</v>
      </c>
      <c r="CR71" s="8">
        <v>-98.8</v>
      </c>
      <c r="CS71" s="8">
        <v>95.40000000000001</v>
      </c>
      <c r="CT71" s="8">
        <v>225.4</v>
      </c>
      <c r="CU71" s="8">
        <v>199.2</v>
      </c>
      <c r="CV71" s="8">
        <v>28.6</v>
      </c>
      <c r="CW71" s="8">
        <v>-54.3</v>
      </c>
      <c r="CX71" s="8">
        <v>66.8</v>
      </c>
      <c r="CY71" s="8">
        <v>68</v>
      </c>
      <c r="CZ71" s="8">
        <v>-85.7</v>
      </c>
      <c r="DA71" s="8">
        <v>-222.4</v>
      </c>
      <c r="DB71" s="8">
        <v>-321.2</v>
      </c>
      <c r="DC71" s="8">
        <v>-332.7</v>
      </c>
      <c r="DD71" s="8">
        <v>-233.8</v>
      </c>
      <c r="DE71" s="8">
        <v>-151.6</v>
      </c>
      <c r="DF71" s="8">
        <v>-122.6</v>
      </c>
      <c r="DG71" s="8">
        <v>-134.8</v>
      </c>
      <c r="DH71" s="8">
        <v>-206.9</v>
      </c>
      <c r="DI71" s="8">
        <v>210.1</v>
      </c>
      <c r="DJ71" s="8">
        <v>-221.2</v>
      </c>
      <c r="DK71" s="8">
        <v>-205.6</v>
      </c>
      <c r="DL71" s="8">
        <v>1.9</v>
      </c>
      <c r="DM71" s="8">
        <v>-254.3</v>
      </c>
      <c r="DN71" s="8">
        <v>-60.8</v>
      </c>
      <c r="DO71" s="8">
        <v>-248.7</v>
      </c>
      <c r="DP71" s="8">
        <v>-262.5</v>
      </c>
      <c r="DQ71" s="8">
        <v>-446.8</v>
      </c>
      <c r="DR71" s="8">
        <v>-451.1</v>
      </c>
      <c r="DS71" s="8">
        <v>-342.9</v>
      </c>
      <c r="DT71" s="8">
        <v>-235</v>
      </c>
      <c r="DU71" s="8">
        <v>-50.3</v>
      </c>
      <c r="DV71" s="8">
        <v>-4.1</v>
      </c>
      <c r="DW71" s="8">
        <v>117.1</v>
      </c>
      <c r="DX71" s="8">
        <v>3.8</v>
      </c>
      <c r="DY71" s="8">
        <v>-44.9</v>
      </c>
      <c r="DZ71" s="8">
        <v>29.5</v>
      </c>
      <c r="EA71" s="8">
        <v>75.8</v>
      </c>
    </row>
    <row r="72" spans="1:147">
      <c r="A72" s="7">
        <v>34.925</v>
      </c>
      <c r="J72" s="8">
        <v>74</v>
      </c>
      <c r="K72" s="8">
        <v>40</v>
      </c>
      <c r="L72" s="8">
        <v>105.2</v>
      </c>
      <c r="M72" s="8">
        <v>27.7</v>
      </c>
      <c r="N72" s="8">
        <v>55.5</v>
      </c>
      <c r="O72" s="8">
        <v>28.5</v>
      </c>
      <c r="P72" s="8">
        <v>-27.1</v>
      </c>
      <c r="Q72" s="8">
        <v>-62</v>
      </c>
      <c r="R72" s="8">
        <v>89.59999999999999</v>
      </c>
      <c r="S72" s="8">
        <v>122.3</v>
      </c>
      <c r="T72" s="8">
        <v>147.1</v>
      </c>
      <c r="U72" s="8">
        <v>94.90000000000001</v>
      </c>
      <c r="V72" s="8">
        <v>-146.7</v>
      </c>
      <c r="W72" s="8">
        <v>-52.8</v>
      </c>
      <c r="X72" s="8">
        <v>-99.3</v>
      </c>
      <c r="Y72" s="8">
        <v>-60.4</v>
      </c>
      <c r="Z72" s="8">
        <v>-4.5</v>
      </c>
      <c r="AA72" s="8">
        <v>-69.09999999999999</v>
      </c>
      <c r="AB72" s="8">
        <v>-146.2</v>
      </c>
      <c r="AC72" s="8">
        <v>-126.1</v>
      </c>
      <c r="AD72" s="8">
        <v>-119.6</v>
      </c>
      <c r="AE72" s="8">
        <v>-167.6</v>
      </c>
      <c r="AF72" s="8">
        <v>-149.1</v>
      </c>
      <c r="AG72" s="8">
        <v>-126.3</v>
      </c>
      <c r="AH72" s="8">
        <v>-68.8</v>
      </c>
      <c r="AI72" s="8">
        <v>-82.09999999999999</v>
      </c>
      <c r="AJ72" s="8">
        <v>-109.6</v>
      </c>
      <c r="AK72" s="8">
        <v>-114.8</v>
      </c>
      <c r="AL72" s="8">
        <v>-97.8</v>
      </c>
      <c r="AM72" s="8">
        <v>-77</v>
      </c>
      <c r="AN72" s="8">
        <v>33.8</v>
      </c>
      <c r="AO72" s="8">
        <v>-20.9</v>
      </c>
      <c r="AP72" s="8">
        <v>-59.2</v>
      </c>
      <c r="AQ72" s="8">
        <v>-114.9</v>
      </c>
      <c r="AR72" s="8">
        <v>-161.3</v>
      </c>
      <c r="AS72" s="8">
        <v>-167.3</v>
      </c>
      <c r="AT72" s="8">
        <v>-138.5</v>
      </c>
      <c r="AU72" s="8">
        <v>31.9</v>
      </c>
      <c r="AV72" s="8">
        <v>-63.8</v>
      </c>
      <c r="AW72" s="8">
        <v>69.3</v>
      </c>
      <c r="AX72" s="8">
        <v>105.9</v>
      </c>
      <c r="AY72" s="8">
        <v>-47.3</v>
      </c>
      <c r="AZ72" s="8">
        <v>-113.2</v>
      </c>
      <c r="BA72" s="8">
        <v>-123.5</v>
      </c>
      <c r="BB72" s="8">
        <v>-109.9</v>
      </c>
      <c r="BC72" s="8">
        <v>-134.1</v>
      </c>
      <c r="BD72" s="8">
        <v>-128.5</v>
      </c>
      <c r="BE72" s="8">
        <v>-134.2</v>
      </c>
      <c r="BF72" s="8">
        <v>-131.8</v>
      </c>
      <c r="BG72" s="8">
        <v>-123.2</v>
      </c>
      <c r="BH72" s="8">
        <v>-145.3</v>
      </c>
      <c r="BI72" s="8">
        <v>-138.9</v>
      </c>
      <c r="BJ72" s="8">
        <v>-134.9</v>
      </c>
      <c r="BK72" s="8">
        <v>-87.09999999999999</v>
      </c>
      <c r="BL72" s="8">
        <v>-82.2</v>
      </c>
      <c r="BM72" s="8">
        <v>-106.9</v>
      </c>
      <c r="BN72" s="8">
        <v>-66.09999999999999</v>
      </c>
      <c r="BO72" s="8">
        <v>-79.40000000000001</v>
      </c>
      <c r="BP72" s="8">
        <v>-100.9</v>
      </c>
      <c r="BQ72" s="8">
        <v>-100.1</v>
      </c>
      <c r="BR72" s="8">
        <v>-89.40000000000001</v>
      </c>
      <c r="BS72" s="8">
        <v>-74.8</v>
      </c>
      <c r="BT72" s="8">
        <v>22</v>
      </c>
      <c r="BU72" s="8">
        <v>82.7</v>
      </c>
      <c r="BV72" s="8">
        <v>94.59999999999999</v>
      </c>
      <c r="BW72" s="8">
        <v>59.4</v>
      </c>
      <c r="BX72" s="8">
        <v>-14</v>
      </c>
      <c r="BY72" s="8">
        <v>17.3</v>
      </c>
      <c r="BZ72" s="8">
        <v>-68.2</v>
      </c>
      <c r="CA72" s="8">
        <v>-117.5</v>
      </c>
      <c r="CB72" s="8">
        <v>-165.7</v>
      </c>
      <c r="CC72" s="8">
        <v>-254.5</v>
      </c>
      <c r="CD72" s="8">
        <v>-196.5</v>
      </c>
      <c r="CE72" s="8">
        <v>-194.1</v>
      </c>
      <c r="CF72" s="8">
        <v>-171.9</v>
      </c>
      <c r="CG72" s="8">
        <v>-145.5</v>
      </c>
      <c r="CH72" s="8">
        <v>-107</v>
      </c>
      <c r="CI72" s="8">
        <v>-99.5</v>
      </c>
      <c r="CJ72" s="8">
        <v>-43.9</v>
      </c>
      <c r="CK72" s="8">
        <v>-86.59999999999999</v>
      </c>
      <c r="CL72" s="8">
        <v>-104.2</v>
      </c>
      <c r="CM72" s="8">
        <v>-118.5</v>
      </c>
      <c r="CN72" s="8">
        <v>-224.7</v>
      </c>
      <c r="CO72" s="8">
        <v>-196.9</v>
      </c>
      <c r="CP72" s="8">
        <v>-40.3</v>
      </c>
      <c r="CQ72" s="8">
        <v>-19.7</v>
      </c>
      <c r="CR72" s="8">
        <v>-16.9</v>
      </c>
      <c r="CS72" s="8">
        <v>62.5</v>
      </c>
      <c r="CT72" s="8">
        <v>344.8</v>
      </c>
      <c r="CU72" s="8">
        <v>142.7</v>
      </c>
      <c r="CV72" s="8">
        <v>82</v>
      </c>
      <c r="CW72" s="8">
        <v>39.2</v>
      </c>
      <c r="CX72" s="8">
        <v>-26.6</v>
      </c>
      <c r="CY72" s="8">
        <v>-47.7</v>
      </c>
      <c r="CZ72" s="8">
        <v>-129.5</v>
      </c>
      <c r="DA72" s="8">
        <v>-257.6</v>
      </c>
      <c r="DB72" s="8">
        <v>-269.3</v>
      </c>
      <c r="DC72" s="8">
        <v>-125.1</v>
      </c>
      <c r="DD72" s="8">
        <v>-77.59999999999999</v>
      </c>
      <c r="DE72" s="8">
        <v>-63.3</v>
      </c>
      <c r="DF72" s="8">
        <v>-124.9</v>
      </c>
      <c r="DG72" s="8">
        <v>-96.09999999999999</v>
      </c>
      <c r="DH72" s="8">
        <v>-61.6</v>
      </c>
      <c r="DI72" s="8">
        <v>435.9</v>
      </c>
      <c r="DJ72" s="8">
        <v>-131.8</v>
      </c>
      <c r="DK72" s="8">
        <v>-123.1</v>
      </c>
      <c r="DL72" s="8">
        <v>-137.5</v>
      </c>
      <c r="DM72" s="8">
        <v>79.40000000000001</v>
      </c>
      <c r="DN72" s="8">
        <v>50.5</v>
      </c>
      <c r="DO72" s="8">
        <v>-92.40000000000001</v>
      </c>
      <c r="DP72" s="8">
        <v>-72.59999999999999</v>
      </c>
      <c r="DQ72" s="8">
        <v>-168.7</v>
      </c>
      <c r="DR72" s="8">
        <v>-135.8</v>
      </c>
      <c r="DS72" s="8">
        <v>-256.5</v>
      </c>
      <c r="DT72" s="8">
        <v>-166</v>
      </c>
      <c r="DU72" s="8">
        <v>89.5</v>
      </c>
      <c r="DV72" s="8">
        <v>-104.7</v>
      </c>
      <c r="DW72" s="8">
        <v>59.4</v>
      </c>
      <c r="DX72" s="8">
        <v>-89</v>
      </c>
      <c r="DY72" s="8">
        <v>35.7</v>
      </c>
      <c r="DZ72" s="8">
        <v>87.40000000000001</v>
      </c>
      <c r="EA72" s="8">
        <v>16.6</v>
      </c>
    </row>
    <row r="73" spans="1:147">
      <c r="A73" s="7">
        <v>34.95</v>
      </c>
      <c r="J73" s="8">
        <v>-23.3</v>
      </c>
      <c r="K73" s="8">
        <v>-7.9</v>
      </c>
      <c r="L73" s="8">
        <v>-34.4</v>
      </c>
      <c r="M73" s="8">
        <v>57.1</v>
      </c>
      <c r="N73" s="8">
        <v>77.2</v>
      </c>
      <c r="O73" s="8">
        <v>128.6</v>
      </c>
      <c r="P73" s="8">
        <v>40.8</v>
      </c>
      <c r="Q73" s="8">
        <v>100.4</v>
      </c>
      <c r="R73" s="8">
        <v>56.5</v>
      </c>
      <c r="S73" s="8">
        <v>72</v>
      </c>
      <c r="T73" s="8">
        <v>88.5</v>
      </c>
      <c r="U73" s="8">
        <v>82.5</v>
      </c>
      <c r="V73" s="8">
        <v>-4.3</v>
      </c>
      <c r="W73" s="8">
        <v>49.8</v>
      </c>
      <c r="X73" s="8">
        <v>11.1</v>
      </c>
      <c r="Y73" s="8">
        <v>90.40000000000001</v>
      </c>
      <c r="Z73" s="8">
        <v>-32.4</v>
      </c>
      <c r="AA73" s="8">
        <v>-37.4</v>
      </c>
      <c r="AB73" s="8">
        <v>-104</v>
      </c>
      <c r="AC73" s="8">
        <v>-101.3</v>
      </c>
      <c r="AD73" s="8">
        <v>-172.1</v>
      </c>
      <c r="AE73" s="8">
        <v>-146.9</v>
      </c>
      <c r="AF73" s="8">
        <v>-168.4</v>
      </c>
      <c r="AG73" s="8">
        <v>-156.3</v>
      </c>
      <c r="AH73" s="8">
        <v>-155.7</v>
      </c>
      <c r="AI73" s="8">
        <v>-129.7</v>
      </c>
      <c r="AJ73" s="8">
        <v>-113.9</v>
      </c>
      <c r="AK73" s="8">
        <v>-106.6</v>
      </c>
      <c r="AL73" s="8">
        <v>-79.5</v>
      </c>
      <c r="AM73" s="8">
        <v>-41.1</v>
      </c>
      <c r="AN73" s="8">
        <v>44.4</v>
      </c>
      <c r="AO73" s="8">
        <v>23.5</v>
      </c>
      <c r="AP73" s="8">
        <v>-63.8</v>
      </c>
      <c r="AQ73" s="8">
        <v>-137</v>
      </c>
      <c r="AR73" s="8">
        <v>-86.7</v>
      </c>
      <c r="AS73" s="8">
        <v>-87.3</v>
      </c>
      <c r="AT73" s="8">
        <v>-62.7</v>
      </c>
      <c r="AU73" s="8">
        <v>-84.2</v>
      </c>
      <c r="AV73" s="8">
        <v>-65.2</v>
      </c>
      <c r="AW73" s="8">
        <v>84.90000000000001</v>
      </c>
      <c r="AX73" s="8">
        <v>11</v>
      </c>
      <c r="AY73" s="8">
        <v>7</v>
      </c>
      <c r="AZ73" s="8">
        <v>-105.1</v>
      </c>
      <c r="BA73" s="8">
        <v>-150.5</v>
      </c>
      <c r="BB73" s="8">
        <v>-120</v>
      </c>
      <c r="BC73" s="8">
        <v>-138.1</v>
      </c>
      <c r="BD73" s="8">
        <v>-126.3</v>
      </c>
      <c r="BE73" s="8">
        <v>-106.2</v>
      </c>
      <c r="BF73" s="8">
        <v>-80.7</v>
      </c>
      <c r="BG73" s="8">
        <v>-122.1</v>
      </c>
      <c r="BH73" s="8">
        <v>-127.7</v>
      </c>
      <c r="BI73" s="8">
        <v>-122.4</v>
      </c>
      <c r="BJ73" s="8">
        <v>-99.2</v>
      </c>
      <c r="BK73" s="8">
        <v>-103.2</v>
      </c>
      <c r="BL73" s="8">
        <v>-97.3</v>
      </c>
      <c r="BM73" s="8">
        <v>-108.5</v>
      </c>
      <c r="BN73" s="8">
        <v>-114.5</v>
      </c>
      <c r="BO73" s="8">
        <v>-88.40000000000001</v>
      </c>
      <c r="BP73" s="8">
        <v>-77.59999999999999</v>
      </c>
      <c r="BQ73" s="8">
        <v>-71.90000000000001</v>
      </c>
      <c r="BR73" s="8">
        <v>-65.59999999999999</v>
      </c>
      <c r="BS73" s="8">
        <v>70.90000000000001</v>
      </c>
      <c r="BT73" s="8">
        <v>63.3</v>
      </c>
      <c r="BU73" s="8">
        <v>105.6</v>
      </c>
      <c r="BV73" s="8">
        <v>121.8</v>
      </c>
      <c r="BW73" s="8">
        <v>143.1</v>
      </c>
      <c r="BX73" s="8">
        <v>66.3</v>
      </c>
      <c r="BY73" s="8">
        <v>307.1</v>
      </c>
      <c r="BZ73" s="8">
        <v>-32.3</v>
      </c>
      <c r="CA73" s="8">
        <v>-128.8</v>
      </c>
      <c r="CB73" s="8">
        <v>-124.8</v>
      </c>
      <c r="CC73" s="8">
        <v>-152</v>
      </c>
      <c r="CD73" s="8">
        <v>-232.8</v>
      </c>
      <c r="CE73" s="8">
        <v>-142.4</v>
      </c>
      <c r="CF73" s="8">
        <v>-170.4</v>
      </c>
      <c r="CG73" s="8">
        <v>-83.3</v>
      </c>
      <c r="CH73" s="8">
        <v>60.2</v>
      </c>
      <c r="CI73" s="8">
        <v>357.4</v>
      </c>
      <c r="CJ73" s="8">
        <v>22.6</v>
      </c>
      <c r="CK73" s="8">
        <v>-57.3</v>
      </c>
      <c r="CL73" s="8">
        <v>-78.2</v>
      </c>
      <c r="CM73" s="8">
        <v>-108.9</v>
      </c>
      <c r="CN73" s="8">
        <v>-141.9</v>
      </c>
      <c r="CO73" s="8">
        <v>-209.8</v>
      </c>
      <c r="CP73" s="8">
        <v>-82.5</v>
      </c>
      <c r="CQ73" s="8">
        <v>7.3</v>
      </c>
      <c r="CR73" s="8">
        <v>226.7</v>
      </c>
      <c r="CS73" s="8">
        <v>174.7</v>
      </c>
      <c r="CT73" s="8">
        <v>-37</v>
      </c>
      <c r="CU73" s="8">
        <v>104.7</v>
      </c>
      <c r="CV73" s="8">
        <v>119.1</v>
      </c>
      <c r="CW73" s="8">
        <v>77</v>
      </c>
      <c r="CX73" s="8">
        <v>124.4</v>
      </c>
      <c r="CY73" s="8">
        <v>62.2</v>
      </c>
      <c r="CZ73" s="8">
        <v>-16.6</v>
      </c>
      <c r="DA73" s="8">
        <v>-148.1</v>
      </c>
      <c r="DB73" s="8">
        <v>-176.5</v>
      </c>
      <c r="DC73" s="8">
        <v>-257.8</v>
      </c>
      <c r="DD73" s="8">
        <v>-209.4</v>
      </c>
      <c r="DE73" s="8">
        <v>-33.3</v>
      </c>
      <c r="DF73" s="8">
        <v>-83.59999999999999</v>
      </c>
      <c r="DG73" s="8">
        <v>-54.5</v>
      </c>
      <c r="DH73" s="8">
        <v>87.3</v>
      </c>
      <c r="DI73" s="8">
        <v>227.5</v>
      </c>
      <c r="DJ73" s="8">
        <v>109.3</v>
      </c>
      <c r="DK73" s="8">
        <v>-18.4</v>
      </c>
      <c r="DL73" s="8">
        <v>-180.2</v>
      </c>
      <c r="DM73" s="8">
        <v>-244.5</v>
      </c>
      <c r="DN73" s="8">
        <v>27.3</v>
      </c>
      <c r="DO73" s="8">
        <v>-28.4</v>
      </c>
      <c r="DP73" s="8">
        <v>811.5</v>
      </c>
      <c r="DQ73" s="8">
        <v>-132.8</v>
      </c>
      <c r="DR73" s="8">
        <v>-194.5</v>
      </c>
      <c r="DS73" s="8">
        <v>-168.6</v>
      </c>
      <c r="DT73" s="8">
        <v>156.9</v>
      </c>
      <c r="DU73" s="8">
        <v>103.1</v>
      </c>
      <c r="DV73" s="8">
        <v>86.2</v>
      </c>
      <c r="DW73" s="8">
        <v>-165.8</v>
      </c>
      <c r="DX73" s="8">
        <v>-155.2</v>
      </c>
      <c r="DY73" s="8">
        <v>-35.2</v>
      </c>
      <c r="DZ73" s="8">
        <v>114.3</v>
      </c>
      <c r="EA73" s="8">
        <v>65.3</v>
      </c>
      <c r="EB73" s="8">
        <v>252.8</v>
      </c>
    </row>
    <row r="74" spans="1:147">
      <c r="A74" s="7">
        <v>34.975</v>
      </c>
      <c r="J74" s="8">
        <v>-24.3</v>
      </c>
      <c r="K74" s="8">
        <v>-37.1</v>
      </c>
      <c r="L74" s="8">
        <v>-56.2</v>
      </c>
      <c r="M74" s="8">
        <v>-6</v>
      </c>
      <c r="N74" s="8">
        <v>-43</v>
      </c>
      <c r="O74" s="8">
        <v>-41</v>
      </c>
      <c r="P74" s="8">
        <v>11.1</v>
      </c>
      <c r="Q74" s="8">
        <v>29.8</v>
      </c>
      <c r="R74" s="8">
        <v>46.7</v>
      </c>
      <c r="S74" s="8">
        <v>-0.2</v>
      </c>
      <c r="T74" s="8">
        <v>-140.6</v>
      </c>
      <c r="U74" s="8">
        <v>-19</v>
      </c>
      <c r="V74" s="8">
        <v>153.2</v>
      </c>
      <c r="W74" s="8">
        <v>119.4</v>
      </c>
      <c r="X74" s="8">
        <v>55.6</v>
      </c>
      <c r="Y74" s="8">
        <v>78.09999999999999</v>
      </c>
      <c r="Z74" s="8">
        <v>37</v>
      </c>
      <c r="AA74" s="8">
        <v>-47.5</v>
      </c>
      <c r="AB74" s="8">
        <v>-79.59999999999999</v>
      </c>
      <c r="AC74" s="8">
        <v>-137.1</v>
      </c>
      <c r="AD74" s="8">
        <v>-106.3</v>
      </c>
      <c r="AE74" s="8">
        <v>-109.7</v>
      </c>
      <c r="AF74" s="8">
        <v>-48.1</v>
      </c>
      <c r="AG74" s="8">
        <v>-137.4</v>
      </c>
      <c r="AH74" s="8">
        <v>-103</v>
      </c>
      <c r="AI74" s="8">
        <v>-133.3</v>
      </c>
      <c r="AJ74" s="8">
        <v>-116.1</v>
      </c>
      <c r="AK74" s="8">
        <v>-81.3</v>
      </c>
      <c r="AL74" s="8">
        <v>-32.4</v>
      </c>
      <c r="AM74" s="8">
        <v>12.3</v>
      </c>
      <c r="AN74" s="8">
        <v>104.5</v>
      </c>
      <c r="AO74" s="8">
        <v>34.1</v>
      </c>
      <c r="AP74" s="8">
        <v>-111.2</v>
      </c>
      <c r="AQ74" s="8">
        <v>-137.9</v>
      </c>
      <c r="AR74" s="8">
        <v>-129.2</v>
      </c>
      <c r="AS74" s="8">
        <v>-93.5</v>
      </c>
      <c r="AT74" s="8">
        <v>-36.4</v>
      </c>
      <c r="AU74" s="8">
        <v>-63.7</v>
      </c>
      <c r="AV74" s="8">
        <v>-138.2</v>
      </c>
      <c r="AW74" s="8">
        <v>39.3</v>
      </c>
      <c r="AX74" s="8">
        <v>-8.5</v>
      </c>
      <c r="AY74" s="8">
        <v>-80.90000000000001</v>
      </c>
      <c r="AZ74" s="8">
        <v>-22</v>
      </c>
      <c r="BA74" s="8">
        <v>-74.5</v>
      </c>
      <c r="BB74" s="8">
        <v>-94.90000000000001</v>
      </c>
      <c r="BC74" s="8">
        <v>-103.1</v>
      </c>
      <c r="BD74" s="8">
        <v>-127.3</v>
      </c>
      <c r="BE74" s="8">
        <v>-108.8</v>
      </c>
      <c r="BF74" s="8">
        <v>-101.4</v>
      </c>
      <c r="BG74" s="8">
        <v>-81.90000000000001</v>
      </c>
      <c r="BH74" s="8">
        <v>-120.3</v>
      </c>
      <c r="BI74" s="8">
        <v>-113.1</v>
      </c>
      <c r="BJ74" s="8">
        <v>-160.4</v>
      </c>
      <c r="BK74" s="8">
        <v>-161.5</v>
      </c>
      <c r="BL74" s="8">
        <v>-64</v>
      </c>
      <c r="BM74" s="8">
        <v>-60.2</v>
      </c>
      <c r="BN74" s="8">
        <v>-53.8</v>
      </c>
      <c r="BO74" s="8">
        <v>-40.3</v>
      </c>
      <c r="BP74" s="8">
        <v>-23.8</v>
      </c>
      <c r="BQ74" s="8">
        <v>-25.4</v>
      </c>
      <c r="BR74" s="8">
        <v>-27.8</v>
      </c>
      <c r="BS74" s="8">
        <v>-28.1</v>
      </c>
      <c r="BT74" s="8">
        <v>35.4</v>
      </c>
      <c r="BU74" s="8">
        <v>84.09999999999999</v>
      </c>
      <c r="BV74" s="8">
        <v>103.6</v>
      </c>
      <c r="BW74" s="8">
        <v>185.4</v>
      </c>
      <c r="BX74" s="8">
        <v>81.09999999999999</v>
      </c>
      <c r="BY74" s="8">
        <v>8.4</v>
      </c>
      <c r="BZ74" s="8">
        <v>-61.3</v>
      </c>
      <c r="CA74" s="8">
        <v>-112.6</v>
      </c>
      <c r="CB74" s="8">
        <v>-114</v>
      </c>
      <c r="CC74" s="8">
        <v>-140.5</v>
      </c>
      <c r="CD74" s="8">
        <v>-189.5</v>
      </c>
      <c r="CE74" s="8">
        <v>-129.6</v>
      </c>
      <c r="CF74" s="8">
        <v>-185.8</v>
      </c>
      <c r="CG74" s="8">
        <v>-200</v>
      </c>
      <c r="CH74" s="8">
        <v>55.4</v>
      </c>
      <c r="CI74" s="8">
        <v>317.2</v>
      </c>
      <c r="CJ74" s="8">
        <v>-24.1</v>
      </c>
      <c r="CK74" s="8">
        <v>-75.5</v>
      </c>
      <c r="CL74" s="8">
        <v>-90.7</v>
      </c>
      <c r="CM74" s="8">
        <v>-109</v>
      </c>
      <c r="CN74" s="8">
        <v>-184.2</v>
      </c>
      <c r="CO74" s="8">
        <v>-212.3</v>
      </c>
      <c r="CP74" s="8">
        <v>-262.3</v>
      </c>
      <c r="CQ74" s="8">
        <v>-150.8</v>
      </c>
      <c r="CR74" s="8">
        <v>155.1</v>
      </c>
      <c r="CS74" s="8">
        <v>292.2</v>
      </c>
      <c r="CT74" s="8">
        <v>74.2</v>
      </c>
      <c r="CU74" s="8">
        <v>102.6</v>
      </c>
      <c r="CV74" s="8">
        <v>205</v>
      </c>
      <c r="CW74" s="8">
        <v>246.7</v>
      </c>
      <c r="CX74" s="8">
        <v>174.8</v>
      </c>
      <c r="CY74" s="8">
        <v>112.1</v>
      </c>
      <c r="CZ74" s="8">
        <v>42.6</v>
      </c>
      <c r="DA74" s="8">
        <v>-48.1</v>
      </c>
      <c r="DB74" s="8">
        <v>-102.6</v>
      </c>
      <c r="DC74" s="8">
        <v>42.1</v>
      </c>
      <c r="DD74" s="8">
        <v>85.3</v>
      </c>
      <c r="DE74" s="8">
        <v>-35.4</v>
      </c>
      <c r="DF74" s="8">
        <v>-54.5</v>
      </c>
      <c r="DG74" s="8">
        <v>2.6</v>
      </c>
      <c r="DH74" s="8">
        <v>-72</v>
      </c>
      <c r="DI74" s="8">
        <v>111</v>
      </c>
      <c r="DJ74" s="8">
        <v>-68</v>
      </c>
      <c r="DK74" s="8">
        <v>-25</v>
      </c>
      <c r="DL74" s="8">
        <v>24.6</v>
      </c>
      <c r="DM74" s="8">
        <v>10.6</v>
      </c>
      <c r="DN74" s="8">
        <v>53</v>
      </c>
      <c r="DO74" s="8">
        <v>14.1</v>
      </c>
      <c r="DP74" s="8">
        <v>-49.3</v>
      </c>
      <c r="DQ74" s="8">
        <v>-76.7</v>
      </c>
      <c r="DR74" s="8">
        <v>-15.4</v>
      </c>
      <c r="DS74" s="8">
        <v>-22.3</v>
      </c>
      <c r="DT74" s="8">
        <v>-158.4</v>
      </c>
      <c r="DU74" s="8">
        <v>-63.1</v>
      </c>
      <c r="DV74" s="8">
        <v>-13.4</v>
      </c>
      <c r="DW74" s="8">
        <v>-115.2</v>
      </c>
      <c r="DX74" s="8">
        <v>-45.6</v>
      </c>
      <c r="DY74" s="8">
        <v>-125.8</v>
      </c>
      <c r="DZ74" s="8">
        <v>259.4</v>
      </c>
      <c r="EA74" s="8">
        <v>374.1</v>
      </c>
      <c r="EB74" s="8">
        <v>298.1</v>
      </c>
    </row>
    <row r="75" spans="1:147">
      <c r="A75" s="7">
        <v>35</v>
      </c>
      <c r="J75" s="8">
        <v>-3.3</v>
      </c>
      <c r="K75" s="8">
        <v>-88.5</v>
      </c>
      <c r="L75" s="8">
        <v>-15.2</v>
      </c>
      <c r="M75" s="8">
        <v>-60.6</v>
      </c>
      <c r="N75" s="8">
        <v>51.5</v>
      </c>
      <c r="O75" s="8">
        <v>10.7</v>
      </c>
      <c r="P75" s="8">
        <v>-77.8</v>
      </c>
      <c r="Q75" s="8">
        <v>-14.5</v>
      </c>
      <c r="R75" s="8">
        <v>104.9</v>
      </c>
      <c r="S75" s="8">
        <v>40.9</v>
      </c>
      <c r="T75" s="8">
        <v>51.7</v>
      </c>
      <c r="U75" s="8">
        <v>-273.7</v>
      </c>
      <c r="V75" s="8">
        <v>16.8</v>
      </c>
      <c r="W75" s="8">
        <v>16.4</v>
      </c>
      <c r="X75" s="8">
        <v>56.9</v>
      </c>
      <c r="Y75" s="8">
        <v>13.8</v>
      </c>
      <c r="Z75" s="8">
        <v>111.1</v>
      </c>
      <c r="AA75" s="8">
        <v>42.7</v>
      </c>
      <c r="AB75" s="8">
        <v>-10</v>
      </c>
      <c r="AC75" s="8">
        <v>-89.5</v>
      </c>
      <c r="AD75" s="8">
        <v>-14.1</v>
      </c>
      <c r="AE75" s="8">
        <v>-26.9</v>
      </c>
      <c r="AF75" s="8">
        <v>6.2</v>
      </c>
      <c r="AG75" s="8">
        <v>-93.5</v>
      </c>
      <c r="AH75" s="8">
        <v>-106.2</v>
      </c>
      <c r="AI75" s="8">
        <v>-96.5</v>
      </c>
      <c r="AJ75" s="8">
        <v>-92.3</v>
      </c>
      <c r="AK75" s="8">
        <v>-41.2</v>
      </c>
      <c r="AL75" s="8">
        <v>6.5</v>
      </c>
      <c r="AM75" s="8">
        <v>83.8</v>
      </c>
      <c r="AN75" s="8">
        <v>100.3</v>
      </c>
      <c r="AO75" s="8">
        <v>-15.1</v>
      </c>
      <c r="AP75" s="8">
        <v>-102.3</v>
      </c>
      <c r="AQ75" s="8">
        <v>-158.8</v>
      </c>
      <c r="AR75" s="8">
        <v>-126</v>
      </c>
      <c r="AS75" s="8">
        <v>-110.3</v>
      </c>
      <c r="AT75" s="8">
        <v>153.9</v>
      </c>
      <c r="AU75" s="8">
        <v>-37.9</v>
      </c>
      <c r="AV75" s="8">
        <v>24</v>
      </c>
      <c r="AW75" s="8">
        <v>108.6</v>
      </c>
      <c r="AX75" s="8">
        <v>-73</v>
      </c>
      <c r="AY75" s="8">
        <v>-97</v>
      </c>
      <c r="AZ75" s="8">
        <v>-134.7</v>
      </c>
      <c r="BA75" s="8">
        <v>-52.9</v>
      </c>
      <c r="BB75" s="8">
        <v>-69.2</v>
      </c>
      <c r="BC75" s="8">
        <v>-71.59999999999999</v>
      </c>
      <c r="BD75" s="8">
        <v>-135.8</v>
      </c>
      <c r="BE75" s="8">
        <v>-130.5</v>
      </c>
      <c r="BF75" s="8">
        <v>-84.7</v>
      </c>
      <c r="BG75" s="8">
        <v>-120.5</v>
      </c>
      <c r="BH75" s="8">
        <v>-79</v>
      </c>
      <c r="BI75" s="8">
        <v>-139.2</v>
      </c>
      <c r="BJ75" s="8">
        <v>-151.9</v>
      </c>
      <c r="BK75" s="8">
        <v>-79.59999999999999</v>
      </c>
      <c r="BL75" s="8">
        <v>-69.90000000000001</v>
      </c>
      <c r="BM75" s="8">
        <v>-48.1</v>
      </c>
      <c r="BN75" s="8">
        <v>-17.3</v>
      </c>
      <c r="BO75" s="8">
        <v>-31.8</v>
      </c>
      <c r="BP75" s="8">
        <v>-7.1</v>
      </c>
      <c r="BQ75" s="8">
        <v>2.4</v>
      </c>
      <c r="BR75" s="8">
        <v>-16.9</v>
      </c>
      <c r="BS75" s="8">
        <v>-53.4</v>
      </c>
      <c r="BT75" s="8">
        <v>12.2</v>
      </c>
      <c r="BU75" s="8">
        <v>11.2</v>
      </c>
      <c r="BV75" s="8">
        <v>24.6</v>
      </c>
      <c r="BW75" s="8">
        <v>83.59999999999999</v>
      </c>
      <c r="BX75" s="8">
        <v>58.3</v>
      </c>
      <c r="BY75" s="8">
        <v>-4.4</v>
      </c>
      <c r="BZ75" s="8">
        <v>-74.90000000000001</v>
      </c>
      <c r="CA75" s="8">
        <v>-105.8</v>
      </c>
      <c r="CB75" s="8">
        <v>-107.2</v>
      </c>
      <c r="CC75" s="8">
        <v>-125.2</v>
      </c>
      <c r="CD75" s="8">
        <v>-127.4</v>
      </c>
      <c r="CE75" s="8">
        <v>-118.6</v>
      </c>
      <c r="CF75" s="8">
        <v>-126.4</v>
      </c>
      <c r="CG75" s="8">
        <v>-247.2</v>
      </c>
      <c r="CH75" s="8">
        <v>-45.1</v>
      </c>
      <c r="CI75" s="8">
        <v>-74</v>
      </c>
      <c r="CJ75" s="8">
        <v>-153.5</v>
      </c>
      <c r="CK75" s="8">
        <v>-79.8</v>
      </c>
      <c r="CL75" s="8">
        <v>-46.7</v>
      </c>
      <c r="CM75" s="8">
        <v>-65.90000000000001</v>
      </c>
      <c r="CN75" s="8">
        <v>-160.8</v>
      </c>
      <c r="CO75" s="8">
        <v>-140.3</v>
      </c>
      <c r="CP75" s="8">
        <v>-190.1</v>
      </c>
      <c r="CQ75" s="8">
        <v>-209.8</v>
      </c>
      <c r="CR75" s="8">
        <v>-148.6</v>
      </c>
      <c r="CS75" s="8">
        <v>-146.4</v>
      </c>
      <c r="CT75" s="8">
        <v>-95.8</v>
      </c>
      <c r="CU75" s="8">
        <v>-334.4</v>
      </c>
      <c r="CV75" s="8">
        <v>-359</v>
      </c>
      <c r="CW75" s="8">
        <v>-300.5</v>
      </c>
      <c r="CX75" s="8">
        <v>168.7</v>
      </c>
      <c r="CY75" s="8">
        <v>200.5</v>
      </c>
      <c r="CZ75" s="8">
        <v>144.6</v>
      </c>
      <c r="DA75" s="8">
        <v>47.3</v>
      </c>
      <c r="DB75" s="8">
        <v>-78.59999999999999</v>
      </c>
      <c r="DC75" s="8">
        <v>-319.9</v>
      </c>
      <c r="DD75" s="8">
        <v>-125.1</v>
      </c>
      <c r="DE75" s="8">
        <v>307.6</v>
      </c>
      <c r="DF75" s="8">
        <v>105.1</v>
      </c>
      <c r="DG75" s="8">
        <v>115.3</v>
      </c>
      <c r="DH75" s="8">
        <v>-62.1</v>
      </c>
      <c r="DI75" s="8">
        <v>-205.2</v>
      </c>
      <c r="DJ75" s="8">
        <v>11.2</v>
      </c>
      <c r="DK75" s="8">
        <v>13.8</v>
      </c>
      <c r="DL75" s="8">
        <v>54.6</v>
      </c>
      <c r="DM75" s="8">
        <v>58.4</v>
      </c>
      <c r="DN75" s="8">
        <v>5.5</v>
      </c>
      <c r="DO75" s="8">
        <v>82.2</v>
      </c>
      <c r="DP75" s="8">
        <v>190.9</v>
      </c>
      <c r="DQ75" s="8">
        <v>304.9</v>
      </c>
      <c r="DR75" s="8">
        <v>314.1</v>
      </c>
      <c r="DS75" s="8">
        <v>348.2</v>
      </c>
      <c r="DT75" s="8">
        <v>113.6</v>
      </c>
      <c r="DU75" s="8">
        <v>70.40000000000001</v>
      </c>
      <c r="DV75" s="8">
        <v>111.6</v>
      </c>
      <c r="DW75" s="8">
        <v>23.3</v>
      </c>
      <c r="DX75" s="8">
        <v>5.6</v>
      </c>
      <c r="DY75" s="8">
        <v>-207.4</v>
      </c>
      <c r="DZ75" s="8">
        <v>186.7</v>
      </c>
      <c r="EA75" s="8">
        <v>304.6</v>
      </c>
      <c r="EB75" s="8">
        <v>332.4</v>
      </c>
      <c r="EC75" s="8">
        <v>50.9</v>
      </c>
      <c r="ED75" s="8">
        <v>-163.6</v>
      </c>
      <c r="EE75" s="8">
        <v>-30.1</v>
      </c>
      <c r="EF75" s="8">
        <v>9.800000000000001</v>
      </c>
      <c r="EG75" s="8">
        <v>-30.2</v>
      </c>
      <c r="EH75" s="8">
        <v>-66.40000000000001</v>
      </c>
      <c r="EI75" s="8">
        <v>-194.5</v>
      </c>
      <c r="EJ75" s="8">
        <v>-144.1</v>
      </c>
      <c r="EK75" s="8">
        <v>-60</v>
      </c>
      <c r="EL75" s="8">
        <v>23.6</v>
      </c>
    </row>
    <row r="76" spans="1:147">
      <c r="A76" s="7">
        <v>35.025</v>
      </c>
      <c r="J76" s="8">
        <v>18.9</v>
      </c>
      <c r="K76" s="8">
        <v>59.2</v>
      </c>
      <c r="L76" s="8">
        <v>6</v>
      </c>
      <c r="M76" s="8">
        <v>-34.3</v>
      </c>
      <c r="N76" s="8">
        <v>42.4</v>
      </c>
      <c r="O76" s="8">
        <v>-29.2</v>
      </c>
      <c r="P76" s="8">
        <v>7.4</v>
      </c>
      <c r="Q76" s="8">
        <v>-13.4</v>
      </c>
      <c r="R76" s="8">
        <v>-13.8</v>
      </c>
      <c r="S76" s="8">
        <v>-15.2</v>
      </c>
      <c r="T76" s="8">
        <v>36.4</v>
      </c>
      <c r="U76" s="8">
        <v>145.4</v>
      </c>
      <c r="V76" s="8">
        <v>247.5</v>
      </c>
      <c r="W76" s="8">
        <v>112.3</v>
      </c>
      <c r="X76" s="8">
        <v>20.9</v>
      </c>
      <c r="Y76" s="8">
        <v>10.8</v>
      </c>
      <c r="Z76" s="8">
        <v>-20.8</v>
      </c>
      <c r="AA76" s="8">
        <v>-4.5</v>
      </c>
      <c r="AB76" s="8">
        <v>-42.3</v>
      </c>
      <c r="AC76" s="8">
        <v>-45.6</v>
      </c>
      <c r="AD76" s="8">
        <v>-39.3</v>
      </c>
      <c r="AE76" s="8">
        <v>-65.3</v>
      </c>
      <c r="AF76" s="8">
        <v>-92.8</v>
      </c>
      <c r="AG76" s="8">
        <v>-73.40000000000001</v>
      </c>
      <c r="AH76" s="8">
        <v>-76.59999999999999</v>
      </c>
      <c r="AI76" s="8">
        <v>-52.9</v>
      </c>
      <c r="AJ76" s="8">
        <v>-48.1</v>
      </c>
      <c r="AK76" s="8">
        <v>-19.1</v>
      </c>
      <c r="AL76" s="8">
        <v>34.6</v>
      </c>
      <c r="AM76" s="8">
        <v>60.5</v>
      </c>
      <c r="AN76" s="8">
        <v>0.6</v>
      </c>
      <c r="AO76" s="8">
        <v>-100.4</v>
      </c>
      <c r="AP76" s="8">
        <v>-167.5</v>
      </c>
      <c r="AQ76" s="8">
        <v>-153.6</v>
      </c>
      <c r="AR76" s="8">
        <v>-106.4</v>
      </c>
      <c r="AS76" s="8">
        <v>-82.09999999999999</v>
      </c>
      <c r="AT76" s="8">
        <v>8.4</v>
      </c>
      <c r="AU76" s="8">
        <v>78</v>
      </c>
      <c r="AV76" s="8">
        <v>195.2</v>
      </c>
      <c r="AW76" s="8">
        <v>255.9</v>
      </c>
      <c r="AX76" s="8">
        <v>167.2</v>
      </c>
      <c r="AY76" s="8">
        <v>84.40000000000001</v>
      </c>
      <c r="AZ76" s="8">
        <v>61</v>
      </c>
      <c r="BA76" s="8">
        <v>71.2</v>
      </c>
      <c r="BB76" s="8">
        <v>78.59999999999999</v>
      </c>
      <c r="BC76" s="8">
        <v>9.1</v>
      </c>
      <c r="BD76" s="8">
        <v>-46.1</v>
      </c>
      <c r="BE76" s="8">
        <v>-112.4</v>
      </c>
      <c r="BF76" s="8">
        <v>-123.4</v>
      </c>
      <c r="BG76" s="8">
        <v>-65.09999999999999</v>
      </c>
      <c r="BH76" s="8">
        <v>43.9</v>
      </c>
      <c r="BI76" s="8">
        <v>-125.5</v>
      </c>
      <c r="BJ76" s="8">
        <v>-136.3</v>
      </c>
      <c r="BK76" s="8">
        <v>-118.7</v>
      </c>
      <c r="BL76" s="8">
        <v>-92.5</v>
      </c>
      <c r="BM76" s="8">
        <v>-70.59999999999999</v>
      </c>
      <c r="BN76" s="8">
        <v>-77.2</v>
      </c>
      <c r="BO76" s="8">
        <v>-44.8</v>
      </c>
      <c r="BP76" s="8">
        <v>-1.7</v>
      </c>
      <c r="BQ76" s="8">
        <v>-7.4</v>
      </c>
      <c r="BR76" s="8">
        <v>-24.3</v>
      </c>
      <c r="BS76" s="8">
        <v>-35.2</v>
      </c>
      <c r="BT76" s="8">
        <v>-25.1</v>
      </c>
      <c r="BU76" s="8">
        <v>41.6</v>
      </c>
      <c r="BV76" s="8">
        <v>15.1</v>
      </c>
      <c r="BW76" s="8">
        <v>56.2</v>
      </c>
      <c r="BX76" s="8">
        <v>-44.1</v>
      </c>
      <c r="BY76" s="8">
        <v>-131.3</v>
      </c>
      <c r="BZ76" s="8">
        <v>-177</v>
      </c>
      <c r="CA76" s="8">
        <v>-135.6</v>
      </c>
      <c r="CB76" s="8">
        <v>-149.7</v>
      </c>
      <c r="CC76" s="8">
        <v>-139.2</v>
      </c>
      <c r="CD76" s="8">
        <v>-225.2</v>
      </c>
      <c r="CE76" s="8">
        <v>-233.2</v>
      </c>
      <c r="CF76" s="8">
        <v>-214.6</v>
      </c>
      <c r="CG76" s="8">
        <v>-199.2</v>
      </c>
      <c r="CH76" s="8">
        <v>-286.4</v>
      </c>
      <c r="CI76" s="8">
        <v>-214.4</v>
      </c>
      <c r="CJ76" s="8">
        <v>-156.3</v>
      </c>
      <c r="CK76" s="8">
        <v>-168.5</v>
      </c>
      <c r="CL76" s="8">
        <v>-87.2</v>
      </c>
      <c r="CM76" s="8">
        <v>-39.2</v>
      </c>
      <c r="CN76" s="8">
        <v>17.3</v>
      </c>
      <c r="CO76" s="8">
        <v>18.6</v>
      </c>
      <c r="CP76" s="8">
        <v>-82.2</v>
      </c>
      <c r="CQ76" s="8">
        <v>-146.3</v>
      </c>
      <c r="CR76" s="8">
        <v>-220</v>
      </c>
      <c r="CS76" s="8">
        <v>-270.5</v>
      </c>
      <c r="CT76" s="8">
        <v>-336.5</v>
      </c>
      <c r="CU76" s="8">
        <v>-277.7</v>
      </c>
      <c r="CV76" s="8">
        <v>-209.6</v>
      </c>
      <c r="CW76" s="8">
        <v>-197.2</v>
      </c>
      <c r="CX76" s="8">
        <v>-261.3</v>
      </c>
      <c r="CY76" s="8">
        <v>244.4</v>
      </c>
      <c r="CZ76" s="8">
        <v>84.3</v>
      </c>
      <c r="DA76" s="8">
        <v>70.7</v>
      </c>
      <c r="DB76" s="8">
        <v>69.40000000000001</v>
      </c>
      <c r="DC76" s="8">
        <v>-4.5</v>
      </c>
      <c r="DD76" s="8">
        <v>168.4</v>
      </c>
      <c r="DE76" s="8">
        <v>193</v>
      </c>
      <c r="DF76" s="8">
        <v>-31.5</v>
      </c>
      <c r="DG76" s="8">
        <v>94.5</v>
      </c>
      <c r="DH76" s="8">
        <v>-162.8</v>
      </c>
      <c r="DI76" s="8">
        <v>-166.3</v>
      </c>
      <c r="DJ76" s="8">
        <v>-51.9</v>
      </c>
      <c r="DK76" s="8">
        <v>57.7</v>
      </c>
      <c r="DL76" s="8">
        <v>198.1</v>
      </c>
      <c r="DM76" s="8">
        <v>223</v>
      </c>
      <c r="DN76" s="8">
        <v>124.3</v>
      </c>
      <c r="DO76" s="8">
        <v>173.3</v>
      </c>
      <c r="DP76" s="8">
        <v>98.59999999999999</v>
      </c>
      <c r="DQ76" s="8">
        <v>206.5</v>
      </c>
      <c r="DR76" s="8">
        <v>283.3</v>
      </c>
      <c r="DS76" s="8">
        <v>109</v>
      </c>
      <c r="DT76" s="8">
        <v>114</v>
      </c>
      <c r="DU76" s="8">
        <v>234.3</v>
      </c>
      <c r="DV76" s="8">
        <v>222.8</v>
      </c>
      <c r="DW76" s="8">
        <v>175.8</v>
      </c>
      <c r="DX76" s="8">
        <v>-8.199999999999999</v>
      </c>
      <c r="DY76" s="8">
        <v>-181.6</v>
      </c>
      <c r="DZ76" s="8">
        <v>-383.6</v>
      </c>
      <c r="EA76" s="8">
        <v>-358.7</v>
      </c>
      <c r="EB76" s="8">
        <v>-196.9</v>
      </c>
      <c r="EC76" s="8">
        <v>-370.5</v>
      </c>
      <c r="ED76" s="8">
        <v>-197.1</v>
      </c>
      <c r="EE76" s="8">
        <v>-40.7</v>
      </c>
      <c r="EF76" s="8">
        <v>6.1</v>
      </c>
      <c r="EG76" s="8">
        <v>49.3</v>
      </c>
      <c r="EH76" s="8">
        <v>-3.3</v>
      </c>
      <c r="EI76" s="8">
        <v>-94.59999999999999</v>
      </c>
      <c r="EJ76" s="8">
        <v>-107.4</v>
      </c>
      <c r="EK76" s="8">
        <v>20.5</v>
      </c>
      <c r="EL76" s="8">
        <v>104.4</v>
      </c>
    </row>
    <row r="77" spans="1:147">
      <c r="A77" s="7">
        <v>35.05</v>
      </c>
      <c r="J77" s="8">
        <v>-214.3</v>
      </c>
      <c r="K77" s="8">
        <v>-2.3</v>
      </c>
      <c r="L77" s="8">
        <v>-10.3</v>
      </c>
      <c r="M77" s="8">
        <v>-12.3</v>
      </c>
      <c r="N77" s="8">
        <v>-55.6</v>
      </c>
      <c r="O77" s="8">
        <v>66.90000000000001</v>
      </c>
      <c r="P77" s="8">
        <v>-34.6</v>
      </c>
      <c r="Q77" s="8">
        <v>48.7</v>
      </c>
      <c r="R77" s="8">
        <v>-93.90000000000001</v>
      </c>
      <c r="S77" s="8">
        <v>-5.6</v>
      </c>
      <c r="T77" s="8">
        <v>-48.8</v>
      </c>
      <c r="U77" s="8">
        <v>91.5</v>
      </c>
      <c r="V77" s="8">
        <v>350.8</v>
      </c>
      <c r="W77" s="8">
        <v>142</v>
      </c>
      <c r="X77" s="8">
        <v>17.4</v>
      </c>
      <c r="Y77" s="8">
        <v>-45.8</v>
      </c>
      <c r="Z77" s="8">
        <v>-25.4</v>
      </c>
      <c r="AA77" s="8">
        <v>-45.7</v>
      </c>
      <c r="AB77" s="8">
        <v>-42</v>
      </c>
      <c r="AC77" s="8">
        <v>-40.2</v>
      </c>
      <c r="AD77" s="8">
        <v>-24.2</v>
      </c>
      <c r="AE77" s="8">
        <v>38.5</v>
      </c>
      <c r="AF77" s="8">
        <v>-2.2</v>
      </c>
      <c r="AG77" s="8">
        <v>-17.3</v>
      </c>
      <c r="AH77" s="8">
        <v>18.9</v>
      </c>
      <c r="AI77" s="8">
        <v>17.5</v>
      </c>
      <c r="AJ77" s="8">
        <v>11.1</v>
      </c>
      <c r="AK77" s="8">
        <v>25.3</v>
      </c>
      <c r="AL77" s="8">
        <v>25.1</v>
      </c>
      <c r="AM77" s="8">
        <v>-18.1</v>
      </c>
      <c r="AN77" s="8">
        <v>-110.3</v>
      </c>
      <c r="AO77" s="8">
        <v>-178.4</v>
      </c>
      <c r="AP77" s="8">
        <v>-67.7</v>
      </c>
      <c r="AQ77" s="8">
        <v>-117.6</v>
      </c>
      <c r="AR77" s="8">
        <v>-107</v>
      </c>
      <c r="AS77" s="8">
        <v>-73.7</v>
      </c>
      <c r="AT77" s="8">
        <v>-31.4</v>
      </c>
      <c r="AU77" s="8">
        <v>40.3</v>
      </c>
      <c r="AV77" s="8">
        <v>176.3</v>
      </c>
      <c r="AW77" s="8">
        <v>267.8</v>
      </c>
      <c r="AX77" s="8">
        <v>269.6</v>
      </c>
      <c r="AY77" s="8">
        <v>223.2</v>
      </c>
      <c r="AZ77" s="8">
        <v>222.7</v>
      </c>
      <c r="BA77" s="8">
        <v>309.2</v>
      </c>
      <c r="BB77" s="8">
        <v>286.4</v>
      </c>
      <c r="BC77" s="8">
        <v>134.1</v>
      </c>
      <c r="BD77" s="8">
        <v>71.2</v>
      </c>
      <c r="BE77" s="8">
        <v>-56.4</v>
      </c>
      <c r="BF77" s="8">
        <v>-104.7</v>
      </c>
      <c r="BG77" s="8">
        <v>-134.3</v>
      </c>
      <c r="BH77" s="8">
        <v>-114.7</v>
      </c>
      <c r="BI77" s="8">
        <v>-124.3</v>
      </c>
      <c r="BJ77" s="8">
        <v>-127.6</v>
      </c>
      <c r="BK77" s="8">
        <v>-118.4</v>
      </c>
      <c r="BL77" s="8">
        <v>-125.1</v>
      </c>
      <c r="BM77" s="8">
        <v>-110.7</v>
      </c>
      <c r="BN77" s="8">
        <v>-101.5</v>
      </c>
      <c r="BO77" s="8">
        <v>339.1</v>
      </c>
      <c r="BP77" s="8">
        <v>115.2</v>
      </c>
      <c r="BQ77" s="8">
        <v>41</v>
      </c>
      <c r="BR77" s="8">
        <v>43.7</v>
      </c>
      <c r="BS77" s="8">
        <v>32.6</v>
      </c>
      <c r="BT77" s="8">
        <v>1.4</v>
      </c>
      <c r="BU77" s="8">
        <v>10.2</v>
      </c>
      <c r="BV77" s="8">
        <v>19.8</v>
      </c>
      <c r="BW77" s="8">
        <v>-113</v>
      </c>
      <c r="BX77" s="8">
        <v>-134.3</v>
      </c>
      <c r="BY77" s="8">
        <v>-160.5</v>
      </c>
      <c r="BZ77" s="8">
        <v>-149.7</v>
      </c>
      <c r="CA77" s="8">
        <v>-136.6</v>
      </c>
      <c r="CB77" s="8">
        <v>-132.2</v>
      </c>
      <c r="CC77" s="8">
        <v>-134.1</v>
      </c>
      <c r="CD77" s="8">
        <v>-160.1</v>
      </c>
      <c r="CE77" s="8">
        <v>-197.6</v>
      </c>
      <c r="CF77" s="8">
        <v>-222.8</v>
      </c>
      <c r="CG77" s="8">
        <v>-182.1</v>
      </c>
      <c r="CH77" s="8">
        <v>-35.8</v>
      </c>
      <c r="CI77" s="8">
        <v>-161.9</v>
      </c>
      <c r="CJ77" s="8">
        <v>-214.2</v>
      </c>
      <c r="CK77" s="8">
        <v>-150</v>
      </c>
      <c r="CL77" s="8">
        <v>-27.9</v>
      </c>
      <c r="CM77" s="8">
        <v>135.8</v>
      </c>
      <c r="CN77" s="8">
        <v>63.6</v>
      </c>
      <c r="CO77" s="8">
        <v>60.2</v>
      </c>
      <c r="CP77" s="8">
        <v>-3.4</v>
      </c>
      <c r="CQ77" s="8">
        <v>-74.90000000000001</v>
      </c>
      <c r="CR77" s="8">
        <v>-136.5</v>
      </c>
      <c r="CS77" s="8">
        <v>-186.1</v>
      </c>
      <c r="CT77" s="8">
        <v>-246.4</v>
      </c>
      <c r="CU77" s="8">
        <v>-297.5</v>
      </c>
      <c r="CV77" s="8">
        <v>-315.2</v>
      </c>
      <c r="CW77" s="8">
        <v>-19.1</v>
      </c>
      <c r="CX77" s="8">
        <v>23.4</v>
      </c>
      <c r="CY77" s="8">
        <v>-133</v>
      </c>
      <c r="CZ77" s="8">
        <v>-49.2</v>
      </c>
      <c r="DA77" s="8">
        <v>75.3</v>
      </c>
      <c r="DB77" s="8">
        <v>107.4</v>
      </c>
      <c r="DC77" s="8">
        <v>23.1</v>
      </c>
      <c r="DD77" s="8">
        <v>-70.59999999999999</v>
      </c>
      <c r="DE77" s="8">
        <v>-112</v>
      </c>
      <c r="DF77" s="8">
        <v>-26.4</v>
      </c>
      <c r="DG77" s="8">
        <v>145.4</v>
      </c>
      <c r="DH77" s="8">
        <v>-152.9</v>
      </c>
      <c r="DI77" s="8">
        <v>-127.6</v>
      </c>
      <c r="DJ77" s="8">
        <v>64.3</v>
      </c>
      <c r="DK77" s="8">
        <v>312.1</v>
      </c>
      <c r="DL77" s="8">
        <v>520.2</v>
      </c>
      <c r="DM77" s="8">
        <v>339</v>
      </c>
      <c r="DN77" s="8">
        <v>283.4</v>
      </c>
      <c r="DO77" s="8">
        <v>297.6</v>
      </c>
      <c r="DP77" s="8">
        <v>347.7</v>
      </c>
      <c r="DQ77" s="8">
        <v>128.4</v>
      </c>
      <c r="DR77" s="8">
        <v>127.1</v>
      </c>
      <c r="DS77" s="8">
        <v>184.1</v>
      </c>
      <c r="DT77" s="8">
        <v>166.7</v>
      </c>
      <c r="DU77" s="8">
        <v>34.7</v>
      </c>
      <c r="DV77" s="8">
        <v>101.2</v>
      </c>
      <c r="DW77" s="8">
        <v>126.8</v>
      </c>
      <c r="DX77" s="8">
        <v>116.4</v>
      </c>
      <c r="DY77" s="8">
        <v>-131.2</v>
      </c>
      <c r="DZ77" s="8">
        <v>-125.8</v>
      </c>
      <c r="EA77" s="8">
        <v>-191</v>
      </c>
      <c r="EB77" s="8">
        <v>-187.6</v>
      </c>
      <c r="EC77" s="8">
        <v>-294.9</v>
      </c>
      <c r="ED77" s="8">
        <v>-79.3</v>
      </c>
      <c r="EE77" s="8">
        <v>-40.6</v>
      </c>
      <c r="EF77" s="8">
        <v>-55.3</v>
      </c>
      <c r="EG77" s="8">
        <v>-289.6</v>
      </c>
      <c r="EH77" s="8">
        <v>-64.90000000000001</v>
      </c>
      <c r="EI77" s="8">
        <v>-158.2</v>
      </c>
      <c r="EJ77" s="8">
        <v>-39.2</v>
      </c>
      <c r="EK77" s="8">
        <v>-51.9</v>
      </c>
      <c r="EL77" s="8">
        <v>-65.40000000000001</v>
      </c>
    </row>
    <row r="78" spans="1:147">
      <c r="A78" s="7">
        <v>35.075</v>
      </c>
      <c r="J78" s="8">
        <v>-29.1</v>
      </c>
      <c r="K78" s="8">
        <v>-27.5</v>
      </c>
      <c r="L78" s="8">
        <v>-55.4</v>
      </c>
      <c r="M78" s="8">
        <v>-86.7</v>
      </c>
      <c r="N78" s="8">
        <v>-23.3</v>
      </c>
      <c r="O78" s="8">
        <v>38.5</v>
      </c>
      <c r="P78" s="8">
        <v>115.8</v>
      </c>
      <c r="Q78" s="8">
        <v>43.5</v>
      </c>
      <c r="R78" s="8">
        <v>82.5</v>
      </c>
      <c r="S78" s="8">
        <v>105</v>
      </c>
      <c r="T78" s="8">
        <v>85.7</v>
      </c>
      <c r="U78" s="8">
        <v>-65.40000000000001</v>
      </c>
      <c r="V78" s="8">
        <v>-154</v>
      </c>
      <c r="W78" s="8">
        <v>-118.3</v>
      </c>
      <c r="X78" s="8">
        <v>-17.1</v>
      </c>
      <c r="Y78" s="8">
        <v>-21.2</v>
      </c>
      <c r="Z78" s="8">
        <v>-20</v>
      </c>
      <c r="AA78" s="8">
        <v>-88.7</v>
      </c>
      <c r="AB78" s="8">
        <v>-40.4</v>
      </c>
      <c r="AC78" s="8">
        <v>-21</v>
      </c>
      <c r="AD78" s="8">
        <v>-31.1</v>
      </c>
      <c r="AE78" s="8">
        <v>-31.8</v>
      </c>
      <c r="AF78" s="8">
        <v>29.4</v>
      </c>
      <c r="AG78" s="8">
        <v>61.2</v>
      </c>
      <c r="AH78" s="8">
        <v>185.4</v>
      </c>
      <c r="AI78" s="8">
        <v>196.9</v>
      </c>
      <c r="AJ78" s="8">
        <v>148.4</v>
      </c>
      <c r="AK78" s="8">
        <v>62.4</v>
      </c>
      <c r="AL78" s="8">
        <v>-3.2</v>
      </c>
      <c r="AM78" s="8">
        <v>-99.09999999999999</v>
      </c>
      <c r="AN78" s="8">
        <v>-174.9</v>
      </c>
      <c r="AO78" s="8">
        <v>-197.7</v>
      </c>
      <c r="AP78" s="8">
        <v>-142.1</v>
      </c>
      <c r="AQ78" s="8">
        <v>-131.7</v>
      </c>
      <c r="AR78" s="8">
        <v>-77.7</v>
      </c>
      <c r="AS78" s="8">
        <v>-60.6</v>
      </c>
      <c r="AT78" s="8">
        <v>-41.9</v>
      </c>
      <c r="AU78" s="8">
        <v>10.1</v>
      </c>
      <c r="AV78" s="8">
        <v>144.7</v>
      </c>
      <c r="AW78" s="8">
        <v>218.1</v>
      </c>
      <c r="AX78" s="8">
        <v>176.7</v>
      </c>
      <c r="AY78" s="8">
        <v>261</v>
      </c>
      <c r="AZ78" s="8">
        <v>338.3</v>
      </c>
      <c r="BA78" s="8">
        <v>272.4</v>
      </c>
      <c r="BB78" s="8">
        <v>183</v>
      </c>
      <c r="BC78" s="8">
        <v>82.40000000000001</v>
      </c>
      <c r="BD78" s="8">
        <v>71.5</v>
      </c>
      <c r="BE78" s="8">
        <v>-57.8</v>
      </c>
      <c r="BF78" s="8">
        <v>-88.7</v>
      </c>
      <c r="BG78" s="8">
        <v>-118.6</v>
      </c>
      <c r="BH78" s="8">
        <v>-132.7</v>
      </c>
      <c r="BI78" s="8">
        <v>-126.3</v>
      </c>
      <c r="BJ78" s="8">
        <v>-114.6</v>
      </c>
      <c r="BK78" s="8">
        <v>-116.9</v>
      </c>
      <c r="BL78" s="8">
        <v>-133.3</v>
      </c>
      <c r="BM78" s="8">
        <v>-128.5</v>
      </c>
      <c r="BN78" s="8">
        <v>-118.4</v>
      </c>
      <c r="BO78" s="8">
        <v>161</v>
      </c>
      <c r="BP78" s="8">
        <v>-32.8</v>
      </c>
      <c r="BQ78" s="8">
        <v>12.1</v>
      </c>
      <c r="BR78" s="8">
        <v>2.2</v>
      </c>
      <c r="BS78" s="8">
        <v>47.4</v>
      </c>
      <c r="BT78" s="8">
        <v>193.4</v>
      </c>
      <c r="BU78" s="8">
        <v>49.6</v>
      </c>
      <c r="BV78" s="8">
        <v>-134.3</v>
      </c>
      <c r="BW78" s="8">
        <v>-125.5</v>
      </c>
      <c r="BX78" s="8">
        <v>-141.1</v>
      </c>
      <c r="BY78" s="8">
        <v>-126.6</v>
      </c>
      <c r="BZ78" s="8">
        <v>-133.8</v>
      </c>
      <c r="CA78" s="8">
        <v>-127.9</v>
      </c>
      <c r="CB78" s="8">
        <v>-119.1</v>
      </c>
      <c r="CC78" s="8">
        <v>-128.2</v>
      </c>
      <c r="CD78" s="8">
        <v>-158.5</v>
      </c>
      <c r="CE78" s="8">
        <v>-145</v>
      </c>
      <c r="CF78" s="8">
        <v>-189</v>
      </c>
      <c r="CG78" s="8">
        <v>-148.6</v>
      </c>
      <c r="CH78" s="8">
        <v>-193.6</v>
      </c>
      <c r="CI78" s="8">
        <v>-191.9</v>
      </c>
      <c r="CJ78" s="8">
        <v>-202</v>
      </c>
      <c r="CK78" s="8">
        <v>-137.3</v>
      </c>
      <c r="CL78" s="8">
        <v>53.8</v>
      </c>
      <c r="CM78" s="8">
        <v>83.8</v>
      </c>
      <c r="CN78" s="8">
        <v>103.6</v>
      </c>
      <c r="CO78" s="8">
        <v>79</v>
      </c>
      <c r="CP78" s="8">
        <v>26.5</v>
      </c>
      <c r="CQ78" s="8">
        <v>-11.6</v>
      </c>
      <c r="CR78" s="8">
        <v>-64.59999999999999</v>
      </c>
      <c r="CS78" s="8">
        <v>-102.2</v>
      </c>
      <c r="CT78" s="8">
        <v>-113.4</v>
      </c>
      <c r="CU78" s="8">
        <v>-153.6</v>
      </c>
      <c r="CV78" s="8">
        <v>-185</v>
      </c>
      <c r="CW78" s="8">
        <v>-217.9</v>
      </c>
      <c r="CX78" s="8">
        <v>-248.6</v>
      </c>
      <c r="CY78" s="8">
        <v>-62.9</v>
      </c>
      <c r="CZ78" s="8">
        <v>-13.2</v>
      </c>
      <c r="DA78" s="8">
        <v>273.1</v>
      </c>
      <c r="DB78" s="8">
        <v>44.7</v>
      </c>
      <c r="DC78" s="8">
        <v>130.1</v>
      </c>
      <c r="DD78" s="8">
        <v>115.6</v>
      </c>
      <c r="DE78" s="8">
        <v>123.7</v>
      </c>
      <c r="DF78" s="8">
        <v>-31.1</v>
      </c>
      <c r="DG78" s="8">
        <v>-78</v>
      </c>
      <c r="DH78" s="8">
        <v>-134.6</v>
      </c>
      <c r="DI78" s="8">
        <v>-98.40000000000001</v>
      </c>
      <c r="DJ78" s="8">
        <v>931.7</v>
      </c>
      <c r="DK78" s="8">
        <v>98.8</v>
      </c>
      <c r="DL78" s="8">
        <v>128.2</v>
      </c>
      <c r="DM78" s="8">
        <v>104.6</v>
      </c>
      <c r="DN78" s="8">
        <v>518.8</v>
      </c>
      <c r="DO78" s="8">
        <v>274.7</v>
      </c>
      <c r="DP78" s="8">
        <v>446.8</v>
      </c>
      <c r="DQ78" s="8">
        <v>335.8</v>
      </c>
      <c r="DR78" s="8">
        <v>389.5</v>
      </c>
      <c r="DS78" s="8">
        <v>251.1</v>
      </c>
      <c r="DT78" s="8">
        <v>176.3</v>
      </c>
      <c r="DU78" s="8">
        <v>26.8</v>
      </c>
      <c r="DV78" s="8">
        <v>-30.4</v>
      </c>
      <c r="DW78" s="8">
        <v>-109.1</v>
      </c>
      <c r="DX78" s="8">
        <v>-44.8</v>
      </c>
      <c r="DY78" s="8">
        <v>-101.4</v>
      </c>
      <c r="DZ78" s="8">
        <v>-153.3</v>
      </c>
      <c r="EA78" s="8">
        <v>-184</v>
      </c>
      <c r="EB78" s="8">
        <v>-232.4</v>
      </c>
      <c r="EC78" s="8">
        <v>-35.4</v>
      </c>
      <c r="ED78" s="8">
        <v>-139.9</v>
      </c>
      <c r="EE78" s="8">
        <v>8.6</v>
      </c>
      <c r="EF78" s="8">
        <v>125.3</v>
      </c>
      <c r="EG78" s="8">
        <v>70.40000000000001</v>
      </c>
      <c r="EH78" s="8">
        <v>-135.7</v>
      </c>
      <c r="EI78" s="8">
        <v>6.4</v>
      </c>
      <c r="EJ78" s="8">
        <v>-43.5</v>
      </c>
      <c r="EK78" s="8">
        <v>-91.90000000000001</v>
      </c>
      <c r="EL78" s="8">
        <v>-92.5</v>
      </c>
    </row>
    <row r="79" spans="1:147">
      <c r="A79" s="7">
        <v>35.1</v>
      </c>
      <c r="J79" s="8">
        <v>37.6</v>
      </c>
      <c r="K79" s="8">
        <v>-66.40000000000001</v>
      </c>
      <c r="L79" s="8">
        <v>-73.7</v>
      </c>
      <c r="M79" s="8">
        <v>-61.2</v>
      </c>
      <c r="N79" s="8">
        <v>-18.1</v>
      </c>
      <c r="O79" s="8">
        <v>53.1</v>
      </c>
      <c r="P79" s="8">
        <v>54.9</v>
      </c>
      <c r="Q79" s="8">
        <v>179.9</v>
      </c>
      <c r="R79" s="8">
        <v>112.5</v>
      </c>
      <c r="S79" s="8">
        <v>37.2</v>
      </c>
      <c r="T79" s="8">
        <v>-14.5</v>
      </c>
      <c r="U79" s="8">
        <v>-20.8</v>
      </c>
      <c r="V79" s="8">
        <v>-65.3</v>
      </c>
      <c r="W79" s="8">
        <v>-71.40000000000001</v>
      </c>
      <c r="X79" s="8">
        <v>-108.3</v>
      </c>
      <c r="Y79" s="8">
        <v>-125.1</v>
      </c>
      <c r="Z79" s="8">
        <v>-63.7</v>
      </c>
      <c r="AA79" s="8">
        <v>-44.7</v>
      </c>
      <c r="AB79" s="8">
        <v>-6.8</v>
      </c>
      <c r="AC79" s="8">
        <v>14.8</v>
      </c>
      <c r="AD79" s="8">
        <v>-30.1</v>
      </c>
      <c r="AE79" s="8">
        <v>11.1</v>
      </c>
      <c r="AF79" s="8">
        <v>7</v>
      </c>
      <c r="AG79" s="8">
        <v>104.5</v>
      </c>
      <c r="AH79" s="8">
        <v>194.9</v>
      </c>
      <c r="AI79" s="8">
        <v>124.5</v>
      </c>
      <c r="AJ79" s="8">
        <v>74.7</v>
      </c>
      <c r="AK79" s="8">
        <v>12.5</v>
      </c>
      <c r="AL79" s="8">
        <v>-47.8</v>
      </c>
      <c r="AM79" s="8">
        <v>-162.3</v>
      </c>
      <c r="AN79" s="8">
        <v>-182.5</v>
      </c>
      <c r="AO79" s="8">
        <v>-197.3</v>
      </c>
      <c r="AP79" s="8">
        <v>-287</v>
      </c>
      <c r="AQ79" s="8">
        <v>-132.2</v>
      </c>
      <c r="AR79" s="8">
        <v>-128.6</v>
      </c>
      <c r="AS79" s="8">
        <v>-84.5</v>
      </c>
      <c r="AT79" s="8">
        <v>-77.09999999999999</v>
      </c>
      <c r="AU79" s="8">
        <v>-33.5</v>
      </c>
      <c r="AV79" s="8">
        <v>-82.5</v>
      </c>
      <c r="AW79" s="8">
        <v>20.7</v>
      </c>
      <c r="AX79" s="8">
        <v>55.2</v>
      </c>
      <c r="AY79" s="8">
        <v>275.2</v>
      </c>
      <c r="AZ79" s="8">
        <v>444.6</v>
      </c>
      <c r="BA79" s="8">
        <v>414</v>
      </c>
      <c r="BB79" s="8">
        <v>-42.4</v>
      </c>
      <c r="BC79" s="8">
        <v>-174.6</v>
      </c>
      <c r="BD79" s="8">
        <v>-72.09999999999999</v>
      </c>
      <c r="BE79" s="8">
        <v>-39.1</v>
      </c>
      <c r="BF79" s="8">
        <v>-18.3</v>
      </c>
      <c r="BG79" s="8">
        <v>-87.7</v>
      </c>
      <c r="BH79" s="8">
        <v>-76.3</v>
      </c>
      <c r="BI79" s="8">
        <v>-92</v>
      </c>
      <c r="BJ79" s="8">
        <v>-49.4</v>
      </c>
      <c r="BK79" s="8">
        <v>-76.09999999999999</v>
      </c>
      <c r="BL79" s="8">
        <v>-89.3</v>
      </c>
      <c r="BM79" s="8">
        <v>-119.6</v>
      </c>
      <c r="BN79" s="8">
        <v>-151.5</v>
      </c>
      <c r="BO79" s="8">
        <v>-209.4</v>
      </c>
      <c r="BP79" s="8">
        <v>-150.1</v>
      </c>
      <c r="BQ79" s="8">
        <v>-173.8</v>
      </c>
      <c r="BR79" s="8">
        <v>-112.8</v>
      </c>
      <c r="BS79" s="8">
        <v>-106.1</v>
      </c>
      <c r="BT79" s="8">
        <v>-24.9</v>
      </c>
      <c r="BU79" s="8">
        <v>-58.3</v>
      </c>
      <c r="BV79" s="8">
        <v>-136.4</v>
      </c>
      <c r="BW79" s="8">
        <v>-113.9</v>
      </c>
      <c r="BX79" s="8">
        <v>-114.9</v>
      </c>
      <c r="BY79" s="8">
        <v>-122.3</v>
      </c>
      <c r="BZ79" s="8">
        <v>-80.59999999999999</v>
      </c>
      <c r="CA79" s="8">
        <v>-77.7</v>
      </c>
      <c r="CB79" s="8">
        <v>-47.2</v>
      </c>
      <c r="CC79" s="8">
        <v>-75</v>
      </c>
      <c r="CD79" s="8">
        <v>-127.3</v>
      </c>
      <c r="CE79" s="8">
        <v>-138.9</v>
      </c>
      <c r="CF79" s="8">
        <v>-123.6</v>
      </c>
      <c r="CG79" s="8">
        <v>-142.3</v>
      </c>
      <c r="CH79" s="8">
        <v>-172.9</v>
      </c>
      <c r="CI79" s="8">
        <v>-199.7</v>
      </c>
      <c r="CJ79" s="8">
        <v>-161.5</v>
      </c>
      <c r="CK79" s="8">
        <v>-140.2</v>
      </c>
      <c r="CL79" s="8">
        <v>0.9</v>
      </c>
      <c r="CM79" s="8">
        <v>18.1</v>
      </c>
      <c r="CN79" s="8">
        <v>95.90000000000001</v>
      </c>
      <c r="CO79" s="8">
        <v>91</v>
      </c>
      <c r="CP79" s="8">
        <v>66.09999999999999</v>
      </c>
      <c r="CQ79" s="8">
        <v>44</v>
      </c>
      <c r="CR79" s="8">
        <v>-12.1</v>
      </c>
      <c r="CS79" s="8">
        <v>-78</v>
      </c>
      <c r="CT79" s="8">
        <v>-82.90000000000001</v>
      </c>
      <c r="CU79" s="8">
        <v>-132.2</v>
      </c>
      <c r="CV79" s="8">
        <v>-147</v>
      </c>
      <c r="CW79" s="8">
        <v>-269.8</v>
      </c>
      <c r="CX79" s="8">
        <v>-346.1</v>
      </c>
      <c r="CY79" s="8">
        <v>-326.7</v>
      </c>
      <c r="CZ79" s="8">
        <v>-46.7</v>
      </c>
      <c r="DA79" s="8">
        <v>-23.5</v>
      </c>
      <c r="DB79" s="8">
        <v>67.5</v>
      </c>
      <c r="DC79" s="8">
        <v>118.9</v>
      </c>
      <c r="DD79" s="8">
        <v>164.8</v>
      </c>
      <c r="DE79" s="8">
        <v>94.3</v>
      </c>
      <c r="DF79" s="8">
        <v>28.2</v>
      </c>
      <c r="DG79" s="8">
        <v>-31.5</v>
      </c>
      <c r="DH79" s="8">
        <v>67.90000000000001</v>
      </c>
      <c r="DI79" s="8">
        <v>378.4</v>
      </c>
      <c r="DJ79" s="8">
        <v>218.8</v>
      </c>
      <c r="DK79" s="8">
        <v>576.2</v>
      </c>
      <c r="DL79" s="8">
        <v>195.7</v>
      </c>
      <c r="DM79" s="8">
        <v>266.7</v>
      </c>
      <c r="DN79" s="8">
        <v>366</v>
      </c>
      <c r="DO79" s="8">
        <v>285.8</v>
      </c>
      <c r="DP79" s="8">
        <v>236.3</v>
      </c>
      <c r="DQ79" s="8">
        <v>435.9</v>
      </c>
      <c r="DR79" s="8">
        <v>-249.5</v>
      </c>
      <c r="DS79" s="8">
        <v>278.4</v>
      </c>
      <c r="DT79" s="8">
        <v>196.3</v>
      </c>
      <c r="DU79" s="8">
        <v>-63.6</v>
      </c>
      <c r="DV79" s="8">
        <v>-105.4</v>
      </c>
      <c r="DW79" s="8">
        <v>18.3</v>
      </c>
      <c r="DX79" s="8">
        <v>478.6</v>
      </c>
      <c r="DY79" s="8">
        <v>-42.8</v>
      </c>
      <c r="DZ79" s="8">
        <v>-94.7</v>
      </c>
      <c r="EA79" s="8">
        <v>-118.7</v>
      </c>
      <c r="EB79" s="8">
        <v>-104</v>
      </c>
      <c r="EC79" s="8">
        <v>-168.7</v>
      </c>
      <c r="ED79" s="8">
        <v>-230.9</v>
      </c>
      <c r="EE79" s="8">
        <v>129.7</v>
      </c>
      <c r="EF79" s="8">
        <v>-98.40000000000001</v>
      </c>
      <c r="EG79" s="8">
        <v>-161.2</v>
      </c>
      <c r="EH79" s="8">
        <v>-36.6</v>
      </c>
      <c r="EI79" s="8">
        <v>-131.2</v>
      </c>
      <c r="EJ79" s="8">
        <v>-14</v>
      </c>
      <c r="EK79" s="8">
        <v>-93.90000000000001</v>
      </c>
      <c r="EL79" s="8">
        <v>-92</v>
      </c>
    </row>
    <row r="80" spans="1:147">
      <c r="A80" s="7">
        <v>35.125</v>
      </c>
      <c r="J80" s="8">
        <v>-145.9</v>
      </c>
      <c r="K80" s="8">
        <v>-77.09999999999999</v>
      </c>
      <c r="L80" s="8">
        <v>-116.6</v>
      </c>
      <c r="M80" s="8">
        <v>-29.5</v>
      </c>
      <c r="N80" s="8">
        <v>66.90000000000001</v>
      </c>
      <c r="O80" s="8">
        <v>41.1</v>
      </c>
      <c r="P80" s="8">
        <v>139.7</v>
      </c>
      <c r="Q80" s="8">
        <v>31.6</v>
      </c>
      <c r="R80" s="8">
        <v>112.3</v>
      </c>
      <c r="S80" s="8">
        <v>89.40000000000001</v>
      </c>
      <c r="T80" s="8">
        <v>140.4</v>
      </c>
      <c r="U80" s="8">
        <v>-8.9</v>
      </c>
      <c r="V80" s="8">
        <v>17</v>
      </c>
      <c r="W80" s="8">
        <v>-11.5</v>
      </c>
      <c r="X80" s="8">
        <v>2.7</v>
      </c>
      <c r="Y80" s="8">
        <v>-59.7</v>
      </c>
      <c r="Z80" s="8">
        <v>65.3</v>
      </c>
      <c r="AA80" s="8">
        <v>-4.3</v>
      </c>
      <c r="AB80" s="8">
        <v>-27.7</v>
      </c>
      <c r="AC80" s="8">
        <v>38.9</v>
      </c>
      <c r="AD80" s="8">
        <v>-69.8</v>
      </c>
      <c r="AE80" s="8">
        <v>2.1</v>
      </c>
      <c r="AF80" s="8">
        <v>17.9</v>
      </c>
      <c r="AG80" s="8">
        <v>138.5</v>
      </c>
      <c r="AH80" s="8">
        <v>182.6</v>
      </c>
      <c r="AI80" s="8">
        <v>168.2</v>
      </c>
      <c r="AJ80" s="8">
        <v>-0.5</v>
      </c>
      <c r="AK80" s="8">
        <v>-52.1</v>
      </c>
      <c r="AL80" s="8">
        <v>-81.5</v>
      </c>
      <c r="AM80" s="8">
        <v>-166.3</v>
      </c>
      <c r="AN80" s="8">
        <v>-187.3</v>
      </c>
      <c r="AO80" s="8">
        <v>-182.2</v>
      </c>
      <c r="AP80" s="8">
        <v>-201.7</v>
      </c>
      <c r="AQ80" s="8">
        <v>-83.5</v>
      </c>
      <c r="AR80" s="8">
        <v>-101.7</v>
      </c>
      <c r="AS80" s="8">
        <v>-33.5</v>
      </c>
      <c r="AT80" s="8">
        <v>-115.9</v>
      </c>
      <c r="AU80" s="8">
        <v>-171.1</v>
      </c>
      <c r="AV80" s="8">
        <v>-133.3</v>
      </c>
      <c r="AW80" s="8">
        <v>-112</v>
      </c>
      <c r="AX80" s="8">
        <v>-35.9</v>
      </c>
      <c r="AY80" s="8">
        <v>233.1</v>
      </c>
      <c r="AZ80" s="8">
        <v>-12.1</v>
      </c>
      <c r="BA80" s="8">
        <v>208.8</v>
      </c>
      <c r="BB80" s="8">
        <v>-186.2</v>
      </c>
      <c r="BC80" s="8">
        <v>33.9</v>
      </c>
      <c r="BD80" s="8">
        <v>84.8</v>
      </c>
      <c r="BE80" s="8">
        <v>70.40000000000001</v>
      </c>
      <c r="BF80" s="8">
        <v>21.6</v>
      </c>
      <c r="BG80" s="8">
        <v>-47.9</v>
      </c>
      <c r="BH80" s="8">
        <v>-89.3</v>
      </c>
      <c r="BI80" s="8">
        <v>-75</v>
      </c>
      <c r="BJ80" s="8">
        <v>-69.3</v>
      </c>
      <c r="BK80" s="8">
        <v>-86.2</v>
      </c>
      <c r="BL80" s="8">
        <v>-105.6</v>
      </c>
      <c r="BM80" s="8">
        <v>-117.1</v>
      </c>
      <c r="BN80" s="8">
        <v>-112.1</v>
      </c>
      <c r="BO80" s="8">
        <v>-122.5</v>
      </c>
      <c r="BP80" s="8">
        <v>-105.7</v>
      </c>
      <c r="BQ80" s="8">
        <v>-140.2</v>
      </c>
      <c r="BR80" s="8">
        <v>-158.3</v>
      </c>
      <c r="BS80" s="8">
        <v>-179.8</v>
      </c>
      <c r="BT80" s="8">
        <v>-138.4</v>
      </c>
      <c r="BU80" s="8">
        <v>-134.2</v>
      </c>
      <c r="BV80" s="8">
        <v>-125.7</v>
      </c>
      <c r="BW80" s="8">
        <v>-109.4</v>
      </c>
      <c r="BX80" s="8">
        <v>-95.8</v>
      </c>
      <c r="BY80" s="8">
        <v>-117</v>
      </c>
      <c r="BZ80" s="8">
        <v>-90.3</v>
      </c>
      <c r="CA80" s="8">
        <v>-17.3</v>
      </c>
      <c r="CB80" s="8">
        <v>72.7</v>
      </c>
      <c r="CC80" s="8">
        <v>-0.4</v>
      </c>
      <c r="CD80" s="8">
        <v>-77</v>
      </c>
      <c r="CE80" s="8">
        <v>-143.6</v>
      </c>
      <c r="CF80" s="8">
        <v>-87.2</v>
      </c>
      <c r="CG80" s="8">
        <v>-68.09999999999999</v>
      </c>
      <c r="CH80" s="8">
        <v>-177.8</v>
      </c>
      <c r="CI80" s="8">
        <v>-165.4</v>
      </c>
      <c r="CJ80" s="8">
        <v>-125.7</v>
      </c>
      <c r="CK80" s="8">
        <v>-66</v>
      </c>
      <c r="CL80" s="8">
        <v>-68.90000000000001</v>
      </c>
      <c r="CM80" s="8">
        <v>-67</v>
      </c>
      <c r="CN80" s="8">
        <v>-42.2</v>
      </c>
      <c r="CO80" s="8">
        <v>58.3</v>
      </c>
      <c r="CP80" s="8">
        <v>79.59999999999999</v>
      </c>
      <c r="CQ80" s="8">
        <v>66.3</v>
      </c>
      <c r="CR80" s="8">
        <v>24.8</v>
      </c>
      <c r="CS80" s="8">
        <v>-26.8</v>
      </c>
      <c r="CT80" s="8">
        <v>-50.2</v>
      </c>
      <c r="CU80" s="8">
        <v>-42.1</v>
      </c>
      <c r="CV80" s="8">
        <v>-69.90000000000001</v>
      </c>
      <c r="CW80" s="8">
        <v>-93.8</v>
      </c>
      <c r="CX80" s="8">
        <v>-214.8</v>
      </c>
      <c r="CY80" s="8">
        <v>-298.2</v>
      </c>
      <c r="CZ80" s="8">
        <v>-339.7</v>
      </c>
      <c r="DA80" s="8">
        <v>-239</v>
      </c>
      <c r="DB80" s="8">
        <v>-163.6</v>
      </c>
      <c r="DC80" s="8">
        <v>-5.8</v>
      </c>
      <c r="DD80" s="8">
        <v>316.8</v>
      </c>
      <c r="DE80" s="8">
        <v>223.9</v>
      </c>
      <c r="DF80" s="8">
        <v>112.1</v>
      </c>
      <c r="DG80" s="8">
        <v>-68</v>
      </c>
      <c r="DH80" s="8">
        <v>-90.8</v>
      </c>
      <c r="DI80" s="8">
        <v>-152</v>
      </c>
      <c r="DJ80" s="8">
        <v>509.9</v>
      </c>
      <c r="DK80" s="8">
        <v>502</v>
      </c>
      <c r="DL80" s="8">
        <v>296.2</v>
      </c>
      <c r="DM80" s="8">
        <v>-1.6</v>
      </c>
      <c r="DN80" s="8">
        <v>76.8</v>
      </c>
      <c r="DO80" s="8">
        <v>141.7</v>
      </c>
      <c r="DP80" s="8">
        <v>233.3</v>
      </c>
      <c r="DQ80" s="8">
        <v>216.3</v>
      </c>
      <c r="DR80" s="8">
        <v>24.3</v>
      </c>
      <c r="DS80" s="8">
        <v>15.6</v>
      </c>
      <c r="DT80" s="8">
        <v>-56.6</v>
      </c>
      <c r="DU80" s="8">
        <v>4</v>
      </c>
      <c r="DV80" s="8">
        <v>23.5</v>
      </c>
      <c r="DW80" s="8">
        <v>-94.3</v>
      </c>
      <c r="DX80" s="8">
        <v>-46.9</v>
      </c>
      <c r="DY80" s="8">
        <v>4.5</v>
      </c>
      <c r="DZ80" s="8">
        <v>41.3</v>
      </c>
      <c r="EA80" s="8">
        <v>79.5</v>
      </c>
      <c r="EB80" s="8">
        <v>217.2</v>
      </c>
      <c r="EC80" s="8">
        <v>123.8</v>
      </c>
      <c r="ED80" s="8">
        <v>-364.2</v>
      </c>
      <c r="EE80" s="8">
        <v>-308</v>
      </c>
      <c r="EF80" s="8">
        <v>-207.7</v>
      </c>
      <c r="EG80" s="8">
        <v>-198.7</v>
      </c>
      <c r="EH80" s="8">
        <v>31.1</v>
      </c>
      <c r="EI80" s="8">
        <v>-143.6</v>
      </c>
      <c r="EJ80" s="8">
        <v>-227.7</v>
      </c>
      <c r="EK80" s="8">
        <v>63.3</v>
      </c>
      <c r="EL80" s="8">
        <v>-78.5</v>
      </c>
      <c r="EM80" s="8">
        <v>-57.9</v>
      </c>
      <c r="EN80" s="8">
        <v>-76.59999999999999</v>
      </c>
      <c r="EO80" s="8">
        <v>71.3</v>
      </c>
      <c r="EP80" s="8">
        <v>231.7</v>
      </c>
      <c r="EQ80" s="8">
        <v>248.9</v>
      </c>
    </row>
    <row r="81" spans="1:152">
      <c r="A81" s="7">
        <v>35.15</v>
      </c>
      <c r="J81" s="8">
        <v>16.4</v>
      </c>
      <c r="K81" s="8">
        <v>-113.3</v>
      </c>
      <c r="L81" s="8">
        <v>-170.9</v>
      </c>
      <c r="M81" s="8">
        <v>-211.8</v>
      </c>
      <c r="N81" s="8">
        <v>-147.9</v>
      </c>
      <c r="O81" s="8">
        <v>-33.1</v>
      </c>
      <c r="P81" s="8">
        <v>-17.5</v>
      </c>
      <c r="Q81" s="8">
        <v>-130.8</v>
      </c>
      <c r="R81" s="8">
        <v>-353.1</v>
      </c>
      <c r="S81" s="8">
        <v>-17</v>
      </c>
      <c r="T81" s="8">
        <v>54.3</v>
      </c>
      <c r="U81" s="8">
        <v>60.4</v>
      </c>
      <c r="V81" s="8">
        <v>98.09999999999999</v>
      </c>
      <c r="W81" s="8">
        <v>107.2</v>
      </c>
      <c r="X81" s="8">
        <v>131.3</v>
      </c>
      <c r="Y81" s="8">
        <v>24</v>
      </c>
      <c r="Z81" s="8">
        <v>-97.7</v>
      </c>
      <c r="AA81" s="8">
        <v>3.4</v>
      </c>
      <c r="AB81" s="8">
        <v>-51.3</v>
      </c>
      <c r="AC81" s="8">
        <v>-21.6</v>
      </c>
      <c r="AD81" s="8">
        <v>-9.300000000000001</v>
      </c>
      <c r="AE81" s="8">
        <v>-12.7</v>
      </c>
      <c r="AF81" s="8">
        <v>68.90000000000001</v>
      </c>
      <c r="AG81" s="8">
        <v>289.1</v>
      </c>
      <c r="AH81" s="8">
        <v>90.8</v>
      </c>
      <c r="AI81" s="8">
        <v>66.7</v>
      </c>
      <c r="AJ81" s="8">
        <v>-24.7</v>
      </c>
      <c r="AK81" s="8">
        <v>-32.3</v>
      </c>
      <c r="AL81" s="8">
        <v>-111.5</v>
      </c>
      <c r="AM81" s="8">
        <v>-165.7</v>
      </c>
      <c r="AN81" s="8">
        <v>-166.4</v>
      </c>
      <c r="AO81" s="8">
        <v>-158.3</v>
      </c>
      <c r="AP81" s="8">
        <v>-144.6</v>
      </c>
      <c r="AQ81" s="8">
        <v>-89.8</v>
      </c>
      <c r="AR81" s="8">
        <v>-82.7</v>
      </c>
      <c r="AS81" s="8">
        <v>-77.90000000000001</v>
      </c>
      <c r="AT81" s="8">
        <v>16.3</v>
      </c>
      <c r="AU81" s="8">
        <v>-23</v>
      </c>
      <c r="AV81" s="8">
        <v>-82.3</v>
      </c>
      <c r="AW81" s="8">
        <v>-97.8</v>
      </c>
      <c r="AX81" s="8">
        <v>-59.1</v>
      </c>
      <c r="AY81" s="8">
        <v>32.1</v>
      </c>
      <c r="AZ81" s="8">
        <v>-30.6</v>
      </c>
      <c r="BA81" s="8">
        <v>-72.59999999999999</v>
      </c>
      <c r="BB81" s="8">
        <v>-17.3</v>
      </c>
      <c r="BC81" s="8">
        <v>83</v>
      </c>
      <c r="BD81" s="8">
        <v>69.5</v>
      </c>
      <c r="BE81" s="8">
        <v>100.4</v>
      </c>
      <c r="BF81" s="8">
        <v>20</v>
      </c>
      <c r="BG81" s="8">
        <v>14.5</v>
      </c>
      <c r="BH81" s="8">
        <v>1.6</v>
      </c>
      <c r="BI81" s="8">
        <v>259.1</v>
      </c>
      <c r="BJ81" s="8">
        <v>-14.4</v>
      </c>
      <c r="BK81" s="8">
        <v>96.09999999999999</v>
      </c>
      <c r="BL81" s="8">
        <v>-48</v>
      </c>
      <c r="BM81" s="8">
        <v>-58.8</v>
      </c>
      <c r="BN81" s="8">
        <v>-83.40000000000001</v>
      </c>
      <c r="BO81" s="8">
        <v>-72.40000000000001</v>
      </c>
      <c r="BP81" s="8">
        <v>-109.1</v>
      </c>
      <c r="BQ81" s="8">
        <v>-112</v>
      </c>
      <c r="BR81" s="8">
        <v>-104</v>
      </c>
      <c r="BS81" s="8">
        <v>-63.6</v>
      </c>
      <c r="BT81" s="8">
        <v>-110.3</v>
      </c>
      <c r="BU81" s="8">
        <v>21.9</v>
      </c>
      <c r="BV81" s="8">
        <v>-21.7</v>
      </c>
      <c r="BW81" s="8">
        <v>-60.6</v>
      </c>
      <c r="BX81" s="8">
        <v>-60.3</v>
      </c>
      <c r="BY81" s="8">
        <v>-97.09999999999999</v>
      </c>
      <c r="BZ81" s="8">
        <v>-94.5</v>
      </c>
      <c r="CA81" s="8">
        <v>-54.9</v>
      </c>
      <c r="CB81" s="8">
        <v>184</v>
      </c>
      <c r="CC81" s="8">
        <v>207.7</v>
      </c>
      <c r="CD81" s="8">
        <v>-117.8</v>
      </c>
      <c r="CE81" s="8">
        <v>-151.3</v>
      </c>
      <c r="CF81" s="8">
        <v>-128.5</v>
      </c>
      <c r="CG81" s="8">
        <v>-159.5</v>
      </c>
      <c r="CH81" s="8">
        <v>-173.7</v>
      </c>
      <c r="CI81" s="8">
        <v>-161.2</v>
      </c>
      <c r="CJ81" s="8">
        <v>-174</v>
      </c>
      <c r="CK81" s="8">
        <v>-158.2</v>
      </c>
      <c r="CL81" s="8">
        <v>-147</v>
      </c>
      <c r="CM81" s="8">
        <v>-82.59999999999999</v>
      </c>
      <c r="CN81" s="8">
        <v>-56.8</v>
      </c>
      <c r="CO81" s="8">
        <v>-58.4</v>
      </c>
      <c r="CP81" s="8">
        <v>-15.7</v>
      </c>
      <c r="CQ81" s="8">
        <v>31.6</v>
      </c>
      <c r="CR81" s="8">
        <v>78.3</v>
      </c>
      <c r="CS81" s="8">
        <v>13.4</v>
      </c>
      <c r="CT81" s="8">
        <v>-4.5</v>
      </c>
      <c r="CU81" s="8">
        <v>-7.3</v>
      </c>
      <c r="CV81" s="8">
        <v>-32.5</v>
      </c>
      <c r="CW81" s="8">
        <v>-46</v>
      </c>
      <c r="CX81" s="8">
        <v>-114.7</v>
      </c>
      <c r="CY81" s="8">
        <v>-185.6</v>
      </c>
      <c r="CZ81" s="8">
        <v>-288.5</v>
      </c>
      <c r="DA81" s="8">
        <v>-275.6</v>
      </c>
      <c r="DB81" s="8">
        <v>-243</v>
      </c>
      <c r="DC81" s="8">
        <v>-215.3</v>
      </c>
      <c r="DD81" s="8">
        <v>2.4</v>
      </c>
      <c r="DE81" s="8">
        <v>296.1</v>
      </c>
      <c r="DF81" s="8">
        <v>90.40000000000001</v>
      </c>
      <c r="DG81" s="8">
        <v>-66.09999999999999</v>
      </c>
      <c r="DH81" s="8">
        <v>-80.90000000000001</v>
      </c>
      <c r="DI81" s="8">
        <v>-180.9</v>
      </c>
      <c r="DJ81" s="8">
        <v>-7.3</v>
      </c>
      <c r="DK81" s="8">
        <v>-74.09999999999999</v>
      </c>
      <c r="DL81" s="8">
        <v>72.3</v>
      </c>
      <c r="DM81" s="8">
        <v>-307.8</v>
      </c>
      <c r="DN81" s="8">
        <v>97.2</v>
      </c>
      <c r="DO81" s="8">
        <v>265.1</v>
      </c>
      <c r="DP81" s="8">
        <v>-14</v>
      </c>
      <c r="DQ81" s="8">
        <v>369.9</v>
      </c>
      <c r="DR81" s="8">
        <v>91.7</v>
      </c>
      <c r="DS81" s="8">
        <v>988.7</v>
      </c>
      <c r="DT81" s="8">
        <v>116.9</v>
      </c>
      <c r="DU81" s="8">
        <v>-130.3</v>
      </c>
      <c r="DV81" s="8">
        <v>-191.4</v>
      </c>
      <c r="DW81" s="8">
        <v>-58.8</v>
      </c>
      <c r="DX81" s="8">
        <v>25.5</v>
      </c>
      <c r="DY81" s="8">
        <v>-9</v>
      </c>
      <c r="DZ81" s="8">
        <v>-100</v>
      </c>
      <c r="EA81" s="8">
        <v>-119.5</v>
      </c>
      <c r="EB81" s="8">
        <v>-92</v>
      </c>
      <c r="EC81" s="8">
        <v>-141.6</v>
      </c>
      <c r="ED81" s="8">
        <v>-28.3</v>
      </c>
      <c r="EE81" s="8">
        <v>543.8</v>
      </c>
      <c r="EF81" s="8">
        <v>-24.3</v>
      </c>
      <c r="EG81" s="8">
        <v>-101.9</v>
      </c>
      <c r="EH81" s="8">
        <v>210.8</v>
      </c>
      <c r="EI81" s="8">
        <v>-34.8</v>
      </c>
      <c r="EJ81" s="8">
        <v>-442</v>
      </c>
      <c r="EK81" s="8">
        <v>2.8</v>
      </c>
      <c r="EL81" s="8">
        <v>-108.3</v>
      </c>
      <c r="EM81" s="8">
        <v>-99.09999999999999</v>
      </c>
      <c r="EN81" s="8">
        <v>-149.2</v>
      </c>
      <c r="EO81" s="8">
        <v>90.59999999999999</v>
      </c>
      <c r="EP81" s="8">
        <v>309</v>
      </c>
      <c r="EQ81" s="8">
        <v>186.7</v>
      </c>
    </row>
    <row r="82" spans="1:152">
      <c r="A82" s="7">
        <v>35.175</v>
      </c>
      <c r="J82" s="8">
        <v>-34.4</v>
      </c>
      <c r="K82" s="8">
        <v>-119.7</v>
      </c>
      <c r="L82" s="8">
        <v>-165.6</v>
      </c>
      <c r="M82" s="8">
        <v>-217.9</v>
      </c>
      <c r="N82" s="8">
        <v>-179.4</v>
      </c>
      <c r="O82" s="8">
        <v>-115.5</v>
      </c>
      <c r="P82" s="8">
        <v>-61.8</v>
      </c>
      <c r="Q82" s="8">
        <v>-75.2</v>
      </c>
      <c r="R82" s="8">
        <v>16.2</v>
      </c>
      <c r="S82" s="8">
        <v>-32</v>
      </c>
      <c r="T82" s="8">
        <v>-29.9</v>
      </c>
      <c r="U82" s="8">
        <v>7.9</v>
      </c>
      <c r="V82" s="8">
        <v>103.9</v>
      </c>
      <c r="W82" s="8">
        <v>45.9</v>
      </c>
      <c r="X82" s="8">
        <v>27.6</v>
      </c>
      <c r="Y82" s="8">
        <v>25.2</v>
      </c>
      <c r="Z82" s="8">
        <v>1.3</v>
      </c>
      <c r="AA82" s="8">
        <v>-36.5</v>
      </c>
      <c r="AB82" s="8">
        <v>14.7</v>
      </c>
      <c r="AC82" s="8">
        <v>-55.2</v>
      </c>
      <c r="AD82" s="8">
        <v>-29.4</v>
      </c>
      <c r="AE82" s="8">
        <v>-11.7</v>
      </c>
      <c r="AF82" s="8">
        <v>10.9</v>
      </c>
      <c r="AG82" s="8">
        <v>-23.9</v>
      </c>
      <c r="AH82" s="8">
        <v>8.9</v>
      </c>
      <c r="AI82" s="8">
        <v>-15.3</v>
      </c>
      <c r="AJ82" s="8">
        <v>-61.8</v>
      </c>
      <c r="AK82" s="8">
        <v>-27.1</v>
      </c>
      <c r="AL82" s="8">
        <v>-47.3</v>
      </c>
      <c r="AM82" s="8">
        <v>-96.5</v>
      </c>
      <c r="AN82" s="8">
        <v>-148.1</v>
      </c>
      <c r="AO82" s="8">
        <v>-151.3</v>
      </c>
      <c r="AP82" s="8">
        <v>16.4</v>
      </c>
      <c r="AQ82" s="8">
        <v>-66</v>
      </c>
      <c r="AR82" s="8">
        <v>-72.40000000000001</v>
      </c>
      <c r="AS82" s="8">
        <v>-62</v>
      </c>
      <c r="AT82" s="8">
        <v>-70.40000000000001</v>
      </c>
      <c r="AU82" s="8">
        <v>-70.59999999999999</v>
      </c>
      <c r="AV82" s="8">
        <v>-117.1</v>
      </c>
      <c r="AW82" s="8">
        <v>-117.8</v>
      </c>
      <c r="AX82" s="8">
        <v>-57.3</v>
      </c>
      <c r="AY82" s="8">
        <v>-57.8</v>
      </c>
      <c r="AZ82" s="8">
        <v>95.5</v>
      </c>
      <c r="BA82" s="8">
        <v>-58.7</v>
      </c>
      <c r="BB82" s="8">
        <v>52.7</v>
      </c>
      <c r="BC82" s="8">
        <v>37.5</v>
      </c>
      <c r="BD82" s="8">
        <v>16.9</v>
      </c>
      <c r="BE82" s="8">
        <v>23.2</v>
      </c>
      <c r="BF82" s="8">
        <v>41.8</v>
      </c>
      <c r="BG82" s="8">
        <v>-68.90000000000001</v>
      </c>
      <c r="BH82" s="8">
        <v>-97.2</v>
      </c>
      <c r="BI82" s="8">
        <v>-110.7</v>
      </c>
      <c r="BJ82" s="8">
        <v>-83</v>
      </c>
      <c r="BK82" s="8">
        <v>-81.5</v>
      </c>
      <c r="BL82" s="8">
        <v>-70.8</v>
      </c>
      <c r="BM82" s="8">
        <v>-50.6</v>
      </c>
      <c r="BN82" s="8">
        <v>-52.4</v>
      </c>
      <c r="BO82" s="8">
        <v>-77.2</v>
      </c>
      <c r="BP82" s="8">
        <v>-98.2</v>
      </c>
      <c r="BQ82" s="8">
        <v>-100.3</v>
      </c>
      <c r="BR82" s="8">
        <v>-100.3</v>
      </c>
      <c r="BS82" s="8">
        <v>-1.3</v>
      </c>
      <c r="BT82" s="8">
        <v>27</v>
      </c>
      <c r="BU82" s="8">
        <v>-11.6</v>
      </c>
      <c r="BV82" s="8">
        <v>-53.1</v>
      </c>
      <c r="BW82" s="8">
        <v>-82.2</v>
      </c>
      <c r="BX82" s="8">
        <v>-61.4</v>
      </c>
      <c r="BY82" s="8">
        <v>-80.09999999999999</v>
      </c>
      <c r="BZ82" s="8">
        <v>-111.1</v>
      </c>
      <c r="CA82" s="8">
        <v>-107.8</v>
      </c>
      <c r="CB82" s="8">
        <v>492.6</v>
      </c>
      <c r="CC82" s="8">
        <v>63.5</v>
      </c>
      <c r="CD82" s="8">
        <v>-138.7</v>
      </c>
      <c r="CE82" s="8">
        <v>-172.8</v>
      </c>
      <c r="CF82" s="8">
        <v>-160.5</v>
      </c>
      <c r="CG82" s="8">
        <v>-155.9</v>
      </c>
      <c r="CH82" s="8">
        <v>-161.6</v>
      </c>
      <c r="CI82" s="8">
        <v>-176.7</v>
      </c>
      <c r="CJ82" s="8">
        <v>-192.3</v>
      </c>
      <c r="CK82" s="8">
        <v>-204.2</v>
      </c>
      <c r="CL82" s="8">
        <v>-211.4</v>
      </c>
      <c r="CM82" s="8">
        <v>-218</v>
      </c>
      <c r="CN82" s="8">
        <v>-191.4</v>
      </c>
      <c r="CO82" s="8">
        <v>-166.2</v>
      </c>
      <c r="CP82" s="8">
        <v>-48.8</v>
      </c>
      <c r="CQ82" s="8">
        <v>23.9</v>
      </c>
      <c r="CR82" s="8">
        <v>26.2</v>
      </c>
      <c r="CS82" s="8">
        <v>60.2</v>
      </c>
      <c r="CT82" s="8">
        <v>61.5</v>
      </c>
      <c r="CU82" s="8">
        <v>53.5</v>
      </c>
      <c r="CV82" s="8">
        <v>69</v>
      </c>
      <c r="CW82" s="8">
        <v>-0.1</v>
      </c>
      <c r="CX82" s="8">
        <v>-97.90000000000001</v>
      </c>
      <c r="CY82" s="8">
        <v>-121.9</v>
      </c>
      <c r="CZ82" s="8">
        <v>-187.1</v>
      </c>
      <c r="DA82" s="8">
        <v>-233.8</v>
      </c>
      <c r="DB82" s="8">
        <v>-213.4</v>
      </c>
      <c r="DC82" s="8">
        <v>-59.5</v>
      </c>
      <c r="DD82" s="8">
        <v>24.5</v>
      </c>
      <c r="DE82" s="8">
        <v>31.3</v>
      </c>
      <c r="DF82" s="8">
        <v>38.8</v>
      </c>
      <c r="DG82" s="8">
        <v>-69.59999999999999</v>
      </c>
      <c r="DH82" s="8">
        <v>18.7</v>
      </c>
      <c r="DI82" s="8">
        <v>53.9</v>
      </c>
      <c r="DJ82" s="8">
        <v>-163.1</v>
      </c>
      <c r="DK82" s="8">
        <v>-275.1</v>
      </c>
      <c r="DL82" s="8">
        <v>-341.6</v>
      </c>
      <c r="DM82" s="8">
        <v>-127.6</v>
      </c>
      <c r="DN82" s="8">
        <v>-10.2</v>
      </c>
      <c r="DO82" s="8">
        <v>8.1</v>
      </c>
      <c r="DP82" s="8">
        <v>-75.2</v>
      </c>
      <c r="DQ82" s="8">
        <v>176.2</v>
      </c>
      <c r="DR82" s="8">
        <v>484.7</v>
      </c>
      <c r="DS82" s="8">
        <v>92.8</v>
      </c>
      <c r="DT82" s="8">
        <v>-166.8</v>
      </c>
      <c r="DU82" s="8">
        <v>-222.7</v>
      </c>
      <c r="DV82" s="8">
        <v>-229.2</v>
      </c>
      <c r="DW82" s="8">
        <v>-118</v>
      </c>
      <c r="DX82" s="8">
        <v>-30.2</v>
      </c>
      <c r="DY82" s="8">
        <v>-10.1</v>
      </c>
      <c r="DZ82" s="8">
        <v>71.09999999999999</v>
      </c>
      <c r="EA82" s="8">
        <v>-39.6</v>
      </c>
      <c r="EB82" s="8">
        <v>123.4</v>
      </c>
      <c r="EC82" s="8">
        <v>456</v>
      </c>
      <c r="ED82" s="8">
        <v>128.7</v>
      </c>
      <c r="EE82" s="8">
        <v>-43.3</v>
      </c>
      <c r="EF82" s="8">
        <v>23.9</v>
      </c>
      <c r="EG82" s="8">
        <v>88.59999999999999</v>
      </c>
      <c r="EH82" s="8">
        <v>-239.5</v>
      </c>
      <c r="EI82" s="8">
        <v>-252.1</v>
      </c>
      <c r="EJ82" s="8">
        <v>-352.4</v>
      </c>
      <c r="EK82" s="8">
        <v>-23.7</v>
      </c>
      <c r="EL82" s="8">
        <v>-39.4</v>
      </c>
      <c r="EM82" s="8">
        <v>-217.8</v>
      </c>
      <c r="EN82" s="8">
        <v>-219</v>
      </c>
      <c r="EO82" s="8">
        <v>-61.2</v>
      </c>
      <c r="EP82" s="8">
        <v>210.5</v>
      </c>
      <c r="EQ82" s="8">
        <v>4.4</v>
      </c>
    </row>
    <row r="83" spans="1:152">
      <c r="A83" s="7">
        <v>35.2</v>
      </c>
      <c r="I83" s="8">
        <v>-124</v>
      </c>
      <c r="J83" s="8">
        <v>-122.3</v>
      </c>
      <c r="K83" s="8">
        <v>-119.3</v>
      </c>
      <c r="L83" s="8">
        <v>-113.4</v>
      </c>
      <c r="M83" s="8">
        <v>-126.6</v>
      </c>
      <c r="N83" s="8">
        <v>-151.4</v>
      </c>
      <c r="O83" s="8">
        <v>-175.4</v>
      </c>
      <c r="P83" s="8">
        <v>-38</v>
      </c>
      <c r="Q83" s="8">
        <v>100.9</v>
      </c>
      <c r="R83" s="8">
        <v>-34.4</v>
      </c>
      <c r="S83" s="8">
        <v>196.1</v>
      </c>
      <c r="T83" s="8">
        <v>131.9</v>
      </c>
      <c r="U83" s="8">
        <v>115.7</v>
      </c>
      <c r="V83" s="8">
        <v>-57.6</v>
      </c>
      <c r="W83" s="8">
        <v>86.40000000000001</v>
      </c>
      <c r="X83" s="8">
        <v>107.2</v>
      </c>
      <c r="Y83" s="8">
        <v>89.90000000000001</v>
      </c>
      <c r="Z83" s="8">
        <v>45.4</v>
      </c>
      <c r="AA83" s="8">
        <v>47.8</v>
      </c>
      <c r="AB83" s="8">
        <v>55.8</v>
      </c>
      <c r="AC83" s="8">
        <v>-34.3</v>
      </c>
      <c r="AD83" s="8">
        <v>-90.8</v>
      </c>
      <c r="AE83" s="8">
        <v>-122.7</v>
      </c>
      <c r="AF83" s="8">
        <v>-24.7</v>
      </c>
      <c r="AG83" s="8">
        <v>-67.3</v>
      </c>
      <c r="AH83" s="8">
        <v>-53.4</v>
      </c>
      <c r="AI83" s="8">
        <v>-68.59999999999999</v>
      </c>
      <c r="AJ83" s="8">
        <v>-55.1</v>
      </c>
      <c r="AK83" s="8">
        <v>-1.4</v>
      </c>
      <c r="AL83" s="8">
        <v>-16.8</v>
      </c>
      <c r="AM83" s="8">
        <v>-64.7</v>
      </c>
      <c r="AN83" s="8">
        <v>-112.3</v>
      </c>
      <c r="AO83" s="8">
        <v>-120.7</v>
      </c>
      <c r="AP83" s="8">
        <v>-125.2</v>
      </c>
      <c r="AQ83" s="8">
        <v>-50.2</v>
      </c>
      <c r="AR83" s="8">
        <v>-50.9</v>
      </c>
      <c r="AS83" s="8">
        <v>-40.7</v>
      </c>
      <c r="AT83" s="8">
        <v>-52.5</v>
      </c>
      <c r="AU83" s="8">
        <v>-88.3</v>
      </c>
      <c r="AV83" s="8">
        <v>-69.90000000000001</v>
      </c>
      <c r="AW83" s="8">
        <v>-62.8</v>
      </c>
      <c r="AX83" s="8">
        <v>-17.4</v>
      </c>
      <c r="AY83" s="8">
        <v>-80.8</v>
      </c>
      <c r="AZ83" s="8">
        <v>-147.8</v>
      </c>
      <c r="BA83" s="8">
        <v>-83.3</v>
      </c>
      <c r="BB83" s="8">
        <v>-65.3</v>
      </c>
      <c r="BC83" s="8">
        <v>-9.300000000000001</v>
      </c>
      <c r="BD83" s="8">
        <v>21.1</v>
      </c>
      <c r="BE83" s="8">
        <v>29.3</v>
      </c>
      <c r="BF83" s="8">
        <v>-61.8</v>
      </c>
      <c r="BG83" s="8">
        <v>-81.7</v>
      </c>
      <c r="BH83" s="8">
        <v>-93.5</v>
      </c>
      <c r="BI83" s="8">
        <v>-104</v>
      </c>
      <c r="BJ83" s="8">
        <v>-98.8</v>
      </c>
      <c r="BK83" s="8">
        <v>-52.7</v>
      </c>
      <c r="BL83" s="8">
        <v>-29.1</v>
      </c>
      <c r="BM83" s="8">
        <v>-36.9</v>
      </c>
      <c r="BN83" s="8">
        <v>-50.8</v>
      </c>
      <c r="BO83" s="8">
        <v>-59.9</v>
      </c>
      <c r="BP83" s="8">
        <v>-68.40000000000001</v>
      </c>
      <c r="BQ83" s="8">
        <v>-67.09999999999999</v>
      </c>
      <c r="BR83" s="8">
        <v>-90.3</v>
      </c>
      <c r="BS83" s="8">
        <v>-39</v>
      </c>
      <c r="BT83" s="8">
        <v>-23.3</v>
      </c>
      <c r="BU83" s="8">
        <v>-25.3</v>
      </c>
      <c r="BV83" s="8">
        <v>-83.90000000000001</v>
      </c>
      <c r="BW83" s="8">
        <v>-78.90000000000001</v>
      </c>
      <c r="BX83" s="8">
        <v>-70.40000000000001</v>
      </c>
      <c r="BY83" s="8">
        <v>-61</v>
      </c>
      <c r="BZ83" s="8">
        <v>-118.1</v>
      </c>
      <c r="CA83" s="8">
        <v>-146.9</v>
      </c>
      <c r="CB83" s="8">
        <v>-243.1</v>
      </c>
      <c r="CC83" s="8">
        <v>-34.3</v>
      </c>
      <c r="CD83" s="8">
        <v>-71.09999999999999</v>
      </c>
      <c r="CE83" s="8">
        <v>-161</v>
      </c>
      <c r="CF83" s="8">
        <v>-131.2</v>
      </c>
      <c r="CG83" s="8">
        <v>-117</v>
      </c>
      <c r="CH83" s="8">
        <v>-86.8</v>
      </c>
      <c r="CI83" s="8">
        <v>-154.2</v>
      </c>
      <c r="CJ83" s="8">
        <v>-165</v>
      </c>
      <c r="CK83" s="8">
        <v>-168.1</v>
      </c>
      <c r="CL83" s="8">
        <v>-158.6</v>
      </c>
      <c r="CM83" s="8">
        <v>-157.5</v>
      </c>
      <c r="CN83" s="8">
        <v>-126.7</v>
      </c>
      <c r="CO83" s="8">
        <v>-81.59999999999999</v>
      </c>
      <c r="CP83" s="8">
        <v>-46.4</v>
      </c>
      <c r="CQ83" s="8">
        <v>4.7</v>
      </c>
      <c r="CR83" s="8">
        <v>45</v>
      </c>
      <c r="CS83" s="8">
        <v>48.1</v>
      </c>
      <c r="CT83" s="8">
        <v>51.6</v>
      </c>
      <c r="CU83" s="8">
        <v>-4.2</v>
      </c>
      <c r="CV83" s="8">
        <v>70.7</v>
      </c>
      <c r="CW83" s="8">
        <v>23.7</v>
      </c>
      <c r="CX83" s="8">
        <v>-72.8</v>
      </c>
      <c r="CY83" s="8">
        <v>-40.4</v>
      </c>
      <c r="CZ83" s="8">
        <v>-84.90000000000001</v>
      </c>
      <c r="DA83" s="8">
        <v>-165.1</v>
      </c>
      <c r="DB83" s="8">
        <v>-169.6</v>
      </c>
      <c r="DC83" s="8">
        <v>132</v>
      </c>
      <c r="DD83" s="8">
        <v>55.4</v>
      </c>
      <c r="DE83" s="8">
        <v>-335.9</v>
      </c>
      <c r="DF83" s="8">
        <v>-212</v>
      </c>
      <c r="DG83" s="8">
        <v>-24.8</v>
      </c>
      <c r="DH83" s="8">
        <v>-194.1</v>
      </c>
      <c r="DI83" s="8">
        <v>-96.8</v>
      </c>
      <c r="DJ83" s="8">
        <v>-58.1</v>
      </c>
      <c r="DK83" s="8">
        <v>-124</v>
      </c>
      <c r="DL83" s="8">
        <v>-218.2</v>
      </c>
      <c r="DM83" s="8">
        <v>-243.6</v>
      </c>
      <c r="DN83" s="8">
        <v>-255.1</v>
      </c>
      <c r="DO83" s="8">
        <v>-182.1</v>
      </c>
      <c r="DP83" s="8">
        <v>-181.2</v>
      </c>
      <c r="DQ83" s="8">
        <v>353.5</v>
      </c>
      <c r="DR83" s="8">
        <v>744.2</v>
      </c>
      <c r="DS83" s="8">
        <v>-86.90000000000001</v>
      </c>
      <c r="DT83" s="8">
        <v>-65.8</v>
      </c>
      <c r="DU83" s="8">
        <v>-258.1</v>
      </c>
      <c r="DV83" s="8">
        <v>-126.7</v>
      </c>
      <c r="DW83" s="8">
        <v>-138.2</v>
      </c>
      <c r="DX83" s="8">
        <v>-75.40000000000001</v>
      </c>
      <c r="DY83" s="8">
        <v>25.6</v>
      </c>
      <c r="DZ83" s="8">
        <v>134.9</v>
      </c>
      <c r="EA83" s="8">
        <v>215.8</v>
      </c>
      <c r="EB83" s="8">
        <v>272.8</v>
      </c>
      <c r="EC83" s="8">
        <v>1.2</v>
      </c>
      <c r="ED83" s="8">
        <v>-16.9</v>
      </c>
      <c r="EE83" s="8">
        <v>-115.3</v>
      </c>
      <c r="EF83" s="8">
        <v>-109.6</v>
      </c>
      <c r="EG83" s="8">
        <v>-91.59999999999999</v>
      </c>
      <c r="EH83" s="8">
        <v>-232.9</v>
      </c>
      <c r="EI83" s="8">
        <v>-718.6</v>
      </c>
      <c r="EJ83" s="8">
        <v>-57.2</v>
      </c>
      <c r="EK83" s="8">
        <v>13.4</v>
      </c>
      <c r="EL83" s="8">
        <v>-310.9</v>
      </c>
      <c r="EM83" s="8">
        <v>-312.2</v>
      </c>
      <c r="EN83" s="8">
        <v>-310.2</v>
      </c>
      <c r="EO83" s="8">
        <v>-275.2</v>
      </c>
      <c r="EP83" s="8">
        <v>-188.6</v>
      </c>
      <c r="EQ83" s="8">
        <v>-238.4</v>
      </c>
    </row>
    <row r="84" spans="1:152">
      <c r="A84" s="7">
        <v>35.225</v>
      </c>
      <c r="H84" s="8">
        <v>117.2</v>
      </c>
      <c r="I84" s="8">
        <v>-88.90000000000001</v>
      </c>
      <c r="J84" s="8">
        <v>-132.8</v>
      </c>
      <c r="K84" s="8">
        <v>-76.09999999999999</v>
      </c>
      <c r="L84" s="8">
        <v>-92.5</v>
      </c>
      <c r="M84" s="8">
        <v>-93.59999999999999</v>
      </c>
      <c r="N84" s="8">
        <v>-78.3</v>
      </c>
      <c r="O84" s="8">
        <v>2.8</v>
      </c>
      <c r="P84" s="8">
        <v>-318</v>
      </c>
      <c r="Q84" s="8">
        <v>-6.4</v>
      </c>
      <c r="R84" s="8">
        <v>3.1</v>
      </c>
      <c r="S84" s="8">
        <v>5.3</v>
      </c>
      <c r="T84" s="8">
        <v>81.3</v>
      </c>
      <c r="U84" s="8">
        <v>162.6</v>
      </c>
      <c r="V84" s="8">
        <v>53.2</v>
      </c>
      <c r="W84" s="8">
        <v>24.8</v>
      </c>
      <c r="X84" s="8">
        <v>114.5</v>
      </c>
      <c r="Y84" s="8">
        <v>51.8</v>
      </c>
      <c r="Z84" s="8">
        <v>95.7</v>
      </c>
      <c r="AA84" s="8">
        <v>151.7</v>
      </c>
      <c r="AB84" s="8">
        <v>66.8</v>
      </c>
      <c r="AC84" s="8">
        <v>-44.2</v>
      </c>
      <c r="AD84" s="8">
        <v>63.9</v>
      </c>
      <c r="AE84" s="8">
        <v>30.8</v>
      </c>
      <c r="AF84" s="8">
        <v>16</v>
      </c>
      <c r="AG84" s="8">
        <v>-61.9</v>
      </c>
      <c r="AH84" s="8">
        <v>-54.9</v>
      </c>
      <c r="AI84" s="8">
        <v>-72.7</v>
      </c>
      <c r="AJ84" s="8">
        <v>-79.40000000000001</v>
      </c>
      <c r="AK84" s="8">
        <v>-46.4</v>
      </c>
      <c r="AL84" s="8">
        <v>-27.5</v>
      </c>
      <c r="AM84" s="8">
        <v>-52.4</v>
      </c>
      <c r="AN84" s="8">
        <v>-74.09999999999999</v>
      </c>
      <c r="AO84" s="8">
        <v>-93.90000000000001</v>
      </c>
      <c r="AP84" s="8">
        <v>-60.5</v>
      </c>
      <c r="AQ84" s="8">
        <v>-55.5</v>
      </c>
      <c r="AR84" s="8">
        <v>-21.5</v>
      </c>
      <c r="AS84" s="8">
        <v>-30.2</v>
      </c>
      <c r="AT84" s="8">
        <v>-23.1</v>
      </c>
      <c r="AU84" s="8">
        <v>-24.7</v>
      </c>
      <c r="AV84" s="8">
        <v>7.9</v>
      </c>
      <c r="AW84" s="8">
        <v>-47.5</v>
      </c>
      <c r="AX84" s="8">
        <v>1.2</v>
      </c>
      <c r="AY84" s="8">
        <v>2.1</v>
      </c>
      <c r="AZ84" s="8">
        <v>4.8</v>
      </c>
      <c r="BA84" s="8">
        <v>16.1</v>
      </c>
      <c r="BB84" s="8">
        <v>26.9</v>
      </c>
      <c r="BC84" s="8">
        <v>17.1</v>
      </c>
      <c r="BD84" s="8">
        <v>34.4</v>
      </c>
      <c r="BE84" s="8">
        <v>2.2</v>
      </c>
      <c r="BF84" s="8">
        <v>-59.8</v>
      </c>
      <c r="BG84" s="8">
        <v>-85.3</v>
      </c>
      <c r="BH84" s="8">
        <v>-90.59999999999999</v>
      </c>
      <c r="BI84" s="8">
        <v>-89.7</v>
      </c>
      <c r="BJ84" s="8">
        <v>-79.5</v>
      </c>
      <c r="BK84" s="8">
        <v>-103.7</v>
      </c>
      <c r="BL84" s="8">
        <v>-79.5</v>
      </c>
      <c r="BM84" s="8">
        <v>-50.5</v>
      </c>
      <c r="BN84" s="8">
        <v>-60.3</v>
      </c>
      <c r="BO84" s="8">
        <v>-77.09999999999999</v>
      </c>
      <c r="BP84" s="8">
        <v>-72.09999999999999</v>
      </c>
      <c r="BQ84" s="8">
        <v>-88.5</v>
      </c>
      <c r="BR84" s="8">
        <v>-36.7</v>
      </c>
      <c r="BS84" s="8">
        <v>-79.2</v>
      </c>
      <c r="BT84" s="8">
        <v>-20.9</v>
      </c>
      <c r="BU84" s="8">
        <v>-161.5</v>
      </c>
      <c r="BV84" s="8">
        <v>-74.3</v>
      </c>
      <c r="BW84" s="8">
        <v>-82.59999999999999</v>
      </c>
      <c r="BX84" s="8">
        <v>-42.2</v>
      </c>
      <c r="BY84" s="8">
        <v>-66.59999999999999</v>
      </c>
      <c r="BZ84" s="8">
        <v>-100.6</v>
      </c>
      <c r="CA84" s="8">
        <v>-88.3</v>
      </c>
      <c r="CB84" s="8">
        <v>-107.4</v>
      </c>
      <c r="CC84" s="8">
        <v>-77</v>
      </c>
      <c r="CD84" s="8">
        <v>-84.90000000000001</v>
      </c>
      <c r="CE84" s="8">
        <v>-157.2</v>
      </c>
      <c r="CF84" s="8">
        <v>-146.9</v>
      </c>
      <c r="CG84" s="8">
        <v>-129.9</v>
      </c>
      <c r="CH84" s="8">
        <v>-122.5</v>
      </c>
      <c r="CI84" s="8">
        <v>-147.8</v>
      </c>
      <c r="CJ84" s="8">
        <v>-144.8</v>
      </c>
      <c r="CK84" s="8">
        <v>-145.5</v>
      </c>
      <c r="CL84" s="8">
        <v>-139.9</v>
      </c>
      <c r="CM84" s="8">
        <v>-95.90000000000001</v>
      </c>
      <c r="CN84" s="8">
        <v>-59.7</v>
      </c>
      <c r="CO84" s="8">
        <v>216.3</v>
      </c>
      <c r="CP84" s="8">
        <v>-4.3</v>
      </c>
      <c r="CQ84" s="8">
        <v>45</v>
      </c>
      <c r="CR84" s="8">
        <v>82.3</v>
      </c>
      <c r="CS84" s="8">
        <v>83.40000000000001</v>
      </c>
      <c r="CT84" s="8">
        <v>50.2</v>
      </c>
      <c r="CU84" s="8">
        <v>28.5</v>
      </c>
      <c r="CV84" s="8">
        <v>23.6</v>
      </c>
      <c r="CW84" s="8">
        <v>46</v>
      </c>
      <c r="CX84" s="8">
        <v>-104.7</v>
      </c>
      <c r="CY84" s="8">
        <v>35.1</v>
      </c>
      <c r="CZ84" s="8">
        <v>184.7</v>
      </c>
      <c r="DA84" s="8">
        <v>-123.2</v>
      </c>
      <c r="DB84" s="8">
        <v>-242.5</v>
      </c>
      <c r="DC84" s="8">
        <v>-599.9</v>
      </c>
      <c r="DD84" s="8">
        <v>-569.4</v>
      </c>
      <c r="DE84" s="8">
        <v>-507.4</v>
      </c>
      <c r="DF84" s="8">
        <v>-415.2</v>
      </c>
      <c r="DG84" s="8">
        <v>-347.1</v>
      </c>
      <c r="DH84" s="8">
        <v>-279.6</v>
      </c>
      <c r="DI84" s="8">
        <v>-193.9</v>
      </c>
      <c r="DJ84" s="8">
        <v>0.4</v>
      </c>
      <c r="DK84" s="8">
        <v>29.2</v>
      </c>
      <c r="DL84" s="8">
        <v>-97</v>
      </c>
      <c r="DM84" s="8">
        <v>-124.6</v>
      </c>
      <c r="DN84" s="8">
        <v>-163.8</v>
      </c>
      <c r="DO84" s="8">
        <v>-177.5</v>
      </c>
      <c r="DP84" s="8">
        <v>-148.4</v>
      </c>
      <c r="DQ84" s="8">
        <v>-360.1</v>
      </c>
      <c r="DR84" s="8">
        <v>-421.4</v>
      </c>
      <c r="DS84" s="8">
        <v>-70.2</v>
      </c>
      <c r="DT84" s="8">
        <v>63.3</v>
      </c>
      <c r="DU84" s="8">
        <v>-42.9</v>
      </c>
      <c r="DV84" s="8">
        <v>-71.90000000000001</v>
      </c>
      <c r="DW84" s="8">
        <v>-117.8</v>
      </c>
      <c r="DX84" s="8">
        <v>-82.3</v>
      </c>
      <c r="DY84" s="8">
        <v>39</v>
      </c>
      <c r="DZ84" s="8">
        <v>283.8</v>
      </c>
      <c r="EA84" s="8">
        <v>91</v>
      </c>
      <c r="EB84" s="8">
        <v>-72.7</v>
      </c>
      <c r="EC84" s="8">
        <v>158.2</v>
      </c>
      <c r="ED84" s="8">
        <v>-96</v>
      </c>
      <c r="EE84" s="8">
        <v>-168</v>
      </c>
      <c r="EF84" s="8">
        <v>-97</v>
      </c>
      <c r="EG84" s="8">
        <v>-5.8</v>
      </c>
      <c r="EH84" s="8">
        <v>-38.7</v>
      </c>
      <c r="EI84" s="8">
        <v>20.2</v>
      </c>
      <c r="EJ84" s="8">
        <v>31.4</v>
      </c>
      <c r="EK84" s="8">
        <v>-255.2</v>
      </c>
      <c r="EL84" s="8">
        <v>-312.4</v>
      </c>
      <c r="EM84" s="8">
        <v>-266.9</v>
      </c>
      <c r="EN84" s="8">
        <v>-231.6</v>
      </c>
      <c r="EO84" s="8">
        <v>-233</v>
      </c>
      <c r="EP84" s="8">
        <v>-173.8</v>
      </c>
      <c r="EQ84" s="8">
        <v>-174.8</v>
      </c>
    </row>
    <row r="85" spans="1:152">
      <c r="A85" s="7">
        <v>35.25</v>
      </c>
      <c r="H85" s="8">
        <v>110.1</v>
      </c>
      <c r="I85" s="8">
        <v>62.1</v>
      </c>
      <c r="J85" s="8">
        <v>153</v>
      </c>
      <c r="K85" s="8">
        <v>-54</v>
      </c>
      <c r="L85" s="8">
        <v>-50.3</v>
      </c>
      <c r="M85" s="8">
        <v>28</v>
      </c>
      <c r="N85" s="8">
        <v>-77.5</v>
      </c>
      <c r="O85" s="8">
        <v>5.3</v>
      </c>
      <c r="P85" s="8">
        <v>87.09999999999999</v>
      </c>
      <c r="Q85" s="8">
        <v>36.2</v>
      </c>
      <c r="R85" s="8">
        <v>181.3</v>
      </c>
      <c r="S85" s="8">
        <v>124.9</v>
      </c>
      <c r="T85" s="8">
        <v>-129.3</v>
      </c>
      <c r="U85" s="8">
        <v>-134.2</v>
      </c>
      <c r="V85" s="8">
        <v>-110.4</v>
      </c>
      <c r="W85" s="8">
        <v>-36.3</v>
      </c>
      <c r="X85" s="8">
        <v>-77.2</v>
      </c>
      <c r="Y85" s="8">
        <v>25.3</v>
      </c>
      <c r="Z85" s="8">
        <v>-27.2</v>
      </c>
      <c r="AA85" s="8">
        <v>-31.9</v>
      </c>
      <c r="AB85" s="8">
        <v>90.2</v>
      </c>
      <c r="AC85" s="8">
        <v>-72.5</v>
      </c>
      <c r="AD85" s="8">
        <v>-65.3</v>
      </c>
      <c r="AE85" s="8">
        <v>-66.8</v>
      </c>
      <c r="AF85" s="8">
        <v>-5.5</v>
      </c>
      <c r="AG85" s="8">
        <v>127.5</v>
      </c>
      <c r="AH85" s="8">
        <v>88.7</v>
      </c>
      <c r="AI85" s="8">
        <v>74.90000000000001</v>
      </c>
      <c r="AJ85" s="8">
        <v>-98.2</v>
      </c>
      <c r="AK85" s="8">
        <v>-51.8</v>
      </c>
      <c r="AL85" s="8">
        <v>-39.9</v>
      </c>
      <c r="AM85" s="8">
        <v>-53.8</v>
      </c>
      <c r="AN85" s="8">
        <v>-61</v>
      </c>
      <c r="AO85" s="8">
        <v>-25.1</v>
      </c>
      <c r="AP85" s="8">
        <v>-62.9</v>
      </c>
      <c r="AQ85" s="8">
        <v>-211.4</v>
      </c>
      <c r="AR85" s="8">
        <v>25.3</v>
      </c>
      <c r="AS85" s="8">
        <v>103.8</v>
      </c>
      <c r="AT85" s="8">
        <v>107.1</v>
      </c>
      <c r="AU85" s="8">
        <v>116</v>
      </c>
      <c r="AV85" s="8">
        <v>846.6</v>
      </c>
      <c r="AW85" s="8">
        <v>71</v>
      </c>
      <c r="AX85" s="8">
        <v>62.4</v>
      </c>
      <c r="AY85" s="8">
        <v>42.9</v>
      </c>
      <c r="AZ85" s="8">
        <v>117</v>
      </c>
      <c r="BA85" s="8">
        <v>97</v>
      </c>
      <c r="BB85" s="8">
        <v>112.1</v>
      </c>
      <c r="BC85" s="8">
        <v>105.7</v>
      </c>
      <c r="BD85" s="8">
        <v>62.3</v>
      </c>
      <c r="BE85" s="8">
        <v>-29.9</v>
      </c>
      <c r="BF85" s="8">
        <v>-47.3</v>
      </c>
      <c r="BG85" s="8">
        <v>-85.7</v>
      </c>
      <c r="BH85" s="8">
        <v>-79.2</v>
      </c>
      <c r="BI85" s="8">
        <v>-61.3</v>
      </c>
      <c r="BJ85" s="8">
        <v>-88.59999999999999</v>
      </c>
      <c r="BK85" s="8">
        <v>-236</v>
      </c>
      <c r="BL85" s="8">
        <v>-68</v>
      </c>
      <c r="BM85" s="8">
        <v>-79.2</v>
      </c>
      <c r="BN85" s="8">
        <v>-73.3</v>
      </c>
      <c r="BO85" s="8">
        <v>-87</v>
      </c>
      <c r="BP85" s="8">
        <v>-75.3</v>
      </c>
      <c r="BQ85" s="8">
        <v>-98.09999999999999</v>
      </c>
      <c r="BR85" s="8">
        <v>-56.8</v>
      </c>
      <c r="BS85" s="8">
        <v>0.6</v>
      </c>
      <c r="BT85" s="8">
        <v>-91.40000000000001</v>
      </c>
      <c r="BU85" s="8">
        <v>-114.2</v>
      </c>
      <c r="BV85" s="8">
        <v>-118.5</v>
      </c>
      <c r="BW85" s="8">
        <v>-151</v>
      </c>
      <c r="BX85" s="8">
        <v>-116.5</v>
      </c>
      <c r="BY85" s="8">
        <v>-186.1</v>
      </c>
      <c r="BZ85" s="8">
        <v>-176.2</v>
      </c>
      <c r="CA85" s="8">
        <v>-180.6</v>
      </c>
      <c r="CB85" s="8">
        <v>-161.1</v>
      </c>
      <c r="CC85" s="8">
        <v>-160.4</v>
      </c>
      <c r="CD85" s="8">
        <v>-135.5</v>
      </c>
      <c r="CE85" s="8">
        <v>-134.9</v>
      </c>
      <c r="CF85" s="8">
        <v>-67.40000000000001</v>
      </c>
      <c r="CG85" s="8">
        <v>-144</v>
      </c>
      <c r="CH85" s="8">
        <v>-105.7</v>
      </c>
      <c r="CI85" s="8">
        <v>-133.5</v>
      </c>
      <c r="CJ85" s="8">
        <v>-121.5</v>
      </c>
      <c r="CK85" s="8">
        <v>-140.2</v>
      </c>
      <c r="CL85" s="8">
        <v>-123.4</v>
      </c>
      <c r="CM85" s="8">
        <v>-83.3</v>
      </c>
      <c r="CN85" s="8">
        <v>8.699999999999999</v>
      </c>
      <c r="CO85" s="8">
        <v>7.6</v>
      </c>
      <c r="CP85" s="8">
        <v>89.59999999999999</v>
      </c>
      <c r="CQ85" s="8">
        <v>144.5</v>
      </c>
      <c r="CR85" s="8">
        <v>168.6</v>
      </c>
      <c r="CS85" s="8">
        <v>134.5</v>
      </c>
      <c r="CT85" s="8">
        <v>81</v>
      </c>
      <c r="CU85" s="8">
        <v>55.1</v>
      </c>
      <c r="CV85" s="8">
        <v>46.9</v>
      </c>
      <c r="CW85" s="8">
        <v>77.5</v>
      </c>
      <c r="CX85" s="8">
        <v>20.7</v>
      </c>
      <c r="CY85" s="8">
        <v>-112</v>
      </c>
      <c r="CZ85" s="8">
        <v>-342.1</v>
      </c>
      <c r="DA85" s="8">
        <v>-212.2</v>
      </c>
      <c r="DB85" s="8">
        <v>-250.5</v>
      </c>
      <c r="DC85" s="8">
        <v>-334.6</v>
      </c>
      <c r="DD85" s="8">
        <v>-434.5</v>
      </c>
      <c r="DE85" s="8">
        <v>-517.2</v>
      </c>
      <c r="DF85" s="8">
        <v>-403</v>
      </c>
      <c r="DG85" s="8">
        <v>-118.2</v>
      </c>
      <c r="DH85" s="8">
        <v>-271.1</v>
      </c>
      <c r="DI85" s="8">
        <v>-406.3</v>
      </c>
      <c r="DJ85" s="8">
        <v>-300.4</v>
      </c>
      <c r="DK85" s="8">
        <v>-261.1</v>
      </c>
      <c r="DL85" s="8">
        <v>-237.9</v>
      </c>
      <c r="DM85" s="8">
        <v>-128.3</v>
      </c>
      <c r="DN85" s="8">
        <v>-49.7</v>
      </c>
      <c r="DO85" s="8">
        <v>1.2</v>
      </c>
      <c r="DP85" s="8">
        <v>115.7</v>
      </c>
      <c r="DQ85" s="8">
        <v>94.59999999999999</v>
      </c>
      <c r="DR85" s="8">
        <v>97.59999999999999</v>
      </c>
      <c r="DS85" s="8">
        <v>-9.800000000000001</v>
      </c>
      <c r="DT85" s="8">
        <v>38.5</v>
      </c>
      <c r="DU85" s="8">
        <v>-29.1</v>
      </c>
      <c r="DV85" s="8">
        <v>-65.09999999999999</v>
      </c>
      <c r="DW85" s="8">
        <v>-96.90000000000001</v>
      </c>
      <c r="DX85" s="8">
        <v>-65.5</v>
      </c>
      <c r="DY85" s="8">
        <v>-57.6</v>
      </c>
      <c r="DZ85" s="8">
        <v>146.6</v>
      </c>
      <c r="EA85" s="8">
        <v>35.2</v>
      </c>
      <c r="EB85" s="8">
        <v>-35.7</v>
      </c>
      <c r="EC85" s="8">
        <v>156.8</v>
      </c>
      <c r="ED85" s="8">
        <v>99.7</v>
      </c>
      <c r="EE85" s="8">
        <v>33.3</v>
      </c>
      <c r="EF85" s="8">
        <v>-177</v>
      </c>
      <c r="EG85" s="8">
        <v>6.9</v>
      </c>
      <c r="EH85" s="8">
        <v>10.4</v>
      </c>
      <c r="EI85" s="8">
        <v>137.2</v>
      </c>
      <c r="EJ85" s="8">
        <v>-155.6</v>
      </c>
      <c r="EK85" s="8">
        <v>-244</v>
      </c>
      <c r="EL85" s="8">
        <v>-290.7</v>
      </c>
      <c r="EM85" s="8">
        <v>-108.8</v>
      </c>
      <c r="EN85" s="8">
        <v>-113.5</v>
      </c>
      <c r="EO85" s="8">
        <v>-167.7</v>
      </c>
      <c r="EP85" s="8">
        <v>-135.8</v>
      </c>
      <c r="EQ85" s="8">
        <v>-77.59999999999999</v>
      </c>
    </row>
    <row r="86" spans="1:152">
      <c r="A86" s="7">
        <v>35.275</v>
      </c>
      <c r="S86" s="8">
        <v>-68.5</v>
      </c>
      <c r="T86" s="8">
        <v>-73.90000000000001</v>
      </c>
      <c r="U86" s="8">
        <v>11.2</v>
      </c>
      <c r="V86" s="8">
        <v>-32.2</v>
      </c>
      <c r="W86" s="8">
        <v>-35.4</v>
      </c>
      <c r="X86" s="8">
        <v>-24.1</v>
      </c>
      <c r="Y86" s="8">
        <v>91.8</v>
      </c>
      <c r="Z86" s="8">
        <v>82.90000000000001</v>
      </c>
      <c r="AA86" s="8">
        <v>76.09999999999999</v>
      </c>
      <c r="AB86" s="8">
        <v>160.9</v>
      </c>
      <c r="AC86" s="8">
        <v>-5</v>
      </c>
      <c r="AD86" s="8">
        <v>24.9</v>
      </c>
      <c r="AE86" s="8">
        <v>-14.1</v>
      </c>
      <c r="AF86" s="8">
        <v>-23.5</v>
      </c>
      <c r="AG86" s="8">
        <v>24.9</v>
      </c>
      <c r="AH86" s="8">
        <v>58.2</v>
      </c>
      <c r="AI86" s="8">
        <v>15.7</v>
      </c>
      <c r="AJ86" s="8">
        <v>107.7</v>
      </c>
      <c r="AK86" s="8">
        <v>-11.8</v>
      </c>
      <c r="AL86" s="8">
        <v>-79.09999999999999</v>
      </c>
      <c r="AM86" s="8">
        <v>-77</v>
      </c>
      <c r="AN86" s="8">
        <v>66.59999999999999</v>
      </c>
      <c r="AO86" s="8">
        <v>-19.6</v>
      </c>
      <c r="AP86" s="8">
        <v>-16.9</v>
      </c>
      <c r="AQ86" s="8">
        <v>-38.1</v>
      </c>
      <c r="AR86" s="8">
        <v>64.40000000000001</v>
      </c>
      <c r="AS86" s="8">
        <v>277.4</v>
      </c>
      <c r="AT86" s="8">
        <v>359.2</v>
      </c>
      <c r="AU86" s="8">
        <v>222.4</v>
      </c>
      <c r="AV86" s="8">
        <v>43.9</v>
      </c>
      <c r="AW86" s="8">
        <v>62.1</v>
      </c>
      <c r="AX86" s="8">
        <v>82.90000000000001</v>
      </c>
      <c r="AY86" s="8">
        <v>68.40000000000001</v>
      </c>
      <c r="AZ86" s="8">
        <v>51.1</v>
      </c>
      <c r="BA86" s="8">
        <v>29.6</v>
      </c>
      <c r="BB86" s="8">
        <v>179.3</v>
      </c>
      <c r="BC86" s="8">
        <v>161.5</v>
      </c>
      <c r="BD86" s="8">
        <v>149.5</v>
      </c>
      <c r="BE86" s="8">
        <v>56.8</v>
      </c>
      <c r="BF86" s="8">
        <v>23.6</v>
      </c>
      <c r="BG86" s="8">
        <v>-11.2</v>
      </c>
      <c r="BH86" s="8">
        <v>-45.1</v>
      </c>
      <c r="BI86" s="8">
        <v>-71.90000000000001</v>
      </c>
      <c r="BJ86" s="8">
        <v>-59</v>
      </c>
      <c r="BK86" s="8">
        <v>-86.7</v>
      </c>
      <c r="BL86" s="8">
        <v>-53.5</v>
      </c>
      <c r="BM86" s="8">
        <v>-50.9</v>
      </c>
      <c r="BN86" s="8">
        <v>-77.59999999999999</v>
      </c>
      <c r="BO86" s="8">
        <v>-92.8</v>
      </c>
      <c r="BP86" s="8">
        <v>-110.2</v>
      </c>
      <c r="BQ86" s="8">
        <v>-113.8</v>
      </c>
      <c r="BR86" s="8">
        <v>-126.5</v>
      </c>
      <c r="BS86" s="8">
        <v>-110.7</v>
      </c>
      <c r="BT86" s="8">
        <v>-82.40000000000001</v>
      </c>
      <c r="BU86" s="8">
        <v>-41.5</v>
      </c>
      <c r="BV86" s="8">
        <v>-45.3</v>
      </c>
      <c r="BW86" s="8">
        <v>-3.1</v>
      </c>
      <c r="BX86" s="8">
        <v>-42.4</v>
      </c>
      <c r="BY86" s="8">
        <v>-27.7</v>
      </c>
      <c r="BZ86" s="8">
        <v>-87.7</v>
      </c>
      <c r="CA86" s="8">
        <v>98.09999999999999</v>
      </c>
      <c r="CB86" s="8">
        <v>-69</v>
      </c>
      <c r="CC86" s="8">
        <v>-116</v>
      </c>
      <c r="CD86" s="8">
        <v>-133.4</v>
      </c>
      <c r="CE86" s="8">
        <v>-134.9</v>
      </c>
      <c r="CF86" s="8">
        <v>-86.59999999999999</v>
      </c>
      <c r="CG86" s="8">
        <v>-163.9</v>
      </c>
      <c r="CH86" s="8">
        <v>-45.4</v>
      </c>
      <c r="CI86" s="8">
        <v>-129.9</v>
      </c>
      <c r="CJ86" s="8">
        <v>-129.8</v>
      </c>
      <c r="CK86" s="8">
        <v>-137.6</v>
      </c>
      <c r="CL86" s="8">
        <v>-132.7</v>
      </c>
      <c r="CM86" s="8">
        <v>-109.2</v>
      </c>
      <c r="CN86" s="8">
        <v>-75.59999999999999</v>
      </c>
      <c r="CO86" s="8">
        <v>-12.4</v>
      </c>
      <c r="CP86" s="8">
        <v>129.3</v>
      </c>
      <c r="CQ86" s="8">
        <v>132.3</v>
      </c>
      <c r="CR86" s="8">
        <v>116.6</v>
      </c>
      <c r="CS86" s="8">
        <v>93.5</v>
      </c>
      <c r="CT86" s="8">
        <v>56.7</v>
      </c>
      <c r="CU86" s="8">
        <v>18.5</v>
      </c>
      <c r="CV86" s="8">
        <v>-17.2</v>
      </c>
      <c r="CW86" s="8">
        <v>5.2</v>
      </c>
      <c r="CX86" s="8">
        <v>2.3</v>
      </c>
      <c r="CY86" s="8">
        <v>-51.8</v>
      </c>
      <c r="CZ86" s="8">
        <v>-136.1</v>
      </c>
      <c r="DA86" s="8">
        <v>-167.5</v>
      </c>
      <c r="DB86" s="8">
        <v>-190.8</v>
      </c>
      <c r="DC86" s="8">
        <v>-191.8</v>
      </c>
      <c r="DD86" s="8">
        <v>-241.5</v>
      </c>
      <c r="DE86" s="8">
        <v>-304.8</v>
      </c>
      <c r="DF86" s="8">
        <v>-377.5</v>
      </c>
      <c r="DG86" s="8">
        <v>-175.1</v>
      </c>
      <c r="DH86" s="8">
        <v>-497</v>
      </c>
      <c r="DI86" s="8">
        <v>-288.8</v>
      </c>
      <c r="DJ86" s="8">
        <v>-165.6</v>
      </c>
      <c r="DK86" s="8">
        <v>-194.4</v>
      </c>
      <c r="DL86" s="8">
        <v>-147.6</v>
      </c>
      <c r="DM86" s="8">
        <v>-179.3</v>
      </c>
      <c r="DN86" s="8">
        <v>-75.7</v>
      </c>
      <c r="DO86" s="8">
        <v>-166.1</v>
      </c>
      <c r="DP86" s="8">
        <v>-55.7</v>
      </c>
      <c r="DQ86" s="8">
        <v>202.3</v>
      </c>
      <c r="DR86" s="8">
        <v>10.5</v>
      </c>
      <c r="DS86" s="8">
        <v>26</v>
      </c>
      <c r="DT86" s="8">
        <v>-108.3</v>
      </c>
      <c r="DU86" s="8">
        <v>-125.5</v>
      </c>
      <c r="DV86" s="8">
        <v>-20.1</v>
      </c>
      <c r="DW86" s="8">
        <v>-41.7</v>
      </c>
      <c r="DX86" s="8">
        <v>-53.3</v>
      </c>
      <c r="DY86" s="8">
        <v>-26.1</v>
      </c>
      <c r="DZ86" s="8">
        <v>-89.90000000000001</v>
      </c>
      <c r="EA86" s="8">
        <v>92.40000000000001</v>
      </c>
      <c r="EB86" s="8">
        <v>75</v>
      </c>
      <c r="EC86" s="8">
        <v>99.40000000000001</v>
      </c>
      <c r="ED86" s="8">
        <v>34.1</v>
      </c>
      <c r="EE86" s="8">
        <v>113.5</v>
      </c>
      <c r="EF86" s="8">
        <v>-146.6</v>
      </c>
      <c r="EG86" s="8">
        <v>-122.5</v>
      </c>
      <c r="EH86" s="8">
        <v>-20.5</v>
      </c>
      <c r="EI86" s="8">
        <v>-293.7</v>
      </c>
      <c r="EJ86" s="8">
        <v>-350.8</v>
      </c>
      <c r="EK86" s="8">
        <v>-300</v>
      </c>
      <c r="EL86" s="8">
        <v>-280.2</v>
      </c>
      <c r="EM86" s="8">
        <v>-122.5</v>
      </c>
      <c r="EN86" s="8">
        <v>39.6</v>
      </c>
      <c r="EO86" s="8">
        <v>-88.7</v>
      </c>
      <c r="EP86" s="8">
        <v>-88.59999999999999</v>
      </c>
      <c r="EQ86" s="8">
        <v>-98.2</v>
      </c>
    </row>
    <row r="87" spans="1:152">
      <c r="A87" s="7">
        <v>35.3</v>
      </c>
      <c r="T87" s="8">
        <v>-56.1</v>
      </c>
      <c r="U87" s="8">
        <v>-44.1</v>
      </c>
      <c r="V87" s="8">
        <v>-48.6</v>
      </c>
      <c r="W87" s="8">
        <v>-16.5</v>
      </c>
      <c r="X87" s="8">
        <v>-4.1</v>
      </c>
      <c r="Y87" s="8">
        <v>-27.8</v>
      </c>
      <c r="Z87" s="8">
        <v>-45.6</v>
      </c>
      <c r="AA87" s="8">
        <v>80.09999999999999</v>
      </c>
      <c r="AB87" s="8">
        <v>235.8</v>
      </c>
      <c r="AC87" s="8">
        <v>224.8</v>
      </c>
      <c r="AD87" s="8">
        <v>-54.7</v>
      </c>
      <c r="AE87" s="8">
        <v>-129.5</v>
      </c>
      <c r="AF87" s="8">
        <v>-104.8</v>
      </c>
      <c r="AG87" s="8">
        <v>-37.5</v>
      </c>
      <c r="AH87" s="8">
        <v>-19.3</v>
      </c>
      <c r="AI87" s="8">
        <v>-6.7</v>
      </c>
      <c r="AJ87" s="8">
        <v>39.4</v>
      </c>
      <c r="AK87" s="8">
        <v>16</v>
      </c>
      <c r="AL87" s="8">
        <v>-65.90000000000001</v>
      </c>
      <c r="AM87" s="8">
        <v>-89</v>
      </c>
      <c r="AN87" s="8">
        <v>-103.2</v>
      </c>
      <c r="AO87" s="8">
        <v>-215.4</v>
      </c>
      <c r="AP87" s="8">
        <v>-180.7</v>
      </c>
      <c r="AQ87" s="8">
        <v>-135</v>
      </c>
      <c r="AR87" s="8">
        <v>-292.9</v>
      </c>
      <c r="AS87" s="8">
        <v>-377.2</v>
      </c>
      <c r="AT87" s="8">
        <v>-204.1</v>
      </c>
      <c r="AU87" s="8">
        <v>89.59999999999999</v>
      </c>
      <c r="AV87" s="8">
        <v>-97.90000000000001</v>
      </c>
      <c r="AW87" s="8">
        <v>55.3</v>
      </c>
      <c r="AX87" s="8">
        <v>-139.8</v>
      </c>
      <c r="AY87" s="8">
        <v>-293.7</v>
      </c>
      <c r="AZ87" s="8">
        <v>2061.5</v>
      </c>
      <c r="BA87" s="8">
        <v>111</v>
      </c>
      <c r="BB87" s="8">
        <v>258.6</v>
      </c>
      <c r="BC87" s="8">
        <v>513.4</v>
      </c>
      <c r="BD87" s="8">
        <v>53.4</v>
      </c>
      <c r="BE87" s="8">
        <v>64</v>
      </c>
      <c r="BF87" s="8">
        <v>49.3</v>
      </c>
      <c r="BG87" s="8">
        <v>40.3</v>
      </c>
      <c r="BH87" s="8">
        <v>-38.6</v>
      </c>
      <c r="BI87" s="8">
        <v>-45</v>
      </c>
      <c r="BJ87" s="8">
        <v>-91.2</v>
      </c>
      <c r="BK87" s="8">
        <v>-89.2</v>
      </c>
      <c r="BL87" s="8">
        <v>-85.59999999999999</v>
      </c>
      <c r="BM87" s="8">
        <v>-79</v>
      </c>
      <c r="BN87" s="8">
        <v>-68</v>
      </c>
      <c r="BO87" s="8">
        <v>-79.40000000000001</v>
      </c>
      <c r="BP87" s="8">
        <v>-86</v>
      </c>
      <c r="BQ87" s="8">
        <v>-83.8</v>
      </c>
      <c r="BR87" s="8">
        <v>-101.4</v>
      </c>
      <c r="BS87" s="8">
        <v>-98</v>
      </c>
      <c r="BT87" s="8">
        <v>-110.7</v>
      </c>
      <c r="BU87" s="8">
        <v>-118.3</v>
      </c>
      <c r="BV87" s="8">
        <v>-120.3</v>
      </c>
      <c r="BW87" s="8">
        <v>-105.9</v>
      </c>
      <c r="BX87" s="8">
        <v>-113.2</v>
      </c>
      <c r="BY87" s="8">
        <v>-91.5</v>
      </c>
      <c r="BZ87" s="8">
        <v>-69.3</v>
      </c>
      <c r="CA87" s="8">
        <v>-93.90000000000001</v>
      </c>
      <c r="CB87" s="8">
        <v>-88.09999999999999</v>
      </c>
      <c r="CC87" s="8">
        <v>-115.6</v>
      </c>
      <c r="CD87" s="8">
        <v>-175.2</v>
      </c>
      <c r="CE87" s="8">
        <v>-144.9</v>
      </c>
      <c r="CF87" s="8">
        <v>-133</v>
      </c>
      <c r="CG87" s="8">
        <v>-144.5</v>
      </c>
      <c r="CH87" s="8">
        <v>-50.2</v>
      </c>
      <c r="CI87" s="8">
        <v>-126.3</v>
      </c>
      <c r="CJ87" s="8">
        <v>-124.9</v>
      </c>
      <c r="CK87" s="8">
        <v>-99.5</v>
      </c>
      <c r="CL87" s="8">
        <v>-105.8</v>
      </c>
      <c r="CM87" s="8">
        <v>-112.2</v>
      </c>
      <c r="CN87" s="8">
        <v>-115.6</v>
      </c>
      <c r="CO87" s="8">
        <v>-6.9</v>
      </c>
      <c r="CP87" s="8">
        <v>265.6</v>
      </c>
      <c r="CQ87" s="8">
        <v>97.09999999999999</v>
      </c>
      <c r="CR87" s="8">
        <v>58</v>
      </c>
      <c r="CS87" s="8">
        <v>53.1</v>
      </c>
      <c r="CT87" s="8">
        <v>49.3</v>
      </c>
      <c r="CU87" s="8">
        <v>27.5</v>
      </c>
      <c r="CV87" s="8">
        <v>36.6</v>
      </c>
      <c r="CW87" s="8">
        <v>19.1</v>
      </c>
      <c r="CX87" s="8">
        <v>176.5</v>
      </c>
      <c r="CY87" s="8">
        <v>-68.3</v>
      </c>
      <c r="CZ87" s="8">
        <v>-95.40000000000001</v>
      </c>
      <c r="DA87" s="8">
        <v>-144.4</v>
      </c>
      <c r="DB87" s="8">
        <v>-170.7</v>
      </c>
      <c r="DC87" s="8">
        <v>-203.9</v>
      </c>
      <c r="DD87" s="8">
        <v>-196.2</v>
      </c>
      <c r="DE87" s="8">
        <v>-208.7</v>
      </c>
      <c r="DF87" s="8">
        <v>-291.2</v>
      </c>
      <c r="DG87" s="8">
        <v>-354.8</v>
      </c>
      <c r="DH87" s="8">
        <v>-227.4</v>
      </c>
      <c r="DI87" s="8">
        <v>-267.9</v>
      </c>
      <c r="DJ87" s="8">
        <v>-227.5</v>
      </c>
      <c r="DK87" s="8">
        <v>-204.1</v>
      </c>
      <c r="DL87" s="8">
        <v>-121</v>
      </c>
      <c r="DM87" s="8">
        <v>-109.8</v>
      </c>
      <c r="DN87" s="8">
        <v>-115.3</v>
      </c>
      <c r="DO87" s="8">
        <v>17.9</v>
      </c>
      <c r="DP87" s="8">
        <v>-130.5</v>
      </c>
      <c r="DQ87" s="8">
        <v>-252.1</v>
      </c>
      <c r="DR87" s="8">
        <v>-186.3</v>
      </c>
      <c r="DS87" s="8">
        <v>-360.1</v>
      </c>
      <c r="DT87" s="8">
        <v>-118.5</v>
      </c>
      <c r="DU87" s="8">
        <v>-33.5</v>
      </c>
      <c r="DV87" s="8">
        <v>43</v>
      </c>
      <c r="DW87" s="8">
        <v>0.7</v>
      </c>
      <c r="DX87" s="8">
        <v>58.9</v>
      </c>
      <c r="DY87" s="8">
        <v>93.59999999999999</v>
      </c>
      <c r="DZ87" s="8">
        <v>398.8</v>
      </c>
      <c r="EA87" s="8">
        <v>457.9</v>
      </c>
      <c r="EB87" s="8">
        <v>131.6</v>
      </c>
      <c r="EC87" s="8">
        <v>30.4</v>
      </c>
      <c r="ED87" s="8">
        <v>127.7</v>
      </c>
      <c r="EE87" s="8">
        <v>-190.5</v>
      </c>
      <c r="EF87" s="8">
        <v>-116.8</v>
      </c>
      <c r="EG87" s="8">
        <v>-143.5</v>
      </c>
      <c r="EH87" s="8">
        <v>-292.3</v>
      </c>
      <c r="EI87" s="8">
        <v>-137.9</v>
      </c>
      <c r="EJ87" s="8">
        <v>-151.7</v>
      </c>
      <c r="EK87" s="8">
        <v>-208.7</v>
      </c>
      <c r="EL87" s="8">
        <v>-168.8</v>
      </c>
      <c r="EM87" s="8">
        <v>-200.1</v>
      </c>
      <c r="EN87" s="8">
        <v>44.5</v>
      </c>
      <c r="EO87" s="8">
        <v>-81.59999999999999</v>
      </c>
      <c r="EP87" s="8">
        <v>-105.2</v>
      </c>
      <c r="EQ87" s="8">
        <v>-99.40000000000001</v>
      </c>
    </row>
    <row r="88" spans="1:152">
      <c r="A88" s="7">
        <v>35.325</v>
      </c>
      <c r="T88" s="8">
        <v>-157</v>
      </c>
      <c r="U88" s="8">
        <v>-108.6</v>
      </c>
      <c r="V88" s="8">
        <v>-93.59999999999999</v>
      </c>
      <c r="W88" s="8">
        <v>13.3</v>
      </c>
      <c r="X88" s="8">
        <v>64.90000000000001</v>
      </c>
      <c r="Y88" s="8">
        <v>-34</v>
      </c>
      <c r="Z88" s="8">
        <v>-33.2</v>
      </c>
      <c r="AA88" s="8">
        <v>-46.4</v>
      </c>
      <c r="AB88" s="8">
        <v>88.2</v>
      </c>
      <c r="AC88" s="8">
        <v>166.7</v>
      </c>
      <c r="AD88" s="8">
        <v>89.59999999999999</v>
      </c>
      <c r="AE88" s="8">
        <v>-119.8</v>
      </c>
      <c r="AF88" s="8">
        <v>-107.9</v>
      </c>
      <c r="AG88" s="8">
        <v>-105</v>
      </c>
      <c r="AH88" s="8">
        <v>-56.1</v>
      </c>
      <c r="AI88" s="8">
        <v>-45.4</v>
      </c>
      <c r="AJ88" s="8">
        <v>-38.9</v>
      </c>
      <c r="AK88" s="8">
        <v>12.5</v>
      </c>
      <c r="AL88" s="8">
        <v>28.8</v>
      </c>
      <c r="AM88" s="8">
        <v>-40.9</v>
      </c>
      <c r="AN88" s="8">
        <v>-97.2</v>
      </c>
      <c r="AO88" s="8">
        <v>-76.09999999999999</v>
      </c>
      <c r="AP88" s="8">
        <v>-88</v>
      </c>
      <c r="AQ88" s="8">
        <v>-103.5</v>
      </c>
      <c r="AR88" s="8">
        <v>-131.1</v>
      </c>
      <c r="AS88" s="8">
        <v>-179.6</v>
      </c>
      <c r="AT88" s="8">
        <v>-227</v>
      </c>
      <c r="AU88" s="8">
        <v>-216.9</v>
      </c>
      <c r="AV88" s="8">
        <v>-249.4</v>
      </c>
      <c r="AW88" s="8">
        <v>668.5</v>
      </c>
      <c r="AX88" s="8">
        <v>284.4</v>
      </c>
      <c r="AY88" s="8">
        <v>136.1</v>
      </c>
      <c r="AZ88" s="8">
        <v>133</v>
      </c>
      <c r="BA88" s="8">
        <v>210.2</v>
      </c>
      <c r="BB88" s="8">
        <v>85.8</v>
      </c>
      <c r="BC88" s="8">
        <v>91.90000000000001</v>
      </c>
      <c r="BD88" s="8">
        <v>119.8</v>
      </c>
      <c r="BE88" s="8">
        <v>135.7</v>
      </c>
      <c r="BF88" s="8">
        <v>94.8</v>
      </c>
      <c r="BG88" s="8">
        <v>38.1</v>
      </c>
      <c r="BH88" s="8">
        <v>5.3</v>
      </c>
      <c r="BI88" s="8">
        <v>1.6</v>
      </c>
      <c r="BJ88" s="8">
        <v>-52.5</v>
      </c>
      <c r="BK88" s="8">
        <v>-13.7</v>
      </c>
      <c r="BL88" s="8">
        <v>-73.3</v>
      </c>
      <c r="BM88" s="8">
        <v>-91.3</v>
      </c>
      <c r="BN88" s="8">
        <v>-97.2</v>
      </c>
      <c r="BO88" s="8">
        <v>-86.2</v>
      </c>
      <c r="BP88" s="8">
        <v>-94</v>
      </c>
      <c r="BQ88" s="8">
        <v>-84.59999999999999</v>
      </c>
      <c r="BR88" s="8">
        <v>-72</v>
      </c>
      <c r="BS88" s="8">
        <v>-62.8</v>
      </c>
      <c r="BT88" s="8">
        <v>-61.1</v>
      </c>
      <c r="BU88" s="8">
        <v>-81.3</v>
      </c>
      <c r="BV88" s="8">
        <v>-74.2</v>
      </c>
      <c r="BW88" s="8">
        <v>-104.3</v>
      </c>
      <c r="BX88" s="8">
        <v>-92.3</v>
      </c>
      <c r="BY88" s="8">
        <v>-32.4</v>
      </c>
      <c r="BZ88" s="8">
        <v>4.9</v>
      </c>
      <c r="CA88" s="8">
        <v>-70.5</v>
      </c>
      <c r="CB88" s="8">
        <v>-104.1</v>
      </c>
      <c r="CC88" s="8">
        <v>-109.8</v>
      </c>
      <c r="CD88" s="8">
        <v>-120.9</v>
      </c>
      <c r="CE88" s="8">
        <v>-140.1</v>
      </c>
      <c r="CF88" s="8">
        <v>-100.3</v>
      </c>
      <c r="CG88" s="8">
        <v>-169.4</v>
      </c>
      <c r="CH88" s="8">
        <v>-115.6</v>
      </c>
      <c r="CI88" s="8">
        <v>-83.8</v>
      </c>
      <c r="CJ88" s="8">
        <v>-107.1</v>
      </c>
      <c r="CK88" s="8">
        <v>-44.6</v>
      </c>
      <c r="CL88" s="8">
        <v>-85.8</v>
      </c>
      <c r="CM88" s="8">
        <v>-81.2</v>
      </c>
      <c r="CN88" s="8">
        <v>-100.9</v>
      </c>
      <c r="CO88" s="8">
        <v>-125.4</v>
      </c>
      <c r="CP88" s="8">
        <v>-50.9</v>
      </c>
      <c r="CQ88" s="8">
        <v>9.699999999999999</v>
      </c>
      <c r="CR88" s="8">
        <v>19.9</v>
      </c>
      <c r="CS88" s="8">
        <v>42.3</v>
      </c>
      <c r="CT88" s="8">
        <v>65.7</v>
      </c>
      <c r="CU88" s="8">
        <v>71.59999999999999</v>
      </c>
      <c r="CV88" s="8">
        <v>41.2</v>
      </c>
      <c r="CW88" s="8">
        <v>3</v>
      </c>
      <c r="CX88" s="8">
        <v>47.4</v>
      </c>
      <c r="CY88" s="8">
        <v>-56.6</v>
      </c>
      <c r="CZ88" s="8">
        <v>-85.59999999999999</v>
      </c>
      <c r="DA88" s="8">
        <v>-113.3</v>
      </c>
      <c r="DB88" s="8">
        <v>-140.5</v>
      </c>
      <c r="DC88" s="8">
        <v>-163.8</v>
      </c>
      <c r="DD88" s="8">
        <v>-142.7</v>
      </c>
      <c r="DE88" s="8">
        <v>-103.6</v>
      </c>
      <c r="DF88" s="8">
        <v>-265.2</v>
      </c>
      <c r="DG88" s="8">
        <v>-291.6</v>
      </c>
      <c r="DH88" s="8">
        <v>-294.7</v>
      </c>
      <c r="DI88" s="8">
        <v>-349.5</v>
      </c>
      <c r="DJ88" s="8">
        <v>-205.6</v>
      </c>
      <c r="DK88" s="8">
        <v>-128.5</v>
      </c>
      <c r="DL88" s="8">
        <v>-83.59999999999999</v>
      </c>
      <c r="DM88" s="8">
        <v>-85.2</v>
      </c>
      <c r="DN88" s="8">
        <v>-106.2</v>
      </c>
      <c r="DO88" s="8">
        <v>-105.7</v>
      </c>
      <c r="DP88" s="8">
        <v>-75.59999999999999</v>
      </c>
      <c r="DQ88" s="8">
        <v>-61</v>
      </c>
      <c r="DR88" s="8">
        <v>-66.3</v>
      </c>
      <c r="DS88" s="8">
        <v>-26.9</v>
      </c>
      <c r="DT88" s="8">
        <v>81.40000000000001</v>
      </c>
      <c r="DU88" s="8">
        <v>0.7</v>
      </c>
      <c r="DV88" s="8">
        <v>-65</v>
      </c>
      <c r="DW88" s="8">
        <v>200.6</v>
      </c>
      <c r="DX88" s="8">
        <v>-161.8</v>
      </c>
      <c r="DY88" s="8">
        <v>-36.3</v>
      </c>
      <c r="DZ88" s="8">
        <v>119.4</v>
      </c>
      <c r="EA88" s="8">
        <v>396.6</v>
      </c>
      <c r="EB88" s="8">
        <v>202.6</v>
      </c>
      <c r="EC88" s="8">
        <v>20.7</v>
      </c>
      <c r="ED88" s="8">
        <v>341.1</v>
      </c>
      <c r="EE88" s="8">
        <v>11</v>
      </c>
      <c r="EF88" s="8">
        <v>-80.09999999999999</v>
      </c>
      <c r="EG88" s="8">
        <v>-161.9</v>
      </c>
      <c r="EH88" s="8">
        <v>24.3</v>
      </c>
      <c r="EI88" s="8">
        <v>-20.5</v>
      </c>
      <c r="EJ88" s="8">
        <v>-19.9</v>
      </c>
      <c r="EK88" s="8">
        <v>123.5</v>
      </c>
      <c r="EL88" s="8">
        <v>-117.2</v>
      </c>
      <c r="EM88" s="8">
        <v>-106.6</v>
      </c>
      <c r="EN88" s="8">
        <v>114.1</v>
      </c>
      <c r="EO88" s="8">
        <v>8.699999999999999</v>
      </c>
      <c r="EP88" s="8">
        <v>-112.1</v>
      </c>
      <c r="EQ88" s="8">
        <v>-102</v>
      </c>
    </row>
    <row r="89" spans="1:152">
      <c r="A89" s="7">
        <v>35.35</v>
      </c>
      <c r="T89" s="8">
        <v>-132.6</v>
      </c>
      <c r="U89" s="8">
        <v>-150.3</v>
      </c>
      <c r="V89" s="8">
        <v>-187.4</v>
      </c>
      <c r="W89" s="8">
        <v>-203.4</v>
      </c>
      <c r="X89" s="8">
        <v>-42</v>
      </c>
      <c r="Y89" s="8">
        <v>-74.59999999999999</v>
      </c>
      <c r="Z89" s="8">
        <v>-70.40000000000001</v>
      </c>
      <c r="AA89" s="8">
        <v>-38.4</v>
      </c>
      <c r="AB89" s="8">
        <v>12</v>
      </c>
      <c r="AC89" s="8">
        <v>40.1</v>
      </c>
      <c r="AD89" s="8">
        <v>-71</v>
      </c>
      <c r="AE89" s="8">
        <v>-133</v>
      </c>
      <c r="AF89" s="8">
        <v>-160.8</v>
      </c>
      <c r="AG89" s="8">
        <v>-136.3</v>
      </c>
      <c r="AH89" s="8">
        <v>-96.09999999999999</v>
      </c>
      <c r="AI89" s="8">
        <v>-74.2</v>
      </c>
      <c r="AJ89" s="8">
        <v>-74.40000000000001</v>
      </c>
      <c r="AK89" s="8">
        <v>-66.09999999999999</v>
      </c>
      <c r="AL89" s="8">
        <v>4.4</v>
      </c>
      <c r="AM89" s="8">
        <v>-165.2</v>
      </c>
      <c r="AN89" s="8">
        <v>-182.2</v>
      </c>
      <c r="AO89" s="8">
        <v>-179.8</v>
      </c>
      <c r="AP89" s="8">
        <v>-169.6</v>
      </c>
      <c r="AQ89" s="8">
        <v>-139.4</v>
      </c>
      <c r="AR89" s="8">
        <v>-98.40000000000001</v>
      </c>
      <c r="AS89" s="8">
        <v>-42.9</v>
      </c>
      <c r="AT89" s="8">
        <v>-169.2</v>
      </c>
      <c r="AU89" s="8">
        <v>-307.7</v>
      </c>
      <c r="AV89" s="8">
        <v>-387.8</v>
      </c>
      <c r="AW89" s="8">
        <v>-302.6</v>
      </c>
      <c r="AX89" s="8">
        <v>-251.9</v>
      </c>
      <c r="AY89" s="8">
        <v>-198.7</v>
      </c>
      <c r="AZ89" s="8">
        <v>-152.5</v>
      </c>
      <c r="BA89" s="8">
        <v>-48.4</v>
      </c>
      <c r="BB89" s="8">
        <v>-4.7</v>
      </c>
      <c r="BC89" s="8">
        <v>142.2</v>
      </c>
      <c r="BD89" s="8">
        <v>307.8</v>
      </c>
      <c r="BE89" s="8">
        <v>423.4</v>
      </c>
      <c r="BF89" s="8">
        <v>144.9</v>
      </c>
      <c r="BG89" s="8">
        <v>62.9</v>
      </c>
      <c r="BH89" s="8">
        <v>17.4</v>
      </c>
      <c r="BI89" s="8">
        <v>-60.9</v>
      </c>
      <c r="BJ89" s="8">
        <v>-65.5</v>
      </c>
      <c r="BK89" s="8">
        <v>-33.6</v>
      </c>
      <c r="BL89" s="8">
        <v>-98.3</v>
      </c>
      <c r="BM89" s="8">
        <v>-121.3</v>
      </c>
      <c r="BN89" s="8">
        <v>-114.3</v>
      </c>
      <c r="BO89" s="8">
        <v>-137.7</v>
      </c>
      <c r="BP89" s="8">
        <v>-114</v>
      </c>
      <c r="BQ89" s="8">
        <v>-98.5</v>
      </c>
      <c r="BR89" s="8">
        <v>-62</v>
      </c>
      <c r="BS89" s="8">
        <v>-47.3</v>
      </c>
      <c r="BT89" s="8">
        <v>-39.6</v>
      </c>
      <c r="BU89" s="8">
        <v>-67.09999999999999</v>
      </c>
      <c r="BV89" s="8">
        <v>-50.1</v>
      </c>
      <c r="BW89" s="8">
        <v>-63.7</v>
      </c>
      <c r="BX89" s="8">
        <v>-107</v>
      </c>
      <c r="BY89" s="8">
        <v>-79.59999999999999</v>
      </c>
      <c r="BZ89" s="8">
        <v>-28.2</v>
      </c>
      <c r="CA89" s="8">
        <v>-94.40000000000001</v>
      </c>
      <c r="CB89" s="8">
        <v>-90.5</v>
      </c>
      <c r="CC89" s="8">
        <v>-142.7</v>
      </c>
      <c r="CD89" s="8">
        <v>-168.3</v>
      </c>
      <c r="CE89" s="8">
        <v>-151.8</v>
      </c>
      <c r="CF89" s="8">
        <v>-132.9</v>
      </c>
      <c r="CG89" s="8">
        <v>-77.7</v>
      </c>
      <c r="CH89" s="8">
        <v>-107.2</v>
      </c>
      <c r="CI89" s="8">
        <v>-49.7</v>
      </c>
      <c r="CJ89" s="8">
        <v>-50.2</v>
      </c>
      <c r="CK89" s="8">
        <v>16.6</v>
      </c>
      <c r="CL89" s="8">
        <v>15.7</v>
      </c>
      <c r="CM89" s="8">
        <v>-43.9</v>
      </c>
      <c r="CN89" s="8">
        <v>-101.2</v>
      </c>
      <c r="CO89" s="8">
        <v>-156.5</v>
      </c>
      <c r="CP89" s="8">
        <v>-113.3</v>
      </c>
      <c r="CQ89" s="8">
        <v>-48.4</v>
      </c>
      <c r="CR89" s="8">
        <v>-14.9</v>
      </c>
      <c r="CS89" s="8">
        <v>5.7</v>
      </c>
      <c r="CT89" s="8">
        <v>36.5</v>
      </c>
      <c r="CU89" s="8">
        <v>83.09999999999999</v>
      </c>
      <c r="CV89" s="8">
        <v>28.9</v>
      </c>
      <c r="CW89" s="8">
        <v>70.5</v>
      </c>
      <c r="CX89" s="8">
        <v>60.1</v>
      </c>
      <c r="CY89" s="8">
        <v>-24.7</v>
      </c>
      <c r="CZ89" s="8">
        <v>-55.8</v>
      </c>
      <c r="DA89" s="8">
        <v>-90.3</v>
      </c>
      <c r="DB89" s="8">
        <v>-115.5</v>
      </c>
      <c r="DC89" s="8">
        <v>-139.6</v>
      </c>
      <c r="DD89" s="8">
        <v>-192.9</v>
      </c>
      <c r="DE89" s="8">
        <v>-219.1</v>
      </c>
      <c r="DF89" s="8">
        <v>-235</v>
      </c>
      <c r="DG89" s="8">
        <v>-254.3</v>
      </c>
      <c r="DH89" s="8">
        <v>-262.9</v>
      </c>
      <c r="DI89" s="8">
        <v>-213.9</v>
      </c>
      <c r="DJ89" s="8">
        <v>-91.2</v>
      </c>
      <c r="DK89" s="8">
        <v>-9.5</v>
      </c>
      <c r="DL89" s="8">
        <v>-54.8</v>
      </c>
      <c r="DM89" s="8">
        <v>-164</v>
      </c>
      <c r="DN89" s="8">
        <v>-82.09999999999999</v>
      </c>
      <c r="DO89" s="8">
        <v>-178</v>
      </c>
      <c r="DP89" s="8">
        <v>-70.7</v>
      </c>
      <c r="DQ89" s="8">
        <v>-29.5</v>
      </c>
      <c r="DR89" s="8">
        <v>-66.7</v>
      </c>
      <c r="DS89" s="8">
        <v>-0.1</v>
      </c>
      <c r="DT89" s="8">
        <v>128.5</v>
      </c>
      <c r="DU89" s="8">
        <v>236.7</v>
      </c>
      <c r="DV89" s="8">
        <v>-275.1</v>
      </c>
      <c r="DW89" s="8">
        <v>-10.6</v>
      </c>
      <c r="DX89" s="8">
        <v>-208.4</v>
      </c>
      <c r="DY89" s="8">
        <v>57.7</v>
      </c>
      <c r="DZ89" s="8">
        <v>-144.6</v>
      </c>
      <c r="EA89" s="8">
        <v>-34.2</v>
      </c>
      <c r="EB89" s="8">
        <v>4.5</v>
      </c>
      <c r="EC89" s="8">
        <v>151.8</v>
      </c>
      <c r="ED89" s="8">
        <v>-77.5</v>
      </c>
      <c r="EE89" s="8">
        <v>131.3</v>
      </c>
      <c r="EF89" s="8">
        <v>80.09999999999999</v>
      </c>
      <c r="EG89" s="8">
        <v>-32</v>
      </c>
      <c r="EH89" s="8">
        <v>-101</v>
      </c>
      <c r="EI89" s="8">
        <v>-194.3</v>
      </c>
      <c r="EJ89" s="8">
        <v>-174.2</v>
      </c>
      <c r="EK89" s="8">
        <v>-245.7</v>
      </c>
      <c r="EL89" s="8">
        <v>9.1</v>
      </c>
      <c r="EM89" s="8">
        <v>141.2</v>
      </c>
      <c r="EN89" s="8">
        <v>58.6</v>
      </c>
      <c r="EO89" s="8">
        <v>175.3</v>
      </c>
      <c r="EP89" s="8">
        <v>-40.6</v>
      </c>
      <c r="EQ89" s="8">
        <v>-127.3</v>
      </c>
      <c r="ER89" s="8">
        <v>-195.5</v>
      </c>
      <c r="ES89" s="8">
        <v>-186.4</v>
      </c>
      <c r="ET89" s="8">
        <v>-125.7</v>
      </c>
      <c r="EU89" s="8">
        <v>-104</v>
      </c>
      <c r="EV89" s="8">
        <v>-90.7</v>
      </c>
    </row>
    <row r="90" spans="1:152">
      <c r="A90" s="7">
        <v>35.375</v>
      </c>
      <c r="V90" s="8">
        <v>-196.9</v>
      </c>
      <c r="W90" s="8">
        <v>-269.5</v>
      </c>
      <c r="X90" s="8">
        <v>-323.5</v>
      </c>
      <c r="Y90" s="8">
        <v>-315.9</v>
      </c>
      <c r="Z90" s="8">
        <v>-316.2</v>
      </c>
      <c r="AA90" s="8">
        <v>-122.5</v>
      </c>
      <c r="AB90" s="8">
        <v>53.9</v>
      </c>
      <c r="AC90" s="8">
        <v>-1.2</v>
      </c>
      <c r="AD90" s="8">
        <v>-203.5</v>
      </c>
      <c r="AE90" s="8">
        <v>-169.3</v>
      </c>
      <c r="AF90" s="8">
        <v>-179.3</v>
      </c>
      <c r="AG90" s="8">
        <v>-148.6</v>
      </c>
      <c r="AH90" s="8">
        <v>-131.2</v>
      </c>
      <c r="AI90" s="8">
        <v>-102.4</v>
      </c>
      <c r="AJ90" s="8">
        <v>-95.40000000000001</v>
      </c>
      <c r="AK90" s="8">
        <v>-95.5</v>
      </c>
      <c r="AL90" s="8">
        <v>-64.5</v>
      </c>
      <c r="AM90" s="8">
        <v>-72.40000000000001</v>
      </c>
      <c r="AN90" s="8">
        <v>-144.4</v>
      </c>
      <c r="AO90" s="8">
        <v>-104.7</v>
      </c>
      <c r="AP90" s="8">
        <v>-109.2</v>
      </c>
      <c r="AQ90" s="8">
        <v>-93.5</v>
      </c>
      <c r="AR90" s="8">
        <v>-64.8</v>
      </c>
      <c r="AS90" s="8">
        <v>-68</v>
      </c>
      <c r="AT90" s="8">
        <v>-57.7</v>
      </c>
      <c r="AU90" s="8">
        <v>-18.7</v>
      </c>
      <c r="AV90" s="8">
        <v>-10.1</v>
      </c>
      <c r="AW90" s="8">
        <v>-36.4</v>
      </c>
      <c r="AX90" s="8">
        <v>37.4</v>
      </c>
      <c r="AY90" s="8">
        <v>55.8</v>
      </c>
      <c r="AZ90" s="8">
        <v>119.3</v>
      </c>
      <c r="BA90" s="8">
        <v>99.7</v>
      </c>
      <c r="BB90" s="8">
        <v>2.1</v>
      </c>
      <c r="BC90" s="8">
        <v>-27.6</v>
      </c>
      <c r="BD90" s="8">
        <v>-107.8</v>
      </c>
      <c r="BE90" s="8">
        <v>-93.09999999999999</v>
      </c>
      <c r="BF90" s="8">
        <v>14</v>
      </c>
      <c r="BG90" s="8">
        <v>41.9</v>
      </c>
      <c r="BH90" s="8">
        <v>40.9</v>
      </c>
      <c r="BI90" s="8">
        <v>28.8</v>
      </c>
      <c r="BJ90" s="8">
        <v>-62.9</v>
      </c>
      <c r="BK90" s="8">
        <v>14.3</v>
      </c>
      <c r="BL90" s="8">
        <v>-49.8</v>
      </c>
      <c r="BM90" s="8">
        <v>-52</v>
      </c>
      <c r="BN90" s="8">
        <v>-56.2</v>
      </c>
      <c r="BO90" s="8">
        <v>-75.59999999999999</v>
      </c>
      <c r="BP90" s="8">
        <v>-71</v>
      </c>
      <c r="BQ90" s="8">
        <v>-66.59999999999999</v>
      </c>
      <c r="BR90" s="8">
        <v>-121.7</v>
      </c>
      <c r="BS90" s="8">
        <v>-76.7</v>
      </c>
      <c r="BT90" s="8">
        <v>-63</v>
      </c>
      <c r="BU90" s="8">
        <v>-73.40000000000001</v>
      </c>
      <c r="BV90" s="8">
        <v>-61.5</v>
      </c>
      <c r="BW90" s="8">
        <v>-53.4</v>
      </c>
      <c r="BX90" s="8">
        <v>-40.6</v>
      </c>
      <c r="BY90" s="8">
        <v>46.7</v>
      </c>
      <c r="BZ90" s="8">
        <v>660.2</v>
      </c>
      <c r="CA90" s="8">
        <v>37.9</v>
      </c>
      <c r="CB90" s="8">
        <v>-52.8</v>
      </c>
      <c r="CC90" s="8">
        <v>-63.6</v>
      </c>
      <c r="CD90" s="8">
        <v>-108.4</v>
      </c>
      <c r="CE90" s="8">
        <v>-142.9</v>
      </c>
      <c r="CF90" s="8">
        <v>-124.8</v>
      </c>
      <c r="CG90" s="8">
        <v>-170.3</v>
      </c>
      <c r="CH90" s="8">
        <v>-71.7</v>
      </c>
      <c r="CI90" s="8">
        <v>-77.3</v>
      </c>
      <c r="CJ90" s="8">
        <v>66.3</v>
      </c>
      <c r="CK90" s="8">
        <v>177.2</v>
      </c>
      <c r="CL90" s="8">
        <v>441.4</v>
      </c>
      <c r="CM90" s="8">
        <v>27</v>
      </c>
      <c r="CN90" s="8">
        <v>-144.3</v>
      </c>
      <c r="CO90" s="8">
        <v>-145.4</v>
      </c>
      <c r="CP90" s="8">
        <v>-80.59999999999999</v>
      </c>
      <c r="CQ90" s="8">
        <v>-58.2</v>
      </c>
      <c r="CR90" s="8">
        <v>-32.3</v>
      </c>
      <c r="CS90" s="8">
        <v>3.5</v>
      </c>
      <c r="CT90" s="8">
        <v>22.9</v>
      </c>
      <c r="CU90" s="8">
        <v>35.8</v>
      </c>
      <c r="CV90" s="8">
        <v>186.6</v>
      </c>
      <c r="CW90" s="8">
        <v>339.6</v>
      </c>
      <c r="CX90" s="8">
        <v>193.1</v>
      </c>
      <c r="CY90" s="8">
        <v>5.2</v>
      </c>
      <c r="CZ90" s="8">
        <v>-50.7</v>
      </c>
      <c r="DA90" s="8">
        <v>-82.40000000000001</v>
      </c>
      <c r="DB90" s="8">
        <v>-111</v>
      </c>
      <c r="DC90" s="8">
        <v>-113.8</v>
      </c>
      <c r="DD90" s="8">
        <v>-148.3</v>
      </c>
      <c r="DE90" s="8">
        <v>-165.8</v>
      </c>
      <c r="DF90" s="8">
        <v>-178.5</v>
      </c>
      <c r="DG90" s="8">
        <v>-202.3</v>
      </c>
      <c r="DH90" s="8">
        <v>-228.1</v>
      </c>
      <c r="DI90" s="8">
        <v>-226.3</v>
      </c>
      <c r="DJ90" s="8">
        <v>-131</v>
      </c>
      <c r="DK90" s="8">
        <v>-157.6</v>
      </c>
      <c r="DL90" s="8">
        <v>92.7</v>
      </c>
      <c r="DM90" s="8">
        <v>-109.9</v>
      </c>
      <c r="DN90" s="8">
        <v>-202</v>
      </c>
      <c r="DO90" s="8">
        <v>-84.8</v>
      </c>
      <c r="DP90" s="8">
        <v>-61.5</v>
      </c>
      <c r="DQ90" s="8">
        <v>-33.8</v>
      </c>
      <c r="DR90" s="8">
        <v>-0.3</v>
      </c>
      <c r="DS90" s="8">
        <v>196.4</v>
      </c>
      <c r="DT90" s="8">
        <v>-58</v>
      </c>
      <c r="DU90" s="8">
        <v>69.3</v>
      </c>
      <c r="DV90" s="8">
        <v>217.9</v>
      </c>
      <c r="DW90" s="8">
        <v>389.3</v>
      </c>
      <c r="DX90" s="8">
        <v>142.2</v>
      </c>
      <c r="DY90" s="8">
        <v>64.8</v>
      </c>
      <c r="DZ90" s="8">
        <v>78.09999999999999</v>
      </c>
      <c r="EA90" s="8">
        <v>381.7</v>
      </c>
      <c r="EB90" s="8">
        <v>200.9</v>
      </c>
      <c r="EC90" s="8">
        <v>-221.8</v>
      </c>
      <c r="ED90" s="8">
        <v>-183</v>
      </c>
      <c r="EE90" s="8">
        <v>68.7</v>
      </c>
      <c r="EF90" s="8">
        <v>-54.1</v>
      </c>
      <c r="EG90" s="8">
        <v>-22</v>
      </c>
      <c r="EH90" s="8">
        <v>-158.5</v>
      </c>
      <c r="EI90" s="8">
        <v>-134.3</v>
      </c>
      <c r="EJ90" s="8">
        <v>-155.4</v>
      </c>
      <c r="EK90" s="8">
        <v>-178.4</v>
      </c>
      <c r="EL90" s="8">
        <v>-143.3</v>
      </c>
      <c r="EM90" s="8">
        <v>-97.8</v>
      </c>
      <c r="EN90" s="8">
        <v>63.9</v>
      </c>
      <c r="EO90" s="8">
        <v>56.4</v>
      </c>
      <c r="EP90" s="8">
        <v>-22.9</v>
      </c>
      <c r="EQ90" s="8">
        <v>-27.7</v>
      </c>
      <c r="ER90" s="8">
        <v>-143.1</v>
      </c>
      <c r="ES90" s="8">
        <v>-100.2</v>
      </c>
      <c r="ET90" s="8">
        <v>-128</v>
      </c>
      <c r="EU90" s="8">
        <v>-161.5</v>
      </c>
      <c r="EV90" s="8">
        <v>-155.5</v>
      </c>
    </row>
    <row r="91" spans="1:152">
      <c r="A91" s="7">
        <v>35.4</v>
      </c>
      <c r="V91" s="8">
        <v>-163.4</v>
      </c>
      <c r="W91" s="8">
        <v>-203.3</v>
      </c>
      <c r="X91" s="8">
        <v>-233.5</v>
      </c>
      <c r="Y91" s="8">
        <v>-254.8</v>
      </c>
      <c r="Z91" s="8">
        <v>-263.9</v>
      </c>
      <c r="AA91" s="8">
        <v>-202.3</v>
      </c>
      <c r="AB91" s="8">
        <v>-126</v>
      </c>
      <c r="AC91" s="8">
        <v>193.3</v>
      </c>
      <c r="AD91" s="8">
        <v>-40.2</v>
      </c>
      <c r="AE91" s="8">
        <v>-167.9</v>
      </c>
      <c r="AF91" s="8">
        <v>-217.8</v>
      </c>
      <c r="AG91" s="8">
        <v>-152.5</v>
      </c>
      <c r="AH91" s="8">
        <v>-104</v>
      </c>
      <c r="AI91" s="8">
        <v>-97.8</v>
      </c>
      <c r="AJ91" s="8">
        <v>-108</v>
      </c>
      <c r="AK91" s="8">
        <v>-95.8</v>
      </c>
      <c r="AL91" s="8">
        <v>-47</v>
      </c>
      <c r="AM91" s="8">
        <v>-53.2</v>
      </c>
      <c r="AN91" s="8">
        <v>-140.6</v>
      </c>
      <c r="AO91" s="8">
        <v>-58.8</v>
      </c>
      <c r="AP91" s="8">
        <v>-39.4</v>
      </c>
      <c r="AQ91" s="8">
        <v>-5.6</v>
      </c>
      <c r="AR91" s="8">
        <v>45.3</v>
      </c>
      <c r="AS91" s="8">
        <v>117.8</v>
      </c>
      <c r="AT91" s="8">
        <v>61.6</v>
      </c>
      <c r="AU91" s="8">
        <v>98.7</v>
      </c>
      <c r="AV91" s="8">
        <v>193.8</v>
      </c>
      <c r="AW91" s="8">
        <v>435</v>
      </c>
      <c r="AX91" s="8">
        <v>501.1</v>
      </c>
      <c r="AY91" s="8">
        <v>422.2</v>
      </c>
      <c r="AZ91" s="8">
        <v>266.3</v>
      </c>
      <c r="BA91" s="8">
        <v>280.5</v>
      </c>
      <c r="BB91" s="8">
        <v>82.8</v>
      </c>
      <c r="BC91" s="8">
        <v>-17.6</v>
      </c>
      <c r="BD91" s="8">
        <v>-57.9</v>
      </c>
      <c r="BE91" s="8">
        <v>-46.8</v>
      </c>
      <c r="BF91" s="8">
        <v>5.5</v>
      </c>
      <c r="BG91" s="8">
        <v>18</v>
      </c>
      <c r="BH91" s="8">
        <v>14.2</v>
      </c>
      <c r="BI91" s="8">
        <v>8.4</v>
      </c>
      <c r="BJ91" s="8">
        <v>26</v>
      </c>
      <c r="BK91" s="8">
        <v>-1</v>
      </c>
      <c r="BL91" s="8">
        <v>-44.8</v>
      </c>
      <c r="BM91" s="8">
        <v>-40.1</v>
      </c>
      <c r="BN91" s="8">
        <v>-29.6</v>
      </c>
      <c r="BO91" s="8">
        <v>-39</v>
      </c>
      <c r="BP91" s="8">
        <v>-48.5</v>
      </c>
      <c r="BQ91" s="8">
        <v>-80.09999999999999</v>
      </c>
      <c r="BR91" s="8">
        <v>-104.1</v>
      </c>
      <c r="BS91" s="8">
        <v>-103.9</v>
      </c>
      <c r="BT91" s="8">
        <v>-36</v>
      </c>
      <c r="BU91" s="8">
        <v>-44.2</v>
      </c>
      <c r="BV91" s="8">
        <v>-89.2</v>
      </c>
      <c r="BW91" s="8">
        <v>-100.5</v>
      </c>
      <c r="BX91" s="8">
        <v>-173.2</v>
      </c>
      <c r="BY91" s="8">
        <v>42.2</v>
      </c>
      <c r="BZ91" s="8">
        <v>300.4</v>
      </c>
      <c r="CA91" s="8">
        <v>166.6</v>
      </c>
      <c r="CB91" s="8">
        <v>65.59999999999999</v>
      </c>
      <c r="CC91" s="8">
        <v>-116.3</v>
      </c>
      <c r="CD91" s="8">
        <v>-139.1</v>
      </c>
      <c r="CE91" s="8">
        <v>-176.5</v>
      </c>
      <c r="CF91" s="8">
        <v>-173.8</v>
      </c>
      <c r="CG91" s="8">
        <v>-208.6</v>
      </c>
      <c r="CH91" s="8">
        <v>-180.6</v>
      </c>
      <c r="CI91" s="8">
        <v>-113.3</v>
      </c>
      <c r="CJ91" s="8">
        <v>83.40000000000001</v>
      </c>
      <c r="CK91" s="8">
        <v>251.4</v>
      </c>
      <c r="CL91" s="8">
        <v>486.9</v>
      </c>
      <c r="CM91" s="8">
        <v>67.90000000000001</v>
      </c>
      <c r="CN91" s="8">
        <v>-45.1</v>
      </c>
      <c r="CO91" s="8">
        <v>-46.1</v>
      </c>
      <c r="CP91" s="8">
        <v>-26.4</v>
      </c>
      <c r="CQ91" s="8">
        <v>-50.4</v>
      </c>
      <c r="CR91" s="8">
        <v>-50.7</v>
      </c>
      <c r="CS91" s="8">
        <v>-8.4</v>
      </c>
      <c r="CT91" s="8">
        <v>35.9</v>
      </c>
      <c r="CU91" s="8">
        <v>44.6</v>
      </c>
      <c r="CV91" s="8">
        <v>-17.5</v>
      </c>
      <c r="CW91" s="8">
        <v>-123.6</v>
      </c>
      <c r="CX91" s="8">
        <v>-88.5</v>
      </c>
      <c r="CY91" s="8">
        <v>-18.4</v>
      </c>
      <c r="CZ91" s="8">
        <v>-43.2</v>
      </c>
      <c r="DA91" s="8">
        <v>-74.59999999999999</v>
      </c>
      <c r="DB91" s="8">
        <v>-97.2</v>
      </c>
      <c r="DC91" s="8">
        <v>-106.4</v>
      </c>
      <c r="DD91" s="8">
        <v>-133.7</v>
      </c>
      <c r="DE91" s="8">
        <v>-146.7</v>
      </c>
      <c r="DF91" s="8">
        <v>-159.9</v>
      </c>
      <c r="DG91" s="8">
        <v>-183.2</v>
      </c>
      <c r="DH91" s="8">
        <v>-184.8</v>
      </c>
      <c r="DI91" s="8">
        <v>-192.8</v>
      </c>
      <c r="DJ91" s="8">
        <v>-186.7</v>
      </c>
      <c r="DK91" s="8">
        <v>-215.2</v>
      </c>
      <c r="DL91" s="8">
        <v>-259.6</v>
      </c>
      <c r="DM91" s="8">
        <v>-274.6</v>
      </c>
      <c r="DN91" s="8">
        <v>-240.4</v>
      </c>
      <c r="DO91" s="8">
        <v>-163.6</v>
      </c>
      <c r="DP91" s="8">
        <v>-35.9</v>
      </c>
      <c r="DQ91" s="8">
        <v>137.5</v>
      </c>
      <c r="DR91" s="8">
        <v>4.7</v>
      </c>
      <c r="DS91" s="8">
        <v>-55.9</v>
      </c>
      <c r="DT91" s="8">
        <v>1.7</v>
      </c>
      <c r="DU91" s="8">
        <v>-106.2</v>
      </c>
      <c r="DV91" s="8">
        <v>-132.9</v>
      </c>
      <c r="DW91" s="8">
        <v>-120.1</v>
      </c>
      <c r="DX91" s="8">
        <v>-81.59999999999999</v>
      </c>
      <c r="DY91" s="8">
        <v>-120.2</v>
      </c>
      <c r="DZ91" s="8">
        <v>25.2</v>
      </c>
      <c r="EA91" s="8">
        <v>-100.6</v>
      </c>
      <c r="EB91" s="8">
        <v>22.1</v>
      </c>
      <c r="EC91" s="8">
        <v>-178.8</v>
      </c>
      <c r="ED91" s="8">
        <v>-175.7</v>
      </c>
      <c r="EE91" s="8">
        <v>-42.9</v>
      </c>
      <c r="EF91" s="8">
        <v>-55.4</v>
      </c>
      <c r="EG91" s="8">
        <v>263.1</v>
      </c>
      <c r="EH91" s="8">
        <v>-67.2</v>
      </c>
      <c r="EI91" s="8">
        <v>-75.40000000000001</v>
      </c>
      <c r="EJ91" s="8">
        <v>-111.2</v>
      </c>
      <c r="EK91" s="8">
        <v>-124.2</v>
      </c>
      <c r="EL91" s="8">
        <v>-274.5</v>
      </c>
      <c r="EM91" s="8">
        <v>-255.3</v>
      </c>
      <c r="EN91" s="8">
        <v>-179.9</v>
      </c>
      <c r="EO91" s="8">
        <v>-97.8</v>
      </c>
      <c r="EP91" s="8">
        <v>205</v>
      </c>
      <c r="EQ91" s="8">
        <v>-165.6</v>
      </c>
      <c r="ER91" s="8">
        <v>-61.9</v>
      </c>
      <c r="ES91" s="8">
        <v>-32.1</v>
      </c>
      <c r="ET91" s="8">
        <v>-144.3</v>
      </c>
      <c r="EU91" s="8">
        <v>-162.4</v>
      </c>
      <c r="EV91" s="8">
        <v>-180.6</v>
      </c>
    </row>
    <row r="92" spans="1:152">
      <c r="A92" s="7">
        <v>35.425</v>
      </c>
      <c r="V92" s="8">
        <v>-156.4</v>
      </c>
      <c r="W92" s="8">
        <v>-173.8</v>
      </c>
      <c r="X92" s="8">
        <v>-184.9</v>
      </c>
      <c r="Y92" s="8">
        <v>-203</v>
      </c>
      <c r="Z92" s="8">
        <v>-229.2</v>
      </c>
      <c r="AA92" s="8">
        <v>-267.5</v>
      </c>
      <c r="AB92" s="8">
        <v>-106.5</v>
      </c>
      <c r="AC92" s="8">
        <v>-181.1</v>
      </c>
      <c r="AD92" s="8">
        <v>-114.2</v>
      </c>
      <c r="AE92" s="8">
        <v>-117.5</v>
      </c>
      <c r="AF92" s="8">
        <v>-124.5</v>
      </c>
      <c r="AG92" s="8">
        <v>-101.9</v>
      </c>
      <c r="AH92" s="8">
        <v>-80.8</v>
      </c>
      <c r="AI92" s="8">
        <v>-12.4</v>
      </c>
      <c r="AJ92" s="8">
        <v>25</v>
      </c>
      <c r="AK92" s="8">
        <v>76.90000000000001</v>
      </c>
      <c r="AL92" s="8">
        <v>132.8</v>
      </c>
      <c r="AM92" s="8">
        <v>-29.4</v>
      </c>
      <c r="AN92" s="8">
        <v>-99.90000000000001</v>
      </c>
      <c r="AO92" s="8">
        <v>36.2</v>
      </c>
      <c r="AP92" s="8">
        <v>76.59999999999999</v>
      </c>
      <c r="AQ92" s="8">
        <v>100.4</v>
      </c>
      <c r="AR92" s="8">
        <v>108.5</v>
      </c>
      <c r="AS92" s="8">
        <v>151.9</v>
      </c>
      <c r="AT92" s="8">
        <v>79.2</v>
      </c>
      <c r="AU92" s="8">
        <v>72.3</v>
      </c>
      <c r="AV92" s="8">
        <v>246.2</v>
      </c>
      <c r="AW92" s="8">
        <v>-34.7</v>
      </c>
      <c r="AX92" s="8">
        <v>72.40000000000001</v>
      </c>
      <c r="AY92" s="8">
        <v>152.2</v>
      </c>
      <c r="AZ92" s="8">
        <v>693.3</v>
      </c>
      <c r="BA92" s="8">
        <v>598.8</v>
      </c>
      <c r="BB92" s="8">
        <v>135.4</v>
      </c>
      <c r="BC92" s="8">
        <v>-48.5</v>
      </c>
      <c r="BD92" s="8">
        <v>-38.3</v>
      </c>
      <c r="BE92" s="8">
        <v>1.7</v>
      </c>
      <c r="BF92" s="8">
        <v>-3.2</v>
      </c>
      <c r="BG92" s="8">
        <v>22</v>
      </c>
      <c r="BH92" s="8">
        <v>78.7</v>
      </c>
      <c r="BI92" s="8">
        <v>142</v>
      </c>
      <c r="BJ92" s="8">
        <v>138.2</v>
      </c>
      <c r="BK92" s="8">
        <v>19</v>
      </c>
      <c r="BL92" s="8">
        <v>-29.1</v>
      </c>
      <c r="BM92" s="8">
        <v>-32.3</v>
      </c>
      <c r="BN92" s="8">
        <v>81.3</v>
      </c>
      <c r="BO92" s="8">
        <v>-5.5</v>
      </c>
      <c r="BP92" s="8">
        <v>-64.09999999999999</v>
      </c>
      <c r="BQ92" s="8">
        <v>-74.59999999999999</v>
      </c>
      <c r="BR92" s="8">
        <v>-92.8</v>
      </c>
      <c r="BS92" s="8">
        <v>-105.1</v>
      </c>
      <c r="BT92" s="8">
        <v>-130.1</v>
      </c>
      <c r="BU92" s="8">
        <v>-20.7</v>
      </c>
      <c r="BV92" s="8">
        <v>-27.1</v>
      </c>
      <c r="BW92" s="8">
        <v>-46.5</v>
      </c>
      <c r="BX92" s="8">
        <v>-81.59999999999999</v>
      </c>
      <c r="BY92" s="8">
        <v>-183.4</v>
      </c>
      <c r="BZ92" s="8">
        <v>-148.9</v>
      </c>
      <c r="CA92" s="8">
        <v>-60.1</v>
      </c>
      <c r="CB92" s="8">
        <v>94.7</v>
      </c>
      <c r="CC92" s="8">
        <v>-28.1</v>
      </c>
      <c r="CD92" s="8">
        <v>-168.3</v>
      </c>
      <c r="CE92" s="8">
        <v>-190.4</v>
      </c>
      <c r="CF92" s="8">
        <v>-177.4</v>
      </c>
      <c r="CG92" s="8">
        <v>-191.1</v>
      </c>
      <c r="CH92" s="8">
        <v>-223.7</v>
      </c>
      <c r="CI92" s="8">
        <v>-177.8</v>
      </c>
      <c r="CJ92" s="8">
        <v>81</v>
      </c>
      <c r="CK92" s="8">
        <v>713.3</v>
      </c>
      <c r="CL92" s="8">
        <v>364.3</v>
      </c>
      <c r="CM92" s="8">
        <v>170.4</v>
      </c>
      <c r="CN92" s="8">
        <v>49.7</v>
      </c>
      <c r="CO92" s="8">
        <v>1.6</v>
      </c>
      <c r="CP92" s="8">
        <v>35.6</v>
      </c>
      <c r="CQ92" s="8">
        <v>11.5</v>
      </c>
      <c r="CR92" s="8">
        <v>-36.1</v>
      </c>
      <c r="CS92" s="8">
        <v>-11.9</v>
      </c>
      <c r="CT92" s="8">
        <v>34</v>
      </c>
      <c r="CU92" s="8">
        <v>72.09999999999999</v>
      </c>
      <c r="CV92" s="8">
        <v>106.1</v>
      </c>
      <c r="CW92" s="8">
        <v>117.2</v>
      </c>
      <c r="CX92" s="8">
        <v>188.9</v>
      </c>
      <c r="CY92" s="8">
        <v>18.2</v>
      </c>
      <c r="CZ92" s="8">
        <v>-31</v>
      </c>
      <c r="DA92" s="8">
        <v>-87.40000000000001</v>
      </c>
      <c r="DB92" s="8">
        <v>-108.7</v>
      </c>
      <c r="DC92" s="8">
        <v>-117.6</v>
      </c>
      <c r="DD92" s="8">
        <v>-137.9</v>
      </c>
      <c r="DE92" s="8">
        <v>-138.6</v>
      </c>
      <c r="DF92" s="8">
        <v>-150.7</v>
      </c>
      <c r="DG92" s="8">
        <v>-163.6</v>
      </c>
      <c r="DH92" s="8">
        <v>-180.2</v>
      </c>
      <c r="DI92" s="8">
        <v>-149.8</v>
      </c>
      <c r="DJ92" s="8">
        <v>-99</v>
      </c>
      <c r="DK92" s="8">
        <v>-54.5</v>
      </c>
      <c r="DL92" s="8">
        <v>-191.6</v>
      </c>
      <c r="DM92" s="8">
        <v>-194</v>
      </c>
      <c r="DN92" s="8">
        <v>-180.9</v>
      </c>
      <c r="DO92" s="8">
        <v>-63.5</v>
      </c>
      <c r="DP92" s="8">
        <v>159.1</v>
      </c>
      <c r="DQ92" s="8">
        <v>230</v>
      </c>
      <c r="DR92" s="8">
        <v>98.90000000000001</v>
      </c>
      <c r="DS92" s="8">
        <v>63.5</v>
      </c>
      <c r="DT92" s="8">
        <v>167.2</v>
      </c>
      <c r="DU92" s="8">
        <v>219</v>
      </c>
      <c r="DV92" s="8">
        <v>95.8</v>
      </c>
      <c r="DW92" s="8">
        <v>438.1</v>
      </c>
      <c r="DX92" s="8">
        <v>70.8</v>
      </c>
      <c r="DY92" s="8">
        <v>-16.6</v>
      </c>
      <c r="DZ92" s="8">
        <v>-165.3</v>
      </c>
      <c r="EA92" s="8">
        <v>-123.2</v>
      </c>
      <c r="EB92" s="8">
        <v>-129.2</v>
      </c>
      <c r="EC92" s="8">
        <v>-110.8</v>
      </c>
      <c r="ED92" s="8">
        <v>-144.1</v>
      </c>
      <c r="EE92" s="8">
        <v>54.9</v>
      </c>
      <c r="EF92" s="8">
        <v>0.9</v>
      </c>
      <c r="EG92" s="8">
        <v>-294</v>
      </c>
      <c r="EH92" s="8">
        <v>-138.8</v>
      </c>
      <c r="EI92" s="8">
        <v>-147.9</v>
      </c>
      <c r="EJ92" s="8">
        <v>-218.1</v>
      </c>
      <c r="EK92" s="8">
        <v>-316.5</v>
      </c>
      <c r="EL92" s="8">
        <v>-370.6</v>
      </c>
      <c r="EM92" s="8">
        <v>-245.1</v>
      </c>
      <c r="EN92" s="8">
        <v>-329</v>
      </c>
      <c r="EO92" s="8">
        <v>-186.9</v>
      </c>
      <c r="EP92" s="8">
        <v>-225.2</v>
      </c>
      <c r="EQ92" s="8">
        <v>-138.8</v>
      </c>
      <c r="ER92" s="8">
        <v>-54.7</v>
      </c>
      <c r="ES92" s="8">
        <v>-65.40000000000001</v>
      </c>
      <c r="ET92" s="8">
        <v>-168.2</v>
      </c>
      <c r="EU92" s="8">
        <v>-156.6</v>
      </c>
      <c r="EV92" s="8">
        <v>-166.8</v>
      </c>
    </row>
    <row r="93" spans="1:152">
      <c r="A93" s="7">
        <v>35.45</v>
      </c>
      <c r="V93" s="8">
        <v>-76</v>
      </c>
      <c r="W93" s="8">
        <v>-140.5</v>
      </c>
      <c r="X93" s="8">
        <v>-148.3</v>
      </c>
      <c r="Y93" s="8">
        <v>-172</v>
      </c>
      <c r="Z93" s="8">
        <v>-192</v>
      </c>
      <c r="AA93" s="8">
        <v>-230.2</v>
      </c>
      <c r="AB93" s="8">
        <v>-217.1</v>
      </c>
      <c r="AC93" s="8">
        <v>-74.09999999999999</v>
      </c>
      <c r="AD93" s="8">
        <v>-58.6</v>
      </c>
      <c r="AE93" s="8">
        <v>-105.2</v>
      </c>
      <c r="AF93" s="8">
        <v>-110.3</v>
      </c>
      <c r="AG93" s="8">
        <v>-51.4</v>
      </c>
      <c r="AH93" s="8">
        <v>34.3</v>
      </c>
      <c r="AI93" s="8">
        <v>156.1</v>
      </c>
      <c r="AJ93" s="8">
        <v>227.6</v>
      </c>
      <c r="AK93" s="8">
        <v>306.5</v>
      </c>
      <c r="AL93" s="8">
        <v>250.2</v>
      </c>
      <c r="AM93" s="8">
        <v>59.7</v>
      </c>
      <c r="AN93" s="8">
        <v>-93.40000000000001</v>
      </c>
      <c r="AO93" s="8">
        <v>-57.9</v>
      </c>
      <c r="AP93" s="8">
        <v>292.7</v>
      </c>
      <c r="AQ93" s="8">
        <v>331.6</v>
      </c>
      <c r="AR93" s="8">
        <v>74.2</v>
      </c>
      <c r="AS93" s="8">
        <v>1001.5</v>
      </c>
      <c r="AT93" s="8">
        <v>87.8</v>
      </c>
      <c r="AU93" s="8">
        <v>-20.7</v>
      </c>
      <c r="AV93" s="8">
        <v>88.59999999999999</v>
      </c>
      <c r="AW93" s="8">
        <v>-79.3</v>
      </c>
      <c r="AX93" s="8">
        <v>-181.8</v>
      </c>
      <c r="AY93" s="8">
        <v>-152.2</v>
      </c>
      <c r="AZ93" s="8">
        <v>59</v>
      </c>
      <c r="BA93" s="8">
        <v>-141.2</v>
      </c>
      <c r="BB93" s="8">
        <v>-85.40000000000001</v>
      </c>
      <c r="BC93" s="8">
        <v>104.8</v>
      </c>
      <c r="BD93" s="8">
        <v>226.2</v>
      </c>
      <c r="BE93" s="8">
        <v>152.4</v>
      </c>
      <c r="BF93" s="8">
        <v>85.3</v>
      </c>
      <c r="BG93" s="8">
        <v>46</v>
      </c>
      <c r="BH93" s="8">
        <v>-119.7</v>
      </c>
      <c r="BI93" s="8">
        <v>362</v>
      </c>
      <c r="BJ93" s="8">
        <v>210.7</v>
      </c>
      <c r="BK93" s="8">
        <v>-18.2</v>
      </c>
      <c r="BL93" s="8">
        <v>-14.6</v>
      </c>
      <c r="BM93" s="8">
        <v>-25.3</v>
      </c>
      <c r="BN93" s="8">
        <v>-44.3</v>
      </c>
      <c r="BO93" s="8">
        <v>-49.3</v>
      </c>
      <c r="BP93" s="8">
        <v>-39.5</v>
      </c>
      <c r="BQ93" s="8">
        <v>-113.6</v>
      </c>
      <c r="BR93" s="8">
        <v>-110.8</v>
      </c>
      <c r="BS93" s="8">
        <v>-108</v>
      </c>
      <c r="BT93" s="8">
        <v>-42</v>
      </c>
      <c r="BU93" s="8">
        <v>-36.2</v>
      </c>
      <c r="BV93" s="8">
        <v>-44.8</v>
      </c>
      <c r="BW93" s="8">
        <v>-40.7</v>
      </c>
      <c r="BX93" s="8">
        <v>-62.2</v>
      </c>
      <c r="BY93" s="8">
        <v>-58.3</v>
      </c>
      <c r="BZ93" s="8">
        <v>-80.5</v>
      </c>
      <c r="CA93" s="8">
        <v>-150.7</v>
      </c>
      <c r="CB93" s="8">
        <v>-211.5</v>
      </c>
      <c r="CC93" s="8">
        <v>-114.1</v>
      </c>
      <c r="CD93" s="8">
        <v>-72</v>
      </c>
      <c r="CE93" s="8">
        <v>-109.9</v>
      </c>
      <c r="CF93" s="8">
        <v>-158.1</v>
      </c>
      <c r="CG93" s="8">
        <v>-212.1</v>
      </c>
      <c r="CH93" s="8">
        <v>-231.4</v>
      </c>
      <c r="CI93" s="8">
        <v>-280.8</v>
      </c>
      <c r="CJ93" s="8">
        <v>169.9</v>
      </c>
      <c r="CK93" s="8">
        <v>17.5</v>
      </c>
      <c r="CL93" s="8">
        <v>241.5</v>
      </c>
      <c r="CM93" s="8">
        <v>655.4</v>
      </c>
      <c r="CN93" s="8">
        <v>331.5</v>
      </c>
      <c r="CO93" s="8">
        <v>78</v>
      </c>
      <c r="CP93" s="8">
        <v>87</v>
      </c>
      <c r="CQ93" s="8">
        <v>158.1</v>
      </c>
      <c r="CR93" s="8">
        <v>53.5</v>
      </c>
      <c r="CS93" s="8">
        <v>-16.5</v>
      </c>
      <c r="CT93" s="8">
        <v>-2.2</v>
      </c>
      <c r="CU93" s="8">
        <v>37</v>
      </c>
      <c r="CV93" s="8">
        <v>92.40000000000001</v>
      </c>
      <c r="CW93" s="8">
        <v>149.2</v>
      </c>
      <c r="CX93" s="8">
        <v>798.9</v>
      </c>
      <c r="CY93" s="8">
        <v>19.1</v>
      </c>
      <c r="CZ93" s="8">
        <v>-66.5</v>
      </c>
      <c r="DA93" s="8">
        <v>-99.5</v>
      </c>
      <c r="DB93" s="8">
        <v>-115.9</v>
      </c>
      <c r="DC93" s="8">
        <v>-130</v>
      </c>
      <c r="DD93" s="8">
        <v>-145.5</v>
      </c>
      <c r="DE93" s="8">
        <v>-159.1</v>
      </c>
      <c r="DF93" s="8">
        <v>-147</v>
      </c>
      <c r="DG93" s="8">
        <v>-145.3</v>
      </c>
      <c r="DH93" s="8">
        <v>-133.2</v>
      </c>
      <c r="DI93" s="8">
        <v>-89.5</v>
      </c>
      <c r="DJ93" s="8">
        <v>16.4</v>
      </c>
      <c r="DK93" s="8">
        <v>-25.7</v>
      </c>
      <c r="DL93" s="8">
        <v>-74.40000000000001</v>
      </c>
      <c r="DM93" s="8">
        <v>-116.7</v>
      </c>
      <c r="DN93" s="8">
        <v>-61</v>
      </c>
      <c r="DO93" s="8">
        <v>48.4</v>
      </c>
      <c r="DP93" s="8">
        <v>80.2</v>
      </c>
      <c r="DQ93" s="8">
        <v>173.3</v>
      </c>
      <c r="DR93" s="8">
        <v>-3</v>
      </c>
      <c r="DS93" s="8">
        <v>29.2</v>
      </c>
      <c r="DT93" s="8">
        <v>334.1</v>
      </c>
      <c r="DU93" s="8">
        <v>371.4</v>
      </c>
      <c r="DV93" s="8">
        <v>885.4</v>
      </c>
      <c r="DW93" s="8">
        <v>797</v>
      </c>
      <c r="DX93" s="8">
        <v>422.2</v>
      </c>
      <c r="DY93" s="8">
        <v>-67.59999999999999</v>
      </c>
      <c r="DZ93" s="8">
        <v>-32.2</v>
      </c>
      <c r="EA93" s="8">
        <v>-87.7</v>
      </c>
      <c r="EB93" s="8">
        <v>35.5</v>
      </c>
      <c r="EC93" s="8">
        <v>-41.1</v>
      </c>
      <c r="ED93" s="8">
        <v>-51.2</v>
      </c>
      <c r="EE93" s="8">
        <v>-215.8</v>
      </c>
      <c r="EF93" s="8">
        <v>-100.1</v>
      </c>
      <c r="EG93" s="8">
        <v>-84.5</v>
      </c>
      <c r="EH93" s="8">
        <v>-163.8</v>
      </c>
      <c r="EI93" s="8">
        <v>-167.9</v>
      </c>
      <c r="EJ93" s="8">
        <v>-287.5</v>
      </c>
      <c r="EK93" s="8">
        <v>-308.4</v>
      </c>
      <c r="EL93" s="8">
        <v>-357.1</v>
      </c>
      <c r="EM93" s="8">
        <v>-328.3</v>
      </c>
      <c r="EN93" s="8">
        <v>342.3</v>
      </c>
      <c r="EO93" s="8">
        <v>76.90000000000001</v>
      </c>
      <c r="EP93" s="8">
        <v>-267.6</v>
      </c>
      <c r="EQ93" s="8">
        <v>-113.5</v>
      </c>
      <c r="ER93" s="8">
        <v>28.4</v>
      </c>
      <c r="ES93" s="8">
        <v>-62.7</v>
      </c>
      <c r="ET93" s="8">
        <v>-119.2</v>
      </c>
      <c r="EU93" s="8">
        <v>-139.4</v>
      </c>
      <c r="EV93" s="8">
        <v>-144</v>
      </c>
    </row>
    <row r="94" spans="1:152">
      <c r="A94" s="7">
        <v>35.475</v>
      </c>
      <c r="V94" s="8">
        <v>-36.7</v>
      </c>
      <c r="W94" s="8">
        <v>-107.5</v>
      </c>
      <c r="X94" s="8">
        <v>-125.7</v>
      </c>
      <c r="Y94" s="8">
        <v>-133.9</v>
      </c>
      <c r="Z94" s="8">
        <v>-142.4</v>
      </c>
      <c r="AA94" s="8">
        <v>-139.7</v>
      </c>
      <c r="AB94" s="8">
        <v>-139.9</v>
      </c>
      <c r="AC94" s="8">
        <v>-135.5</v>
      </c>
      <c r="AD94" s="8">
        <v>-192.8</v>
      </c>
      <c r="AE94" s="8">
        <v>-168.9</v>
      </c>
      <c r="AF94" s="8">
        <v>-81.3</v>
      </c>
      <c r="AG94" s="8">
        <v>-58.4</v>
      </c>
      <c r="AH94" s="8">
        <v>579.3</v>
      </c>
      <c r="AI94" s="8">
        <v>218.7</v>
      </c>
      <c r="AJ94" s="8">
        <v>149.2</v>
      </c>
      <c r="AK94" s="8">
        <v>72.90000000000001</v>
      </c>
      <c r="AL94" s="8">
        <v>-38.6</v>
      </c>
      <c r="AM94" s="8">
        <v>101.1</v>
      </c>
      <c r="AN94" s="8">
        <v>118.3</v>
      </c>
      <c r="AO94" s="8">
        <v>15.6</v>
      </c>
      <c r="AP94" s="8">
        <v>-193.4</v>
      </c>
      <c r="AQ94" s="8">
        <v>-36.1</v>
      </c>
      <c r="AR94" s="8">
        <v>-112.5</v>
      </c>
      <c r="AS94" s="8">
        <v>160</v>
      </c>
      <c r="AT94" s="8">
        <v>201.7</v>
      </c>
      <c r="AU94" s="8">
        <v>106.7</v>
      </c>
      <c r="AV94" s="8">
        <v>379.5</v>
      </c>
      <c r="AW94" s="8">
        <v>90.5</v>
      </c>
      <c r="AX94" s="8">
        <v>-102.1</v>
      </c>
      <c r="AY94" s="8">
        <v>-249.8</v>
      </c>
      <c r="AZ94" s="8">
        <v>-230.1</v>
      </c>
      <c r="BA94" s="8">
        <v>-0.9</v>
      </c>
      <c r="BB94" s="8">
        <v>-332.4</v>
      </c>
      <c r="BC94" s="8">
        <v>-43.3</v>
      </c>
      <c r="BD94" s="8">
        <v>-126.4</v>
      </c>
      <c r="BE94" s="8">
        <v>120.8</v>
      </c>
      <c r="BF94" s="8">
        <v>119.1</v>
      </c>
      <c r="BG94" s="8">
        <v>58.4</v>
      </c>
      <c r="BH94" s="8">
        <v>-13.9</v>
      </c>
      <c r="BI94" s="8">
        <v>-97</v>
      </c>
      <c r="BJ94" s="8">
        <v>-110.1</v>
      </c>
      <c r="BK94" s="8">
        <v>-76</v>
      </c>
      <c r="BL94" s="8">
        <v>48.3</v>
      </c>
      <c r="BM94" s="8">
        <v>39.7</v>
      </c>
      <c r="BN94" s="8">
        <v>-7.6</v>
      </c>
      <c r="BO94" s="8">
        <v>-131.9</v>
      </c>
      <c r="BP94" s="8">
        <v>-50.6</v>
      </c>
      <c r="BQ94" s="8">
        <v>-47.2</v>
      </c>
      <c r="BR94" s="8">
        <v>-54.2</v>
      </c>
      <c r="BS94" s="8">
        <v>-70.3</v>
      </c>
      <c r="BT94" s="8">
        <v>-43.3</v>
      </c>
      <c r="BU94" s="8">
        <v>-27.5</v>
      </c>
      <c r="BV94" s="8">
        <v>-54.5</v>
      </c>
      <c r="BW94" s="8">
        <v>-11.2</v>
      </c>
      <c r="BX94" s="8">
        <v>30.8</v>
      </c>
      <c r="BY94" s="8">
        <v>-14.5</v>
      </c>
      <c r="BZ94" s="8">
        <v>-63.3</v>
      </c>
      <c r="CA94" s="8">
        <v>-111.3</v>
      </c>
      <c r="CB94" s="8">
        <v>-118.7</v>
      </c>
      <c r="CC94" s="8">
        <v>-181.4</v>
      </c>
      <c r="CD94" s="8">
        <v>-251.4</v>
      </c>
      <c r="CE94" s="8">
        <v>-105.3</v>
      </c>
      <c r="CF94" s="8">
        <v>12.3</v>
      </c>
      <c r="CG94" s="8">
        <v>-196.3</v>
      </c>
      <c r="CH94" s="8">
        <v>-243.9</v>
      </c>
      <c r="CI94" s="8">
        <v>25.1</v>
      </c>
      <c r="CJ94" s="8">
        <v>-193.6</v>
      </c>
      <c r="CK94" s="8">
        <v>-431</v>
      </c>
      <c r="CL94" s="8">
        <v>266.8</v>
      </c>
      <c r="CM94" s="8">
        <v>871.9</v>
      </c>
      <c r="CN94" s="8">
        <v>389.2</v>
      </c>
      <c r="CO94" s="8">
        <v>268.6</v>
      </c>
      <c r="CP94" s="8">
        <v>553</v>
      </c>
      <c r="CQ94" s="8">
        <v>489.9</v>
      </c>
      <c r="CR94" s="8">
        <v>184.6</v>
      </c>
      <c r="CS94" s="8">
        <v>-35.4</v>
      </c>
      <c r="CT94" s="8">
        <v>-67.8</v>
      </c>
      <c r="CU94" s="8">
        <v>-57.9</v>
      </c>
      <c r="CV94" s="8">
        <v>-35.7</v>
      </c>
      <c r="CW94" s="8">
        <v>-10.8</v>
      </c>
      <c r="CX94" s="8">
        <v>3</v>
      </c>
      <c r="CY94" s="8">
        <v>-67.8</v>
      </c>
      <c r="CZ94" s="8">
        <v>-90.40000000000001</v>
      </c>
      <c r="DA94" s="8">
        <v>-107.3</v>
      </c>
      <c r="DB94" s="8">
        <v>-133.2</v>
      </c>
      <c r="DC94" s="8">
        <v>-139.6</v>
      </c>
      <c r="DD94" s="8">
        <v>-136.4</v>
      </c>
      <c r="DE94" s="8">
        <v>-156.9</v>
      </c>
      <c r="DF94" s="8">
        <v>-159.1</v>
      </c>
      <c r="DG94" s="8">
        <v>-113.8</v>
      </c>
      <c r="DH94" s="8">
        <v>-104.1</v>
      </c>
      <c r="DI94" s="8">
        <v>14.7</v>
      </c>
      <c r="DJ94" s="8">
        <v>31.4</v>
      </c>
      <c r="DK94" s="8">
        <v>29</v>
      </c>
      <c r="DL94" s="8">
        <v>-66.40000000000001</v>
      </c>
      <c r="DM94" s="8">
        <v>-24.1</v>
      </c>
      <c r="DN94" s="8">
        <v>120.8</v>
      </c>
      <c r="DO94" s="8">
        <v>239.4</v>
      </c>
      <c r="DP94" s="8">
        <v>92.09999999999999</v>
      </c>
      <c r="DQ94" s="8">
        <v>-63.3</v>
      </c>
      <c r="DR94" s="8">
        <v>-42.6</v>
      </c>
      <c r="DS94" s="8">
        <v>317.7</v>
      </c>
      <c r="DT94" s="8">
        <v>365.2</v>
      </c>
      <c r="DU94" s="8">
        <v>233.7</v>
      </c>
      <c r="DV94" s="8">
        <v>-189.8</v>
      </c>
      <c r="DW94" s="8">
        <v>-225.1</v>
      </c>
      <c r="DX94" s="8">
        <v>-103</v>
      </c>
      <c r="DY94" s="8">
        <v>-23.1</v>
      </c>
      <c r="DZ94" s="8">
        <v>180</v>
      </c>
      <c r="EA94" s="8">
        <v>-179.1</v>
      </c>
      <c r="EB94" s="8">
        <v>-151.1</v>
      </c>
      <c r="EC94" s="8">
        <v>99.8</v>
      </c>
      <c r="ED94" s="8">
        <v>-21.1</v>
      </c>
      <c r="EE94" s="8">
        <v>-19</v>
      </c>
      <c r="EF94" s="8">
        <v>-90.5</v>
      </c>
      <c r="EG94" s="8">
        <v>-202.1</v>
      </c>
      <c r="EH94" s="8">
        <v>-364.7</v>
      </c>
      <c r="EI94" s="8">
        <v>-292.2</v>
      </c>
      <c r="EJ94" s="8">
        <v>-223</v>
      </c>
      <c r="EK94" s="8">
        <v>-158.8</v>
      </c>
      <c r="EL94" s="8">
        <v>-233</v>
      </c>
      <c r="EM94" s="8">
        <v>-277.7</v>
      </c>
      <c r="EN94" s="8">
        <v>-332</v>
      </c>
      <c r="EO94" s="8">
        <v>-315.1</v>
      </c>
      <c r="EP94" s="8">
        <v>-246.8</v>
      </c>
      <c r="EQ94" s="8">
        <v>-331.4</v>
      </c>
      <c r="ER94" s="8">
        <v>-227.3</v>
      </c>
      <c r="ES94" s="8">
        <v>-110.7</v>
      </c>
      <c r="ET94" s="8">
        <v>-7.2</v>
      </c>
      <c r="EU94" s="8">
        <v>-80.3</v>
      </c>
      <c r="EV94" s="8">
        <v>-92.2</v>
      </c>
    </row>
    <row r="95" spans="1:152">
      <c r="A95" s="7">
        <v>35.5</v>
      </c>
      <c r="V95" s="8">
        <v>13.6</v>
      </c>
      <c r="W95" s="8">
        <v>-34.9</v>
      </c>
      <c r="X95" s="8">
        <v>-87.40000000000001</v>
      </c>
      <c r="Y95" s="8">
        <v>-99.8</v>
      </c>
      <c r="Z95" s="8">
        <v>-101.1</v>
      </c>
      <c r="AA95" s="8">
        <v>20.2</v>
      </c>
      <c r="AB95" s="8">
        <v>-99.59999999999999</v>
      </c>
      <c r="AC95" s="8">
        <v>-141.4</v>
      </c>
      <c r="AD95" s="8">
        <v>-156.2</v>
      </c>
      <c r="AE95" s="8">
        <v>-176.7</v>
      </c>
      <c r="AF95" s="8">
        <v>-150.2</v>
      </c>
      <c r="AG95" s="8">
        <v>-13</v>
      </c>
      <c r="AH95" s="8">
        <v>173.4</v>
      </c>
      <c r="AI95" s="8">
        <v>146</v>
      </c>
      <c r="AJ95" s="8">
        <v>18.8</v>
      </c>
      <c r="AK95" s="8">
        <v>207.8</v>
      </c>
      <c r="AL95" s="8">
        <v>-7.5</v>
      </c>
      <c r="AM95" s="8">
        <v>49.2</v>
      </c>
      <c r="AN95" s="8">
        <v>439.2</v>
      </c>
      <c r="AO95" s="8">
        <v>-29.2</v>
      </c>
      <c r="AP95" s="8">
        <v>-55.1</v>
      </c>
      <c r="AQ95" s="8">
        <v>-163.1</v>
      </c>
      <c r="AR95" s="8">
        <v>-253.2</v>
      </c>
      <c r="AS95" s="8">
        <v>-246.9</v>
      </c>
      <c r="AT95" s="8">
        <v>-311.4</v>
      </c>
      <c r="AU95" s="8">
        <v>-382.1</v>
      </c>
      <c r="AV95" s="8">
        <v>-784</v>
      </c>
      <c r="AW95" s="8">
        <v>-347.9</v>
      </c>
      <c r="AX95" s="8">
        <v>-352.5</v>
      </c>
      <c r="AY95" s="8">
        <v>-269</v>
      </c>
      <c r="AZ95" s="8">
        <v>-101.2</v>
      </c>
      <c r="BA95" s="8">
        <v>-56.6</v>
      </c>
      <c r="BB95" s="8">
        <v>64</v>
      </c>
      <c r="BC95" s="8">
        <v>-86.59999999999999</v>
      </c>
      <c r="BD95" s="8">
        <v>279.3</v>
      </c>
      <c r="BE95" s="8">
        <v>-219.6</v>
      </c>
      <c r="BF95" s="8">
        <v>-50</v>
      </c>
      <c r="BG95" s="8">
        <v>-47.8</v>
      </c>
      <c r="BH95" s="8">
        <v>-90.8</v>
      </c>
      <c r="BI95" s="8">
        <v>-110.7</v>
      </c>
      <c r="BJ95" s="8">
        <v>-163.3</v>
      </c>
      <c r="BK95" s="8">
        <v>-101.9</v>
      </c>
      <c r="BL95" s="8">
        <v>-86.59999999999999</v>
      </c>
      <c r="BM95" s="8">
        <v>-72.40000000000001</v>
      </c>
      <c r="BN95" s="8">
        <v>-47.4</v>
      </c>
      <c r="BO95" s="8">
        <v>-59.5</v>
      </c>
      <c r="BP95" s="8">
        <v>-72.7</v>
      </c>
      <c r="BQ95" s="8">
        <v>-29.2</v>
      </c>
      <c r="BR95" s="8">
        <v>-59.1</v>
      </c>
      <c r="BS95" s="8">
        <v>-33.9</v>
      </c>
      <c r="BT95" s="8">
        <v>6.7</v>
      </c>
      <c r="BU95" s="8">
        <v>-24.9</v>
      </c>
      <c r="BV95" s="8">
        <v>-18.1</v>
      </c>
      <c r="BW95" s="8">
        <v>-39.2</v>
      </c>
      <c r="BX95" s="8">
        <v>-11.6</v>
      </c>
      <c r="BY95" s="8">
        <v>110.8</v>
      </c>
      <c r="BZ95" s="8">
        <v>7.4</v>
      </c>
      <c r="CA95" s="8">
        <v>-43.8</v>
      </c>
      <c r="CB95" s="8">
        <v>-43.5</v>
      </c>
      <c r="CC95" s="8">
        <v>-125.3</v>
      </c>
      <c r="CD95" s="8">
        <v>-174.9</v>
      </c>
      <c r="CE95" s="8">
        <v>-236.9</v>
      </c>
      <c r="CF95" s="8">
        <v>-173.6</v>
      </c>
      <c r="CG95" s="8">
        <v>-139.6</v>
      </c>
      <c r="CH95" s="8">
        <v>-212.7</v>
      </c>
      <c r="CI95" s="8">
        <v>-234.2</v>
      </c>
      <c r="CJ95" s="8">
        <v>-253.4</v>
      </c>
      <c r="CK95" s="8">
        <v>-182.3</v>
      </c>
      <c r="CL95" s="8">
        <v>-322.6</v>
      </c>
      <c r="CM95" s="8">
        <v>32.1</v>
      </c>
      <c r="CN95" s="8">
        <v>1001.2</v>
      </c>
      <c r="CO95" s="8">
        <v>612.9</v>
      </c>
      <c r="CP95" s="8">
        <v>827.5</v>
      </c>
      <c r="CQ95" s="8">
        <v>718.6</v>
      </c>
      <c r="CR95" s="8">
        <v>333.9</v>
      </c>
      <c r="CS95" s="8">
        <v>-67.7</v>
      </c>
      <c r="CT95" s="8">
        <v>-114.4</v>
      </c>
      <c r="CU95" s="8">
        <v>-114.6</v>
      </c>
      <c r="CV95" s="8">
        <v>-68.7</v>
      </c>
      <c r="CW95" s="8">
        <v>-34.3</v>
      </c>
      <c r="CX95" s="8">
        <v>-35.4</v>
      </c>
      <c r="CY95" s="8">
        <v>-106.6</v>
      </c>
      <c r="CZ95" s="8">
        <v>-94</v>
      </c>
      <c r="DA95" s="8">
        <v>-45.1</v>
      </c>
      <c r="DB95" s="8">
        <v>-70.8</v>
      </c>
      <c r="DC95" s="8">
        <v>-57.4</v>
      </c>
      <c r="DD95" s="8">
        <v>-105.8</v>
      </c>
      <c r="DE95" s="8">
        <v>-106.5</v>
      </c>
      <c r="DF95" s="8">
        <v>-117.9</v>
      </c>
      <c r="DG95" s="8">
        <v>-94.90000000000001</v>
      </c>
      <c r="DH95" s="8">
        <v>-87.90000000000001</v>
      </c>
      <c r="DI95" s="8">
        <v>55</v>
      </c>
      <c r="DJ95" s="8">
        <v>31.1</v>
      </c>
      <c r="DK95" s="8">
        <v>38.9</v>
      </c>
      <c r="DL95" s="8">
        <v>33.3</v>
      </c>
      <c r="DM95" s="8">
        <v>88.09999999999999</v>
      </c>
      <c r="DN95" s="8">
        <v>218.4</v>
      </c>
      <c r="DO95" s="8">
        <v>129.5</v>
      </c>
      <c r="DP95" s="8">
        <v>44.9</v>
      </c>
      <c r="DQ95" s="8">
        <v>145.7</v>
      </c>
      <c r="DR95" s="8">
        <v>107.8</v>
      </c>
      <c r="DS95" s="8">
        <v>434.5</v>
      </c>
      <c r="DT95" s="8">
        <v>-210.3</v>
      </c>
      <c r="DU95" s="8">
        <v>-307.1</v>
      </c>
      <c r="DV95" s="8">
        <v>247.4</v>
      </c>
      <c r="DW95" s="8">
        <v>107.6</v>
      </c>
      <c r="DX95" s="8">
        <v>37.8</v>
      </c>
      <c r="DY95" s="8">
        <v>-33.2</v>
      </c>
      <c r="DZ95" s="8">
        <v>16.1</v>
      </c>
      <c r="EA95" s="8">
        <v>98.5</v>
      </c>
      <c r="EB95" s="8">
        <v>-18.6</v>
      </c>
      <c r="EC95" s="8">
        <v>-68.59999999999999</v>
      </c>
      <c r="ED95" s="8">
        <v>242.5</v>
      </c>
      <c r="EE95" s="8">
        <v>-9.800000000000001</v>
      </c>
      <c r="EF95" s="8">
        <v>-68.09999999999999</v>
      </c>
      <c r="EG95" s="8">
        <v>-171.8</v>
      </c>
      <c r="EH95" s="8">
        <v>-292.5</v>
      </c>
      <c r="EI95" s="8">
        <v>-243.2</v>
      </c>
      <c r="EJ95" s="8">
        <v>-212.9</v>
      </c>
      <c r="EK95" s="8">
        <v>-145.4</v>
      </c>
      <c r="EL95" s="8">
        <v>-230.5</v>
      </c>
      <c r="EM95" s="8">
        <v>-301.8</v>
      </c>
      <c r="EN95" s="8">
        <v>-402.2</v>
      </c>
      <c r="EO95" s="8">
        <v>-194.2</v>
      </c>
      <c r="EP95" s="8">
        <v>-184</v>
      </c>
      <c r="EQ95" s="8">
        <v>-389.4</v>
      </c>
      <c r="ER95" s="8">
        <v>-174.5</v>
      </c>
      <c r="ES95" s="8">
        <v>-72.59999999999999</v>
      </c>
      <c r="ET95" s="8">
        <v>-98</v>
      </c>
      <c r="EU95" s="8">
        <v>-36.3</v>
      </c>
      <c r="EV95" s="8">
        <v>-30.4</v>
      </c>
    </row>
    <row r="96" spans="1:152">
      <c r="A96" s="7">
        <v>35.525</v>
      </c>
      <c r="V96" s="8">
        <v>138.7</v>
      </c>
      <c r="W96" s="8">
        <v>31.1</v>
      </c>
      <c r="X96" s="8">
        <v>-22.9</v>
      </c>
      <c r="Y96" s="8">
        <v>-51.3</v>
      </c>
      <c r="Z96" s="8">
        <v>-77.09999999999999</v>
      </c>
      <c r="AA96" s="8">
        <v>-58.2</v>
      </c>
      <c r="AB96" s="8">
        <v>-14</v>
      </c>
      <c r="AC96" s="8">
        <v>61</v>
      </c>
      <c r="AD96" s="8">
        <v>-34.4</v>
      </c>
      <c r="AE96" s="8">
        <v>-108</v>
      </c>
      <c r="AF96" s="8">
        <v>-221.1</v>
      </c>
      <c r="AG96" s="8">
        <v>-187.2</v>
      </c>
      <c r="AH96" s="8">
        <v>-245.1</v>
      </c>
      <c r="AI96" s="8">
        <v>-302.4</v>
      </c>
      <c r="AJ96" s="8">
        <v>-21.5</v>
      </c>
      <c r="AK96" s="8">
        <v>-124.9</v>
      </c>
      <c r="AL96" s="8">
        <v>-125.9</v>
      </c>
      <c r="AM96" s="8">
        <v>-22.2</v>
      </c>
      <c r="AN96" s="8">
        <v>37.1</v>
      </c>
      <c r="AO96" s="8">
        <v>-22.6</v>
      </c>
      <c r="AP96" s="8">
        <v>-61</v>
      </c>
      <c r="AQ96" s="8">
        <v>-119.8</v>
      </c>
      <c r="AR96" s="8">
        <v>-117.2</v>
      </c>
      <c r="AS96" s="8">
        <v>-200.1</v>
      </c>
      <c r="AT96" s="8">
        <v>-341.4</v>
      </c>
      <c r="AU96" s="8">
        <v>-360</v>
      </c>
      <c r="AV96" s="8">
        <v>-318.5</v>
      </c>
      <c r="AW96" s="8">
        <v>-306.1</v>
      </c>
      <c r="AX96" s="8">
        <v>-61.9</v>
      </c>
      <c r="AY96" s="8">
        <v>-159.5</v>
      </c>
      <c r="AZ96" s="8">
        <v>5.4</v>
      </c>
      <c r="BA96" s="8">
        <v>-4.5</v>
      </c>
      <c r="BB96" s="8">
        <v>214.6</v>
      </c>
      <c r="BC96" s="8">
        <v>197.2</v>
      </c>
      <c r="BD96" s="8">
        <v>345.6</v>
      </c>
      <c r="BE96" s="8">
        <v>132.6</v>
      </c>
      <c r="BF96" s="8">
        <v>147.1</v>
      </c>
      <c r="BG96" s="8">
        <v>-107.6</v>
      </c>
      <c r="BH96" s="8">
        <v>-119.5</v>
      </c>
      <c r="BI96" s="8">
        <v>-112</v>
      </c>
      <c r="BJ96" s="8">
        <v>-85.59999999999999</v>
      </c>
      <c r="BK96" s="8">
        <v>-95.7</v>
      </c>
      <c r="BL96" s="8">
        <v>-65.8</v>
      </c>
      <c r="BM96" s="8">
        <v>-58</v>
      </c>
      <c r="BN96" s="8">
        <v>-42</v>
      </c>
      <c r="BO96" s="8">
        <v>-32.4</v>
      </c>
      <c r="BP96" s="8">
        <v>-41.1</v>
      </c>
      <c r="BQ96" s="8">
        <v>-33.9</v>
      </c>
      <c r="BR96" s="8">
        <v>-75</v>
      </c>
      <c r="BS96" s="8">
        <v>-81.8</v>
      </c>
      <c r="BT96" s="8">
        <v>-75.59999999999999</v>
      </c>
      <c r="BU96" s="8">
        <v>-10.2</v>
      </c>
      <c r="BV96" s="8">
        <v>265</v>
      </c>
      <c r="BW96" s="8">
        <v>25.5</v>
      </c>
      <c r="BX96" s="8">
        <v>-9</v>
      </c>
      <c r="BY96" s="8">
        <v>40.1</v>
      </c>
      <c r="BZ96" s="8">
        <v>-79.2</v>
      </c>
      <c r="CA96" s="8">
        <v>-88.8</v>
      </c>
      <c r="CB96" s="8">
        <v>-81.7</v>
      </c>
      <c r="CC96" s="8">
        <v>-32.4</v>
      </c>
      <c r="CD96" s="8">
        <v>-70</v>
      </c>
      <c r="CE96" s="8">
        <v>-166.7</v>
      </c>
      <c r="CF96" s="8">
        <v>-236</v>
      </c>
      <c r="CG96" s="8">
        <v>-173.9</v>
      </c>
      <c r="CH96" s="8">
        <v>-191.8</v>
      </c>
      <c r="CI96" s="8">
        <v>-175.8</v>
      </c>
      <c r="CJ96" s="8">
        <v>-194.5</v>
      </c>
      <c r="CK96" s="8">
        <v>-254.3</v>
      </c>
      <c r="CL96" s="8">
        <v>-123.6</v>
      </c>
      <c r="CM96" s="8">
        <v>-217.9</v>
      </c>
      <c r="CN96" s="8">
        <v>-269</v>
      </c>
      <c r="CO96" s="8">
        <v>87.90000000000001</v>
      </c>
      <c r="CP96" s="8">
        <v>417.3</v>
      </c>
      <c r="CQ96" s="8">
        <v>268.3</v>
      </c>
      <c r="CR96" s="8">
        <v>-21.2</v>
      </c>
      <c r="CS96" s="8">
        <v>-176</v>
      </c>
      <c r="CT96" s="8">
        <v>-165.6</v>
      </c>
      <c r="CU96" s="8">
        <v>-101.2</v>
      </c>
      <c r="CV96" s="8">
        <v>-127.6</v>
      </c>
      <c r="CW96" s="8">
        <v>-105.8</v>
      </c>
      <c r="CX96" s="8">
        <v>47.1</v>
      </c>
      <c r="CY96" s="8">
        <v>39.7</v>
      </c>
      <c r="CZ96" s="8">
        <v>-57.8</v>
      </c>
      <c r="DA96" s="8">
        <v>-78.09999999999999</v>
      </c>
      <c r="DB96" s="8">
        <v>-66</v>
      </c>
      <c r="DC96" s="8">
        <v>-72.3</v>
      </c>
      <c r="DD96" s="8">
        <v>-81.5</v>
      </c>
      <c r="DE96" s="8">
        <v>-84.59999999999999</v>
      </c>
      <c r="DF96" s="8">
        <v>-90.3</v>
      </c>
      <c r="DG96" s="8">
        <v>-73.59999999999999</v>
      </c>
      <c r="DH96" s="8">
        <v>42.4</v>
      </c>
      <c r="DI96" s="8">
        <v>125.7</v>
      </c>
      <c r="DJ96" s="8">
        <v>190.9</v>
      </c>
      <c r="DK96" s="8">
        <v>105.8</v>
      </c>
      <c r="DL96" s="8">
        <v>155.3</v>
      </c>
      <c r="DM96" s="8">
        <v>158.5</v>
      </c>
      <c r="DN96" s="8">
        <v>23.4</v>
      </c>
      <c r="DO96" s="8">
        <v>-1.2</v>
      </c>
      <c r="DP96" s="8">
        <v>-46.2</v>
      </c>
      <c r="DQ96" s="8">
        <v>33</v>
      </c>
      <c r="DR96" s="8">
        <v>168.2</v>
      </c>
      <c r="DS96" s="8">
        <v>-196.6</v>
      </c>
      <c r="DT96" s="8">
        <v>-132.9</v>
      </c>
      <c r="DU96" s="8">
        <v>-40.8</v>
      </c>
      <c r="DV96" s="8">
        <v>-74.5</v>
      </c>
      <c r="DW96" s="8">
        <v>83</v>
      </c>
      <c r="DX96" s="8">
        <v>0.1</v>
      </c>
      <c r="DY96" s="8">
        <v>56.2</v>
      </c>
      <c r="DZ96" s="8">
        <v>108.3</v>
      </c>
      <c r="EA96" s="8">
        <v>207.5</v>
      </c>
      <c r="EB96" s="8">
        <v>173.1</v>
      </c>
      <c r="EC96" s="8">
        <v>25.4</v>
      </c>
      <c r="ED96" s="8">
        <v>-42.5</v>
      </c>
      <c r="EE96" s="8">
        <v>68.40000000000001</v>
      </c>
      <c r="EF96" s="8">
        <v>154.7</v>
      </c>
      <c r="EG96" s="8">
        <v>-28.6</v>
      </c>
      <c r="EH96" s="8">
        <v>-58.4</v>
      </c>
      <c r="EI96" s="8">
        <v>-52.1</v>
      </c>
      <c r="EJ96" s="8">
        <v>-9.4</v>
      </c>
      <c r="EK96" s="8">
        <v>-12.1</v>
      </c>
      <c r="EL96" s="8">
        <v>-65.2</v>
      </c>
      <c r="EM96" s="8">
        <v>-126.8</v>
      </c>
      <c r="EN96" s="8">
        <v>-169.9</v>
      </c>
      <c r="EO96" s="8">
        <v>-214.9</v>
      </c>
      <c r="EP96" s="8">
        <v>-135.6</v>
      </c>
      <c r="EQ96" s="8">
        <v>-183.1</v>
      </c>
      <c r="ER96" s="8">
        <v>-133.1</v>
      </c>
      <c r="ES96" s="8">
        <v>-91.59999999999999</v>
      </c>
      <c r="ET96" s="8">
        <v>-88.40000000000001</v>
      </c>
    </row>
    <row r="97" spans="1:153">
      <c r="A97" s="7">
        <v>35.55</v>
      </c>
      <c r="X97" s="8">
        <v>74.59999999999999</v>
      </c>
      <c r="Y97" s="8">
        <v>30.4</v>
      </c>
      <c r="Z97" s="8">
        <v>8.699999999999999</v>
      </c>
      <c r="AA97" s="8">
        <v>39.1</v>
      </c>
      <c r="AB97" s="8">
        <v>42.7</v>
      </c>
      <c r="AC97" s="8">
        <v>32.5</v>
      </c>
      <c r="AD97" s="8">
        <v>4.6</v>
      </c>
      <c r="AE97" s="8">
        <v>120.8</v>
      </c>
      <c r="AF97" s="8">
        <v>-0.5</v>
      </c>
      <c r="AG97" s="8">
        <v>-114.5</v>
      </c>
      <c r="AH97" s="8">
        <v>-106.5</v>
      </c>
      <c r="AI97" s="8">
        <v>-46.6</v>
      </c>
      <c r="AJ97" s="8">
        <v>-111.1</v>
      </c>
      <c r="AK97" s="8">
        <v>-54.6</v>
      </c>
      <c r="AL97" s="8">
        <v>-84.3</v>
      </c>
      <c r="AM97" s="8">
        <v>-65.3</v>
      </c>
      <c r="AN97" s="8">
        <v>13.6</v>
      </c>
      <c r="AO97" s="8">
        <v>67.3</v>
      </c>
      <c r="AP97" s="8">
        <v>17.5</v>
      </c>
      <c r="AQ97" s="8">
        <v>-20.3</v>
      </c>
      <c r="AR97" s="8">
        <v>-78.09999999999999</v>
      </c>
      <c r="AS97" s="8">
        <v>-135.6</v>
      </c>
      <c r="AT97" s="8">
        <v>-171.7</v>
      </c>
      <c r="AU97" s="8">
        <v>-210</v>
      </c>
      <c r="AV97" s="8">
        <v>-279.5</v>
      </c>
      <c r="AW97" s="8">
        <v>-276.4</v>
      </c>
      <c r="AX97" s="8">
        <v>-314.7</v>
      </c>
      <c r="AY97" s="8">
        <v>-174.4</v>
      </c>
      <c r="AZ97" s="8">
        <v>-95.40000000000001</v>
      </c>
      <c r="BA97" s="8">
        <v>-170.8</v>
      </c>
      <c r="BB97" s="8">
        <v>306.8</v>
      </c>
      <c r="BC97" s="8">
        <v>-73.09999999999999</v>
      </c>
      <c r="BD97" s="8">
        <v>570.6</v>
      </c>
      <c r="BE97" s="8">
        <v>-8.5</v>
      </c>
      <c r="BF97" s="8">
        <v>-25.9</v>
      </c>
      <c r="BG97" s="8">
        <v>-70.5</v>
      </c>
      <c r="BH97" s="8">
        <v>-56.4</v>
      </c>
      <c r="BI97" s="8">
        <v>-63.7</v>
      </c>
      <c r="BJ97" s="8">
        <v>-67.90000000000001</v>
      </c>
      <c r="BK97" s="8">
        <v>-83</v>
      </c>
      <c r="BL97" s="8">
        <v>-79</v>
      </c>
      <c r="BM97" s="8">
        <v>-61.8</v>
      </c>
      <c r="BN97" s="8">
        <v>-38.7</v>
      </c>
      <c r="BO97" s="8">
        <v>-18.6</v>
      </c>
      <c r="BP97" s="8">
        <v>-4</v>
      </c>
      <c r="BQ97" s="8">
        <v>-21.6</v>
      </c>
      <c r="BR97" s="8">
        <v>-63.4</v>
      </c>
      <c r="BS97" s="8">
        <v>-76.8</v>
      </c>
      <c r="BT97" s="8">
        <v>-82.59999999999999</v>
      </c>
      <c r="BU97" s="8">
        <v>-57.1</v>
      </c>
      <c r="BV97" s="8">
        <v>44.9</v>
      </c>
      <c r="BW97" s="8">
        <v>-122.2</v>
      </c>
      <c r="BX97" s="8">
        <v>-122.9</v>
      </c>
      <c r="BY97" s="8">
        <v>-124</v>
      </c>
      <c r="BZ97" s="8">
        <v>-58.1</v>
      </c>
      <c r="CA97" s="8">
        <v>-59.2</v>
      </c>
      <c r="CB97" s="8">
        <v>-64.59999999999999</v>
      </c>
      <c r="CC97" s="8">
        <v>-75.7</v>
      </c>
      <c r="CD97" s="8">
        <v>-100.9</v>
      </c>
      <c r="CE97" s="8">
        <v>-117.8</v>
      </c>
      <c r="CF97" s="8">
        <v>-174.5</v>
      </c>
      <c r="CG97" s="8">
        <v>-219.3</v>
      </c>
      <c r="CH97" s="8">
        <v>-187.3</v>
      </c>
      <c r="CI97" s="8">
        <v>-93.8</v>
      </c>
      <c r="CJ97" s="8">
        <v>-215.1</v>
      </c>
      <c r="CK97" s="8">
        <v>-255.3</v>
      </c>
      <c r="CL97" s="8">
        <v>-243.2</v>
      </c>
      <c r="CM97" s="8">
        <v>-103.9</v>
      </c>
      <c r="CN97" s="8">
        <v>-113.3</v>
      </c>
      <c r="CO97" s="8">
        <v>-307.5</v>
      </c>
      <c r="CP97" s="8">
        <v>-120.4</v>
      </c>
      <c r="CQ97" s="8">
        <v>-26.2</v>
      </c>
      <c r="CR97" s="8">
        <v>-12.2</v>
      </c>
      <c r="CS97" s="8">
        <v>-31.5</v>
      </c>
      <c r="CT97" s="8">
        <v>-88.40000000000001</v>
      </c>
      <c r="CU97" s="8">
        <v>-68.59999999999999</v>
      </c>
      <c r="CV97" s="8">
        <v>-42.2</v>
      </c>
      <c r="CW97" s="8">
        <v>-36.5</v>
      </c>
      <c r="CX97" s="8">
        <v>-121</v>
      </c>
      <c r="CY97" s="8">
        <v>-30.3</v>
      </c>
      <c r="CZ97" s="8">
        <v>-35.2</v>
      </c>
      <c r="DA97" s="8">
        <v>-45.1</v>
      </c>
      <c r="DB97" s="8">
        <v>-38.9</v>
      </c>
      <c r="DC97" s="8">
        <v>-42.6</v>
      </c>
      <c r="DD97" s="8">
        <v>-60.1</v>
      </c>
      <c r="DE97" s="8">
        <v>-69.90000000000001</v>
      </c>
      <c r="DF97" s="8">
        <v>-62.4</v>
      </c>
      <c r="DG97" s="8">
        <v>-57.3</v>
      </c>
      <c r="DH97" s="8">
        <v>-29</v>
      </c>
      <c r="DI97" s="8">
        <v>122</v>
      </c>
      <c r="DJ97" s="8">
        <v>80.40000000000001</v>
      </c>
      <c r="DK97" s="8">
        <v>158</v>
      </c>
      <c r="DL97" s="8">
        <v>100.5</v>
      </c>
      <c r="DM97" s="8">
        <v>-20.7</v>
      </c>
      <c r="DN97" s="8">
        <v>-11.4</v>
      </c>
      <c r="DO97" s="8">
        <v>-20.8</v>
      </c>
      <c r="DP97" s="8">
        <v>226.8</v>
      </c>
      <c r="DQ97" s="8">
        <v>111.9</v>
      </c>
      <c r="DR97" s="8">
        <v>-85.59999999999999</v>
      </c>
      <c r="DS97" s="8">
        <v>-57.1</v>
      </c>
      <c r="DT97" s="8">
        <v>-171.2</v>
      </c>
      <c r="DU97" s="8">
        <v>-117.9</v>
      </c>
      <c r="DV97" s="8">
        <v>-71</v>
      </c>
      <c r="DW97" s="8">
        <v>-93.59999999999999</v>
      </c>
      <c r="DX97" s="8">
        <v>35.2</v>
      </c>
      <c r="DY97" s="8">
        <v>124.7</v>
      </c>
      <c r="DZ97" s="8">
        <v>68.3</v>
      </c>
      <c r="EA97" s="8">
        <v>10.5</v>
      </c>
      <c r="EB97" s="8">
        <v>443</v>
      </c>
      <c r="EC97" s="8">
        <v>203.2</v>
      </c>
      <c r="ED97" s="8">
        <v>232.1</v>
      </c>
      <c r="EE97" s="8">
        <v>45.9</v>
      </c>
      <c r="EF97" s="8">
        <v>207.1</v>
      </c>
      <c r="EG97" s="8">
        <v>82.59999999999999</v>
      </c>
      <c r="EH97" s="8">
        <v>-3.6</v>
      </c>
      <c r="EI97" s="8">
        <v>6.1</v>
      </c>
      <c r="EJ97" s="8">
        <v>38.2</v>
      </c>
      <c r="EK97" s="8">
        <v>6.6</v>
      </c>
      <c r="EL97" s="8">
        <v>-17</v>
      </c>
      <c r="EM97" s="8">
        <v>-62.1</v>
      </c>
      <c r="EN97" s="8">
        <v>-84.3</v>
      </c>
      <c r="EO97" s="8">
        <v>-90</v>
      </c>
      <c r="EP97" s="8">
        <v>-112.5</v>
      </c>
      <c r="EQ97" s="8">
        <v>-146.5</v>
      </c>
      <c r="ER97" s="8">
        <v>-68.5</v>
      </c>
      <c r="ES97" s="8">
        <v>38</v>
      </c>
      <c r="ET97" s="8">
        <v>22.3</v>
      </c>
    </row>
    <row r="98" spans="1:153">
      <c r="A98" s="7">
        <v>35.575</v>
      </c>
      <c r="X98" s="8">
        <v>174</v>
      </c>
      <c r="Y98" s="8">
        <v>120.8</v>
      </c>
      <c r="Z98" s="8">
        <v>61.8</v>
      </c>
      <c r="AA98" s="8">
        <v>4.1</v>
      </c>
      <c r="AB98" s="8">
        <v>42.8</v>
      </c>
      <c r="AC98" s="8">
        <v>131.1</v>
      </c>
      <c r="AD98" s="8">
        <v>113.4</v>
      </c>
      <c r="AE98" s="8">
        <v>325.6</v>
      </c>
      <c r="AF98" s="8">
        <v>384.7</v>
      </c>
      <c r="AG98" s="8">
        <v>139.2</v>
      </c>
      <c r="AH98" s="8">
        <v>100.8</v>
      </c>
      <c r="AI98" s="8">
        <v>-19.7</v>
      </c>
      <c r="AJ98" s="8">
        <v>-72.09999999999999</v>
      </c>
      <c r="AK98" s="8">
        <v>-16.4</v>
      </c>
      <c r="AL98" s="8">
        <v>-32.1</v>
      </c>
      <c r="AM98" s="8">
        <v>103.5</v>
      </c>
      <c r="AN98" s="8">
        <v>98.7</v>
      </c>
      <c r="AO98" s="8">
        <v>-0.3</v>
      </c>
      <c r="AP98" s="8">
        <v>-91.3</v>
      </c>
      <c r="AQ98" s="8">
        <v>-96</v>
      </c>
      <c r="AR98" s="8">
        <v>-31.6</v>
      </c>
      <c r="AS98" s="8">
        <v>-66.7</v>
      </c>
      <c r="AT98" s="8">
        <v>-117.3</v>
      </c>
      <c r="AU98" s="8">
        <v>-137.9</v>
      </c>
      <c r="AV98" s="8">
        <v>-162.5</v>
      </c>
      <c r="AW98" s="8">
        <v>-183</v>
      </c>
      <c r="AX98" s="8">
        <v>-201.5</v>
      </c>
      <c r="AY98" s="8">
        <v>-253.9</v>
      </c>
      <c r="AZ98" s="8">
        <v>-313.3</v>
      </c>
      <c r="BA98" s="8">
        <v>-198</v>
      </c>
      <c r="BB98" s="8">
        <v>118.4</v>
      </c>
      <c r="BC98" s="8">
        <v>-205.7</v>
      </c>
      <c r="BD98" s="8">
        <v>-239.6</v>
      </c>
      <c r="BE98" s="8">
        <v>-125.5</v>
      </c>
      <c r="BF98" s="8">
        <v>101.2</v>
      </c>
      <c r="BG98" s="8">
        <v>-61.1</v>
      </c>
      <c r="BH98" s="8">
        <v>-23.5</v>
      </c>
      <c r="BI98" s="8">
        <v>-27.7</v>
      </c>
      <c r="BJ98" s="8">
        <v>-53.1</v>
      </c>
      <c r="BK98" s="8">
        <v>-51.3</v>
      </c>
      <c r="BL98" s="8">
        <v>-61.1</v>
      </c>
      <c r="BM98" s="8">
        <v>-51.8</v>
      </c>
      <c r="BN98" s="8">
        <v>-39.7</v>
      </c>
      <c r="BO98" s="8">
        <v>-3</v>
      </c>
      <c r="BP98" s="8">
        <v>51.6</v>
      </c>
      <c r="BQ98" s="8">
        <v>5.1</v>
      </c>
      <c r="BR98" s="8">
        <v>-46.8</v>
      </c>
      <c r="BS98" s="8">
        <v>-76.59999999999999</v>
      </c>
      <c r="BT98" s="8">
        <v>4.1</v>
      </c>
      <c r="BU98" s="8">
        <v>-57.7</v>
      </c>
      <c r="BV98" s="8">
        <v>-63.7</v>
      </c>
      <c r="BW98" s="8">
        <v>-69.2</v>
      </c>
      <c r="BX98" s="8">
        <v>-71.90000000000001</v>
      </c>
      <c r="BY98" s="8">
        <v>-66</v>
      </c>
      <c r="BZ98" s="8">
        <v>-61.2</v>
      </c>
      <c r="CA98" s="8">
        <v>-61</v>
      </c>
      <c r="CB98" s="8">
        <v>-62.7</v>
      </c>
      <c r="CC98" s="8">
        <v>-95.59999999999999</v>
      </c>
      <c r="CD98" s="8">
        <v>-77.90000000000001</v>
      </c>
      <c r="CE98" s="8">
        <v>-102.4</v>
      </c>
      <c r="CF98" s="8">
        <v>-109.6</v>
      </c>
      <c r="CG98" s="8">
        <v>-167.7</v>
      </c>
      <c r="CH98" s="8">
        <v>-199.7</v>
      </c>
      <c r="CI98" s="8">
        <v>-216.7</v>
      </c>
      <c r="CJ98" s="8">
        <v>-180</v>
      </c>
      <c r="CK98" s="8">
        <v>-211.2</v>
      </c>
      <c r="CL98" s="8">
        <v>-203.7</v>
      </c>
      <c r="CM98" s="8">
        <v>-48</v>
      </c>
      <c r="CN98" s="8">
        <v>30</v>
      </c>
      <c r="CO98" s="8">
        <v>74.90000000000001</v>
      </c>
      <c r="CP98" s="8">
        <v>-111.2</v>
      </c>
      <c r="CQ98" s="8">
        <v>-82</v>
      </c>
      <c r="CR98" s="8">
        <v>-73.3</v>
      </c>
      <c r="CS98" s="8">
        <v>-5</v>
      </c>
      <c r="CT98" s="8">
        <v>15.9</v>
      </c>
      <c r="CU98" s="8">
        <v>-3.2</v>
      </c>
      <c r="CV98" s="8">
        <v>0.1</v>
      </c>
      <c r="CW98" s="8">
        <v>16.3</v>
      </c>
      <c r="CX98" s="8">
        <v>24.5</v>
      </c>
      <c r="CY98" s="8">
        <v>0.9</v>
      </c>
      <c r="CZ98" s="8">
        <v>6.1</v>
      </c>
      <c r="DA98" s="8">
        <v>-1.6</v>
      </c>
      <c r="DB98" s="8">
        <v>-7.8</v>
      </c>
      <c r="DC98" s="8">
        <v>-20.9</v>
      </c>
      <c r="DD98" s="8">
        <v>-32</v>
      </c>
      <c r="DE98" s="8">
        <v>-41</v>
      </c>
      <c r="DF98" s="8">
        <v>-69.3</v>
      </c>
      <c r="DG98" s="8">
        <v>-49.3</v>
      </c>
      <c r="DH98" s="8">
        <v>4.5</v>
      </c>
      <c r="DI98" s="8">
        <v>132</v>
      </c>
      <c r="DJ98" s="8">
        <v>328</v>
      </c>
      <c r="DK98" s="8">
        <v>152.4</v>
      </c>
      <c r="DL98" s="8">
        <v>-37.5</v>
      </c>
      <c r="DM98" s="8">
        <v>-97.8</v>
      </c>
      <c r="DN98" s="8">
        <v>64.09999999999999</v>
      </c>
      <c r="DO98" s="8">
        <v>-284.1</v>
      </c>
      <c r="DP98" s="8">
        <v>420.1</v>
      </c>
      <c r="DQ98" s="8">
        <v>55.9</v>
      </c>
      <c r="DR98" s="8">
        <v>132.9</v>
      </c>
      <c r="DS98" s="8">
        <v>-60</v>
      </c>
      <c r="DT98" s="8">
        <v>-95.5</v>
      </c>
      <c r="DU98" s="8">
        <v>-84.5</v>
      </c>
      <c r="DV98" s="8">
        <v>-37.1</v>
      </c>
      <c r="DW98" s="8">
        <v>293.7</v>
      </c>
      <c r="DX98" s="8">
        <v>34</v>
      </c>
      <c r="DY98" s="8">
        <v>108.7</v>
      </c>
      <c r="DZ98" s="8">
        <v>74.40000000000001</v>
      </c>
      <c r="EA98" s="8">
        <v>-46.4</v>
      </c>
      <c r="EB98" s="8">
        <v>-247.9</v>
      </c>
      <c r="EC98" s="8">
        <v>25.2</v>
      </c>
      <c r="ED98" s="8">
        <v>-298.8</v>
      </c>
      <c r="EE98" s="8">
        <v>170.2</v>
      </c>
      <c r="EF98" s="8">
        <v>227.9</v>
      </c>
      <c r="EG98" s="8">
        <v>229.5</v>
      </c>
      <c r="EH98" s="8">
        <v>-7.7</v>
      </c>
      <c r="EI98" s="8">
        <v>37</v>
      </c>
      <c r="EJ98" s="8">
        <v>120.6</v>
      </c>
      <c r="EK98" s="8">
        <v>47.8</v>
      </c>
      <c r="EL98" s="8">
        <v>-39</v>
      </c>
      <c r="EM98" s="8">
        <v>-35.1</v>
      </c>
      <c r="EN98" s="8">
        <v>-46.4</v>
      </c>
      <c r="EO98" s="8">
        <v>-100.3</v>
      </c>
      <c r="EP98" s="8">
        <v>-130</v>
      </c>
      <c r="EQ98" s="8">
        <v>-73.8</v>
      </c>
      <c r="ER98" s="8">
        <v>4.4</v>
      </c>
      <c r="ES98" s="8">
        <v>-124.4</v>
      </c>
      <c r="ET98" s="8">
        <v>282.9</v>
      </c>
    </row>
    <row r="99" spans="1:153">
      <c r="A99" s="7">
        <v>35.6</v>
      </c>
      <c r="X99" s="8">
        <v>268.5</v>
      </c>
      <c r="Y99" s="8">
        <v>120.6</v>
      </c>
      <c r="Z99" s="8">
        <v>42.2</v>
      </c>
      <c r="AA99" s="8">
        <v>20.8</v>
      </c>
      <c r="AB99" s="8">
        <v>31.1</v>
      </c>
      <c r="AC99" s="8">
        <v>-26.7</v>
      </c>
      <c r="AD99" s="8">
        <v>81</v>
      </c>
      <c r="AE99" s="8">
        <v>365.6</v>
      </c>
      <c r="AF99" s="8">
        <v>389.2</v>
      </c>
      <c r="AG99" s="8">
        <v>36.3</v>
      </c>
      <c r="AH99" s="8">
        <v>68.2</v>
      </c>
      <c r="AI99" s="8">
        <v>-20.8</v>
      </c>
      <c r="AJ99" s="8">
        <v>74.8</v>
      </c>
      <c r="AK99" s="8">
        <v>-72.5</v>
      </c>
      <c r="AL99" s="8">
        <v>-35.1</v>
      </c>
      <c r="AM99" s="8">
        <v>28.2</v>
      </c>
      <c r="AN99" s="8">
        <v>103.5</v>
      </c>
      <c r="AO99" s="8">
        <v>146.8</v>
      </c>
      <c r="AP99" s="8">
        <v>40</v>
      </c>
      <c r="AQ99" s="8">
        <v>-2.2</v>
      </c>
      <c r="AR99" s="8">
        <v>121.6</v>
      </c>
      <c r="AS99" s="8">
        <v>-21.5</v>
      </c>
      <c r="AT99" s="8">
        <v>-64.90000000000001</v>
      </c>
      <c r="AU99" s="8">
        <v>-97.90000000000001</v>
      </c>
      <c r="AV99" s="8">
        <v>-122.1</v>
      </c>
      <c r="AW99" s="8">
        <v>-132.4</v>
      </c>
      <c r="AX99" s="8">
        <v>-135.1</v>
      </c>
      <c r="AY99" s="8">
        <v>-154.7</v>
      </c>
      <c r="AZ99" s="8">
        <v>-188.4</v>
      </c>
      <c r="BA99" s="8">
        <v>-219.6</v>
      </c>
      <c r="BB99" s="8">
        <v>-255.6</v>
      </c>
      <c r="BC99" s="8">
        <v>-214.3</v>
      </c>
      <c r="BD99" s="8">
        <v>-44.2</v>
      </c>
      <c r="BE99" s="8">
        <v>-67.40000000000001</v>
      </c>
      <c r="BF99" s="8">
        <v>-52.7</v>
      </c>
      <c r="BG99" s="8">
        <v>-33.9</v>
      </c>
      <c r="BH99" s="8">
        <v>-6.5</v>
      </c>
      <c r="BI99" s="8">
        <v>-9.9</v>
      </c>
      <c r="BJ99" s="8">
        <v>-18.3</v>
      </c>
      <c r="BK99" s="8">
        <v>-27.9</v>
      </c>
      <c r="BL99" s="8">
        <v>-35</v>
      </c>
      <c r="BM99" s="8">
        <v>-52.2</v>
      </c>
      <c r="BN99" s="8">
        <v>-50.4</v>
      </c>
      <c r="BO99" s="8">
        <v>260.8</v>
      </c>
      <c r="BP99" s="8">
        <v>201.2</v>
      </c>
      <c r="BQ99" s="8">
        <v>-75.5</v>
      </c>
      <c r="BR99" s="8">
        <v>5.6</v>
      </c>
      <c r="BS99" s="8">
        <v>263.3</v>
      </c>
      <c r="BT99" s="8">
        <v>-99.59999999999999</v>
      </c>
      <c r="BU99" s="8">
        <v>-53.3</v>
      </c>
      <c r="BV99" s="8">
        <v>-42.8</v>
      </c>
      <c r="BW99" s="8">
        <v>-30.9</v>
      </c>
      <c r="BX99" s="8">
        <v>-32.3</v>
      </c>
      <c r="BY99" s="8">
        <v>-39.5</v>
      </c>
      <c r="BZ99" s="8">
        <v>-60.2</v>
      </c>
      <c r="CA99" s="8">
        <v>-62.4</v>
      </c>
      <c r="CB99" s="8">
        <v>-75.09999999999999</v>
      </c>
      <c r="CC99" s="8">
        <v>-178.2</v>
      </c>
      <c r="CD99" s="8">
        <v>-146.4</v>
      </c>
      <c r="CE99" s="8">
        <v>-92.2</v>
      </c>
      <c r="CF99" s="8">
        <v>-90.8</v>
      </c>
      <c r="CG99" s="8">
        <v>-27.3</v>
      </c>
      <c r="CH99" s="8">
        <v>-56.7</v>
      </c>
      <c r="CI99" s="8">
        <v>-141.1</v>
      </c>
      <c r="CJ99" s="8">
        <v>-176.7</v>
      </c>
      <c r="CK99" s="8">
        <v>-294.5</v>
      </c>
      <c r="CL99" s="8">
        <v>-275.1</v>
      </c>
      <c r="CM99" s="8">
        <v>-484.4</v>
      </c>
      <c r="CN99" s="8">
        <v>-668.2</v>
      </c>
      <c r="CO99" s="8">
        <v>-245.8</v>
      </c>
      <c r="CP99" s="8">
        <v>-64.3</v>
      </c>
      <c r="CQ99" s="8">
        <v>16.4</v>
      </c>
      <c r="CR99" s="8">
        <v>-40</v>
      </c>
      <c r="CS99" s="8">
        <v>184.6</v>
      </c>
      <c r="CT99" s="8">
        <v>96.40000000000001</v>
      </c>
      <c r="CU99" s="8">
        <v>44.2</v>
      </c>
      <c r="CV99" s="8">
        <v>42.2</v>
      </c>
      <c r="CW99" s="8">
        <v>65</v>
      </c>
      <c r="CX99" s="8">
        <v>106.8</v>
      </c>
      <c r="CY99" s="8">
        <v>79.5</v>
      </c>
      <c r="CZ99" s="8">
        <v>55.8</v>
      </c>
      <c r="DA99" s="8">
        <v>49.5</v>
      </c>
      <c r="DB99" s="8">
        <v>50.6</v>
      </c>
      <c r="DC99" s="8">
        <v>20.1</v>
      </c>
      <c r="DD99" s="8">
        <v>-4.2</v>
      </c>
      <c r="DE99" s="8">
        <v>-38.7</v>
      </c>
      <c r="DF99" s="8">
        <v>-59.7</v>
      </c>
      <c r="DG99" s="8">
        <v>-112.3</v>
      </c>
      <c r="DH99" s="8">
        <v>105.8</v>
      </c>
      <c r="DI99" s="8">
        <v>348.1</v>
      </c>
      <c r="DJ99" s="8">
        <v>375.7</v>
      </c>
      <c r="DK99" s="8">
        <v>-19</v>
      </c>
      <c r="DL99" s="8">
        <v>-127.1</v>
      </c>
      <c r="DM99" s="8">
        <v>-170.6</v>
      </c>
      <c r="DN99" s="8">
        <v>-280.9</v>
      </c>
      <c r="DO99" s="8">
        <v>-259.3</v>
      </c>
      <c r="DP99" s="8">
        <v>107.2</v>
      </c>
      <c r="DQ99" s="8">
        <v>82</v>
      </c>
      <c r="DR99" s="8">
        <v>77.8</v>
      </c>
      <c r="DS99" s="8">
        <v>-106.5</v>
      </c>
      <c r="DT99" s="8">
        <v>-38.7</v>
      </c>
      <c r="DU99" s="8">
        <v>-73.7</v>
      </c>
      <c r="DV99" s="8">
        <v>-103.7</v>
      </c>
      <c r="DW99" s="8">
        <v>112.1</v>
      </c>
      <c r="DX99" s="8">
        <v>360</v>
      </c>
      <c r="DY99" s="8">
        <v>40.3</v>
      </c>
      <c r="DZ99" s="8">
        <v>180.7</v>
      </c>
      <c r="EA99" s="8">
        <v>295</v>
      </c>
      <c r="EB99" s="8">
        <v>289.3</v>
      </c>
      <c r="EC99" s="8">
        <v>45.7</v>
      </c>
      <c r="ED99" s="8">
        <v>13.5</v>
      </c>
      <c r="EE99" s="8">
        <v>121.1</v>
      </c>
      <c r="EF99" s="8">
        <v>84.59999999999999</v>
      </c>
      <c r="EG99" s="8">
        <v>105.5</v>
      </c>
      <c r="EH99" s="8">
        <v>35.4</v>
      </c>
      <c r="EI99" s="8">
        <v>-10.7</v>
      </c>
      <c r="EJ99" s="8">
        <v>81</v>
      </c>
      <c r="EK99" s="8">
        <v>25</v>
      </c>
      <c r="EL99" s="8">
        <v>-27.7</v>
      </c>
      <c r="EM99" s="8">
        <v>-99.5</v>
      </c>
      <c r="EN99" s="8">
        <v>-108.8</v>
      </c>
      <c r="EO99" s="8">
        <v>-144.3</v>
      </c>
      <c r="EP99" s="8">
        <v>-120.4</v>
      </c>
      <c r="EQ99" s="8">
        <v>-95.09999999999999</v>
      </c>
      <c r="ER99" s="8">
        <v>-59.1</v>
      </c>
      <c r="ES99" s="8">
        <v>3.2</v>
      </c>
      <c r="ET99" s="8">
        <v>124.3</v>
      </c>
    </row>
    <row r="100" spans="1:153">
      <c r="A100" s="7">
        <v>35.625</v>
      </c>
      <c r="U100" s="8">
        <v>-172</v>
      </c>
      <c r="V100" s="8">
        <v>-215.9</v>
      </c>
      <c r="W100" s="8">
        <v>-322.7</v>
      </c>
      <c r="X100" s="8">
        <v>12.7</v>
      </c>
      <c r="Y100" s="8">
        <v>5.7</v>
      </c>
      <c r="Z100" s="8">
        <v>-23.1</v>
      </c>
      <c r="AA100" s="8">
        <v>29.5</v>
      </c>
      <c r="AB100" s="8">
        <v>23.1</v>
      </c>
      <c r="AC100" s="8">
        <v>73.09999999999999</v>
      </c>
      <c r="AD100" s="8">
        <v>-30.4</v>
      </c>
      <c r="AE100" s="8">
        <v>-165.7</v>
      </c>
      <c r="AF100" s="8">
        <v>-126.1</v>
      </c>
      <c r="AG100" s="8">
        <v>-130.4</v>
      </c>
      <c r="AH100" s="8">
        <v>4.2</v>
      </c>
      <c r="AI100" s="8">
        <v>74.09999999999999</v>
      </c>
      <c r="AJ100" s="8">
        <v>8.5</v>
      </c>
      <c r="AK100" s="8">
        <v>23.6</v>
      </c>
      <c r="AL100" s="8">
        <v>-54.1</v>
      </c>
      <c r="AM100" s="8">
        <v>185.5</v>
      </c>
      <c r="AN100" s="8">
        <v>148.5</v>
      </c>
      <c r="AO100" s="8">
        <v>106.2</v>
      </c>
      <c r="AP100" s="8">
        <v>118.4</v>
      </c>
      <c r="AQ100" s="8">
        <v>118</v>
      </c>
      <c r="AR100" s="8">
        <v>109.5</v>
      </c>
      <c r="AS100" s="8">
        <v>75.59999999999999</v>
      </c>
      <c r="AT100" s="8">
        <v>29.3</v>
      </c>
      <c r="AU100" s="8">
        <v>-15.5</v>
      </c>
      <c r="AV100" s="8">
        <v>-80.09999999999999</v>
      </c>
      <c r="AW100" s="8">
        <v>-108.7</v>
      </c>
      <c r="AX100" s="8">
        <v>-128.2</v>
      </c>
      <c r="AY100" s="8">
        <v>-138.8</v>
      </c>
      <c r="AZ100" s="8">
        <v>-142.8</v>
      </c>
      <c r="BA100" s="8">
        <v>-157.1</v>
      </c>
      <c r="BB100" s="8">
        <v>-161.4</v>
      </c>
      <c r="BC100" s="8">
        <v>-134.8</v>
      </c>
      <c r="BD100" s="8">
        <v>-121</v>
      </c>
      <c r="BE100" s="8">
        <v>-98.8</v>
      </c>
      <c r="BF100" s="8">
        <v>-52.1</v>
      </c>
      <c r="BG100" s="8">
        <v>-11.4</v>
      </c>
      <c r="BH100" s="8">
        <v>30.9</v>
      </c>
      <c r="BI100" s="8">
        <v>16.8</v>
      </c>
      <c r="BJ100" s="8">
        <v>-12</v>
      </c>
      <c r="BK100" s="8">
        <v>-7.1</v>
      </c>
      <c r="BL100" s="8">
        <v>-21.2</v>
      </c>
      <c r="BM100" s="8">
        <v>-42.1</v>
      </c>
      <c r="BN100" s="8">
        <v>-72.8</v>
      </c>
      <c r="BO100" s="8">
        <v>-129.8</v>
      </c>
      <c r="BP100" s="8">
        <v>-22.4</v>
      </c>
      <c r="BQ100" s="8">
        <v>-46.6</v>
      </c>
      <c r="BR100" s="8">
        <v>-180.3</v>
      </c>
      <c r="BS100" s="8">
        <v>-112.5</v>
      </c>
      <c r="BT100" s="8">
        <v>-77.59999999999999</v>
      </c>
      <c r="BU100" s="8">
        <v>-30.9</v>
      </c>
      <c r="BV100" s="8">
        <v>-35.3</v>
      </c>
      <c r="BW100" s="8">
        <v>-35</v>
      </c>
      <c r="BX100" s="8">
        <v>-33.9</v>
      </c>
      <c r="BY100" s="8">
        <v>-50.7</v>
      </c>
      <c r="BZ100" s="8">
        <v>-62.2</v>
      </c>
      <c r="CA100" s="8">
        <v>-57.3</v>
      </c>
      <c r="CB100" s="8">
        <v>-69.8</v>
      </c>
      <c r="CC100" s="8">
        <v>-95.90000000000001</v>
      </c>
      <c r="CD100" s="8">
        <v>-119.7</v>
      </c>
      <c r="CE100" s="8">
        <v>-123.9</v>
      </c>
      <c r="CF100" s="8">
        <v>13.7</v>
      </c>
      <c r="CG100" s="8">
        <v>-45.5</v>
      </c>
      <c r="CH100" s="8">
        <v>20.4</v>
      </c>
      <c r="CI100" s="8">
        <v>-70.2</v>
      </c>
      <c r="CJ100" s="8">
        <v>-185.3</v>
      </c>
      <c r="CK100" s="8">
        <v>-246.4</v>
      </c>
      <c r="CL100" s="8">
        <v>-271.7</v>
      </c>
      <c r="CM100" s="8">
        <v>-209.2</v>
      </c>
      <c r="CN100" s="8">
        <v>-320.1</v>
      </c>
      <c r="CO100" s="8">
        <v>-404.7</v>
      </c>
      <c r="CP100" s="8">
        <v>-546.8</v>
      </c>
      <c r="CQ100" s="8">
        <v>-503.1</v>
      </c>
      <c r="CR100" s="8">
        <v>38.9</v>
      </c>
      <c r="CS100" s="8">
        <v>735.1</v>
      </c>
      <c r="CT100" s="8">
        <v>370.9</v>
      </c>
      <c r="CU100" s="8">
        <v>126.9</v>
      </c>
      <c r="CV100" s="8">
        <v>91.09999999999999</v>
      </c>
      <c r="CW100" s="8">
        <v>66</v>
      </c>
      <c r="CX100" s="8">
        <v>122.1</v>
      </c>
      <c r="CY100" s="8">
        <v>89.59999999999999</v>
      </c>
      <c r="CZ100" s="8">
        <v>88.3</v>
      </c>
      <c r="DA100" s="8">
        <v>87.8</v>
      </c>
      <c r="DB100" s="8">
        <v>97.2</v>
      </c>
      <c r="DC100" s="8">
        <v>80</v>
      </c>
      <c r="DD100" s="8">
        <v>29.7</v>
      </c>
      <c r="DE100" s="8">
        <v>-2.4</v>
      </c>
      <c r="DF100" s="8">
        <v>-29.2</v>
      </c>
      <c r="DG100" s="8">
        <v>2.9</v>
      </c>
      <c r="DH100" s="8">
        <v>714.2</v>
      </c>
      <c r="DI100" s="8">
        <v>126.3</v>
      </c>
      <c r="DJ100" s="8">
        <v>299.6</v>
      </c>
      <c r="DK100" s="8">
        <v>63</v>
      </c>
      <c r="DL100" s="8">
        <v>-48.7</v>
      </c>
      <c r="DM100" s="8">
        <v>-115</v>
      </c>
      <c r="DN100" s="8">
        <v>-75.7</v>
      </c>
      <c r="DO100" s="8">
        <v>-263.4</v>
      </c>
      <c r="DP100" s="8">
        <v>-441.5</v>
      </c>
      <c r="DQ100" s="8">
        <v>-339.4</v>
      </c>
      <c r="DR100" s="8">
        <v>-405.8</v>
      </c>
      <c r="DS100" s="8">
        <v>-358.7</v>
      </c>
      <c r="DT100" s="8">
        <v>45.7</v>
      </c>
      <c r="DU100" s="8">
        <v>-276.7</v>
      </c>
      <c r="DV100" s="8">
        <v>-164.4</v>
      </c>
      <c r="DW100" s="8">
        <v>-208.2</v>
      </c>
      <c r="DX100" s="8">
        <v>-187.1</v>
      </c>
      <c r="DY100" s="8">
        <v>116.8</v>
      </c>
      <c r="DZ100" s="8">
        <v>107.3</v>
      </c>
      <c r="EA100" s="8">
        <v>63.2</v>
      </c>
      <c r="EB100" s="8">
        <v>-139.9</v>
      </c>
      <c r="EC100" s="8">
        <v>166.9</v>
      </c>
      <c r="ED100" s="8">
        <v>-25.1</v>
      </c>
      <c r="EE100" s="8">
        <v>340.3</v>
      </c>
      <c r="EF100" s="8">
        <v>65.59999999999999</v>
      </c>
      <c r="EG100" s="8">
        <v>257.4</v>
      </c>
      <c r="EH100" s="8">
        <v>153.4</v>
      </c>
      <c r="EI100" s="8">
        <v>-19.1</v>
      </c>
      <c r="EJ100" s="8">
        <v>258.2</v>
      </c>
      <c r="EK100" s="8">
        <v>79.09999999999999</v>
      </c>
      <c r="EL100" s="8">
        <v>-27.6</v>
      </c>
      <c r="EM100" s="8">
        <v>-81</v>
      </c>
      <c r="EN100" s="8">
        <v>-46</v>
      </c>
      <c r="EO100" s="8">
        <v>-2.4</v>
      </c>
      <c r="EP100" s="8">
        <v>-25.3</v>
      </c>
      <c r="EQ100" s="8">
        <v>-21.1</v>
      </c>
      <c r="ER100" s="8">
        <v>-88.59999999999999</v>
      </c>
      <c r="ES100" s="8">
        <v>47.3</v>
      </c>
      <c r="ET100" s="8">
        <v>157.8</v>
      </c>
    </row>
    <row r="101" spans="1:153">
      <c r="A101" s="7">
        <v>35.65</v>
      </c>
      <c r="U101" s="8">
        <v>-345.3</v>
      </c>
      <c r="V101" s="8">
        <v>-365.6</v>
      </c>
      <c r="W101" s="8">
        <v>-357.8</v>
      </c>
      <c r="X101" s="8">
        <v>-352.5</v>
      </c>
      <c r="Y101" s="8">
        <v>-206.9</v>
      </c>
      <c r="Z101" s="8">
        <v>-99.59999999999999</v>
      </c>
      <c r="AA101" s="8">
        <v>8.699999999999999</v>
      </c>
      <c r="AB101" s="8">
        <v>-121.8</v>
      </c>
      <c r="AC101" s="8">
        <v>-71</v>
      </c>
      <c r="AD101" s="8">
        <v>-5.8</v>
      </c>
      <c r="AE101" s="8">
        <v>-58.3</v>
      </c>
      <c r="AF101" s="8">
        <v>-160.3</v>
      </c>
      <c r="AG101" s="8">
        <v>-13.7</v>
      </c>
      <c r="AH101" s="8">
        <v>74.40000000000001</v>
      </c>
      <c r="AI101" s="8">
        <v>127.7</v>
      </c>
      <c r="AJ101" s="8">
        <v>65.90000000000001</v>
      </c>
      <c r="AK101" s="8">
        <v>-32.5</v>
      </c>
      <c r="AL101" s="8">
        <v>-65.90000000000001</v>
      </c>
      <c r="AM101" s="8">
        <v>-140.2</v>
      </c>
      <c r="AN101" s="8">
        <v>-178.7</v>
      </c>
      <c r="AO101" s="8">
        <v>33.1</v>
      </c>
      <c r="AP101" s="8">
        <v>-20</v>
      </c>
      <c r="AQ101" s="8">
        <v>51.6</v>
      </c>
      <c r="AR101" s="8">
        <v>62.7</v>
      </c>
      <c r="AS101" s="8">
        <v>147.3</v>
      </c>
      <c r="AT101" s="8">
        <v>160.2</v>
      </c>
      <c r="AU101" s="8">
        <v>28.8</v>
      </c>
      <c r="AV101" s="8">
        <v>-9.1</v>
      </c>
      <c r="AW101" s="8">
        <v>-92.09999999999999</v>
      </c>
      <c r="AX101" s="8">
        <v>-110.9</v>
      </c>
      <c r="AY101" s="8">
        <v>-129.6</v>
      </c>
      <c r="AZ101" s="8">
        <v>-102.3</v>
      </c>
      <c r="BA101" s="8">
        <v>-139.4</v>
      </c>
      <c r="BB101" s="8">
        <v>-140.5</v>
      </c>
      <c r="BC101" s="8">
        <v>-104.8</v>
      </c>
      <c r="BD101" s="8">
        <v>-79.2</v>
      </c>
      <c r="BE101" s="8">
        <v>-87.5</v>
      </c>
      <c r="BF101" s="8">
        <v>-46.4</v>
      </c>
      <c r="BG101" s="8">
        <v>-0.8</v>
      </c>
      <c r="BH101" s="8">
        <v>14.7</v>
      </c>
      <c r="BI101" s="8">
        <v>27</v>
      </c>
      <c r="BJ101" s="8">
        <v>20.2</v>
      </c>
      <c r="BK101" s="8">
        <v>6.7</v>
      </c>
      <c r="BL101" s="8">
        <v>-9.800000000000001</v>
      </c>
      <c r="BM101" s="8">
        <v>-24.2</v>
      </c>
      <c r="BN101" s="8">
        <v>-39</v>
      </c>
      <c r="BO101" s="8">
        <v>-58.7</v>
      </c>
      <c r="BP101" s="8">
        <v>-37.7</v>
      </c>
      <c r="BQ101" s="8">
        <v>-74.2</v>
      </c>
      <c r="BR101" s="8">
        <v>-35.7</v>
      </c>
      <c r="BS101" s="8">
        <v>-91.90000000000001</v>
      </c>
      <c r="BT101" s="8">
        <v>-96.40000000000001</v>
      </c>
      <c r="BU101" s="8">
        <v>-3.2</v>
      </c>
      <c r="BV101" s="8">
        <v>-23.5</v>
      </c>
      <c r="BW101" s="8">
        <v>-10.2</v>
      </c>
      <c r="BX101" s="8">
        <v>-22.4</v>
      </c>
      <c r="BY101" s="8">
        <v>-33.5</v>
      </c>
      <c r="BZ101" s="8">
        <v>-48.8</v>
      </c>
      <c r="CA101" s="8">
        <v>-61.7</v>
      </c>
      <c r="CB101" s="8">
        <v>-62.9</v>
      </c>
      <c r="CC101" s="8">
        <v>-84.8</v>
      </c>
      <c r="CD101" s="8">
        <v>-93.90000000000001</v>
      </c>
      <c r="CE101" s="8">
        <v>-123.8</v>
      </c>
      <c r="CF101" s="8">
        <v>-186</v>
      </c>
      <c r="CG101" s="8">
        <v>-165.9</v>
      </c>
      <c r="CH101" s="8">
        <v>49.3</v>
      </c>
      <c r="CI101" s="8">
        <v>-39</v>
      </c>
      <c r="CJ101" s="8">
        <v>-130.9</v>
      </c>
      <c r="CK101" s="8">
        <v>-110.8</v>
      </c>
      <c r="CL101" s="8">
        <v>-63.7</v>
      </c>
      <c r="CM101" s="8">
        <v>-24.1</v>
      </c>
      <c r="CN101" s="8">
        <v>-159.7</v>
      </c>
      <c r="CO101" s="8">
        <v>-186</v>
      </c>
      <c r="CP101" s="8">
        <v>-184.4</v>
      </c>
      <c r="CQ101" s="8">
        <v>-315.8</v>
      </c>
      <c r="CR101" s="8">
        <v>-543.5</v>
      </c>
      <c r="CS101" s="8">
        <v>-531.8</v>
      </c>
      <c r="CT101" s="8">
        <v>-107.3</v>
      </c>
      <c r="CU101" s="8">
        <v>329.6</v>
      </c>
      <c r="CV101" s="8">
        <v>190.9</v>
      </c>
      <c r="CW101" s="8">
        <v>76.40000000000001</v>
      </c>
      <c r="CX101" s="8">
        <v>105.8</v>
      </c>
      <c r="CY101" s="8">
        <v>95.40000000000001</v>
      </c>
      <c r="CZ101" s="8">
        <v>92.7</v>
      </c>
      <c r="DA101" s="8">
        <v>96.40000000000001</v>
      </c>
      <c r="DB101" s="8">
        <v>107.9</v>
      </c>
      <c r="DC101" s="8">
        <v>83.40000000000001</v>
      </c>
      <c r="DD101" s="8">
        <v>77.7</v>
      </c>
      <c r="DE101" s="8">
        <v>53.6</v>
      </c>
      <c r="DF101" s="8">
        <v>95.59999999999999</v>
      </c>
      <c r="DG101" s="8">
        <v>-55.8</v>
      </c>
      <c r="DH101" s="8">
        <v>27.2</v>
      </c>
      <c r="DI101" s="8">
        <v>249.7</v>
      </c>
      <c r="DJ101" s="8">
        <v>352.5</v>
      </c>
      <c r="DK101" s="8">
        <v>263.5</v>
      </c>
      <c r="DL101" s="8">
        <v>-17.3</v>
      </c>
      <c r="DM101" s="8">
        <v>-139.2</v>
      </c>
      <c r="DN101" s="8">
        <v>-98.3</v>
      </c>
      <c r="DO101" s="8">
        <v>-87.09999999999999</v>
      </c>
      <c r="DP101" s="8">
        <v>-153.2</v>
      </c>
      <c r="DQ101" s="8">
        <v>-191.3</v>
      </c>
      <c r="DR101" s="8">
        <v>-1.3</v>
      </c>
      <c r="DS101" s="8">
        <v>-225.3</v>
      </c>
      <c r="DT101" s="8">
        <v>-287.2</v>
      </c>
      <c r="DU101" s="8">
        <v>-15.3</v>
      </c>
      <c r="DV101" s="8">
        <v>-45</v>
      </c>
      <c r="DW101" s="8">
        <v>-56.3</v>
      </c>
      <c r="DX101" s="8">
        <v>-125.5</v>
      </c>
      <c r="DY101" s="8">
        <v>-296.6</v>
      </c>
      <c r="DZ101" s="8">
        <v>-77.8</v>
      </c>
      <c r="EA101" s="8">
        <v>-157.4</v>
      </c>
      <c r="EB101" s="8">
        <v>-4</v>
      </c>
      <c r="EC101" s="8">
        <v>18.1</v>
      </c>
      <c r="ED101" s="8">
        <v>57.2</v>
      </c>
      <c r="EE101" s="8">
        <v>-28.3</v>
      </c>
      <c r="EF101" s="8">
        <v>347.3</v>
      </c>
      <c r="EG101" s="8">
        <v>367.3</v>
      </c>
      <c r="EH101" s="8">
        <v>127.5</v>
      </c>
      <c r="EI101" s="8">
        <v>-71.09999999999999</v>
      </c>
      <c r="EJ101" s="8">
        <v>96.40000000000001</v>
      </c>
      <c r="EK101" s="8">
        <v>-85.59999999999999</v>
      </c>
      <c r="EL101" s="8">
        <v>-91</v>
      </c>
      <c r="EM101" s="8">
        <v>-96.09999999999999</v>
      </c>
      <c r="EN101" s="8">
        <v>-134.9</v>
      </c>
      <c r="EO101" s="8">
        <v>-4.2</v>
      </c>
      <c r="EP101" s="8">
        <v>-13.2</v>
      </c>
      <c r="EQ101" s="8">
        <v>125.1</v>
      </c>
      <c r="ER101" s="8">
        <v>121.6</v>
      </c>
      <c r="ES101" s="8">
        <v>105.2</v>
      </c>
      <c r="ET101" s="8">
        <v>41.5</v>
      </c>
    </row>
    <row r="102" spans="1:153">
      <c r="A102" s="7">
        <v>35.675</v>
      </c>
      <c r="U102" s="8">
        <v>-309.2</v>
      </c>
      <c r="V102" s="8">
        <v>-321.3</v>
      </c>
      <c r="W102" s="8">
        <v>-320.8</v>
      </c>
      <c r="X102" s="8">
        <v>-271.3</v>
      </c>
      <c r="Y102" s="8">
        <v>-221</v>
      </c>
      <c r="Z102" s="8">
        <v>-166.2</v>
      </c>
      <c r="AA102" s="8">
        <v>-52.9</v>
      </c>
      <c r="AB102" s="8">
        <v>52.4</v>
      </c>
      <c r="AC102" s="8">
        <v>-222.3</v>
      </c>
      <c r="AD102" s="8">
        <v>-189.4</v>
      </c>
      <c r="AE102" s="8">
        <v>-135</v>
      </c>
      <c r="AF102" s="8">
        <v>-31.5</v>
      </c>
      <c r="AG102" s="8">
        <v>-145.5</v>
      </c>
      <c r="AH102" s="8">
        <v>-14.7</v>
      </c>
      <c r="AI102" s="8">
        <v>1.2</v>
      </c>
      <c r="AJ102" s="8">
        <v>69.3</v>
      </c>
      <c r="AK102" s="8">
        <v>72.2</v>
      </c>
      <c r="AL102" s="8">
        <v>-187.4</v>
      </c>
      <c r="AM102" s="8">
        <v>-81.7</v>
      </c>
      <c r="AN102" s="8">
        <v>-59.8</v>
      </c>
      <c r="AO102" s="8">
        <v>-39.6</v>
      </c>
      <c r="AP102" s="8">
        <v>124.4</v>
      </c>
      <c r="AQ102" s="8">
        <v>19.2</v>
      </c>
      <c r="AR102" s="8">
        <v>77.40000000000001</v>
      </c>
      <c r="AS102" s="8">
        <v>65.59999999999999</v>
      </c>
      <c r="AT102" s="8">
        <v>126.9</v>
      </c>
      <c r="AU102" s="8">
        <v>91.8</v>
      </c>
      <c r="AV102" s="8">
        <v>164.7</v>
      </c>
      <c r="AW102" s="8">
        <v>24</v>
      </c>
      <c r="AX102" s="8">
        <v>-89.59999999999999</v>
      </c>
      <c r="AY102" s="8">
        <v>-123.7</v>
      </c>
      <c r="AZ102" s="8">
        <v>-156.9</v>
      </c>
      <c r="BA102" s="8">
        <v>-99.3</v>
      </c>
      <c r="BB102" s="8">
        <v>-106.8</v>
      </c>
      <c r="BC102" s="8">
        <v>-108</v>
      </c>
      <c r="BD102" s="8">
        <v>-67.09999999999999</v>
      </c>
      <c r="BE102" s="8">
        <v>-42.2</v>
      </c>
      <c r="BF102" s="8">
        <v>-20.6</v>
      </c>
      <c r="BG102" s="8">
        <v>17.5</v>
      </c>
      <c r="BH102" s="8">
        <v>38.5</v>
      </c>
      <c r="BI102" s="8">
        <v>48.4</v>
      </c>
      <c r="BJ102" s="8">
        <v>53.6</v>
      </c>
      <c r="BK102" s="8">
        <v>103.4</v>
      </c>
      <c r="BL102" s="8">
        <v>12.3</v>
      </c>
      <c r="BM102" s="8">
        <v>4.7</v>
      </c>
      <c r="BN102" s="8">
        <v>51</v>
      </c>
      <c r="BO102" s="8">
        <v>48.3</v>
      </c>
      <c r="BP102" s="8">
        <v>-79.09999999999999</v>
      </c>
      <c r="BQ102" s="8">
        <v>106.4</v>
      </c>
      <c r="BR102" s="8">
        <v>-75.90000000000001</v>
      </c>
      <c r="BS102" s="8">
        <v>-48.3</v>
      </c>
      <c r="BT102" s="8">
        <v>-84.09999999999999</v>
      </c>
      <c r="BU102" s="8">
        <v>-40.3</v>
      </c>
      <c r="BV102" s="8">
        <v>-8.699999999999999</v>
      </c>
      <c r="BW102" s="8">
        <v>3.3</v>
      </c>
      <c r="BX102" s="8">
        <v>-6.9</v>
      </c>
      <c r="BY102" s="8">
        <v>-32.4</v>
      </c>
      <c r="BZ102" s="8">
        <v>-58.1</v>
      </c>
      <c r="CA102" s="8">
        <v>-66.5</v>
      </c>
      <c r="CB102" s="8">
        <v>-65</v>
      </c>
      <c r="CC102" s="8">
        <v>-64.90000000000001</v>
      </c>
      <c r="CD102" s="8">
        <v>-79.09999999999999</v>
      </c>
      <c r="CE102" s="8">
        <v>-69.5</v>
      </c>
      <c r="CF102" s="8">
        <v>-66.8</v>
      </c>
      <c r="CG102" s="8">
        <v>-98.09999999999999</v>
      </c>
      <c r="CH102" s="8">
        <v>-229.7</v>
      </c>
      <c r="CI102" s="8">
        <v>-189.5</v>
      </c>
      <c r="CJ102" s="8">
        <v>-110.3</v>
      </c>
      <c r="CK102" s="8">
        <v>-94.40000000000001</v>
      </c>
      <c r="CL102" s="8">
        <v>61.3</v>
      </c>
      <c r="CM102" s="8">
        <v>-22.4</v>
      </c>
      <c r="CN102" s="8">
        <v>-22.5</v>
      </c>
      <c r="CO102" s="8">
        <v>-112.9</v>
      </c>
      <c r="CP102" s="8">
        <v>-107.6</v>
      </c>
      <c r="CQ102" s="8">
        <v>-158.8</v>
      </c>
      <c r="CR102" s="8">
        <v>-75.2</v>
      </c>
      <c r="CS102" s="8">
        <v>-288.5</v>
      </c>
      <c r="CT102" s="8">
        <v>-456.6</v>
      </c>
      <c r="CU102" s="8">
        <v>-579.7</v>
      </c>
      <c r="CV102" s="8">
        <v>-249.4</v>
      </c>
      <c r="CW102" s="8">
        <v>-97</v>
      </c>
      <c r="CX102" s="8">
        <v>20.4</v>
      </c>
      <c r="CY102" s="8">
        <v>81.5</v>
      </c>
      <c r="CZ102" s="8">
        <v>84</v>
      </c>
      <c r="DA102" s="8">
        <v>92.2</v>
      </c>
      <c r="DB102" s="8">
        <v>74.40000000000001</v>
      </c>
      <c r="DC102" s="8">
        <v>37</v>
      </c>
      <c r="DD102" s="8">
        <v>177.9</v>
      </c>
      <c r="DE102" s="8">
        <v>78.7</v>
      </c>
      <c r="DF102" s="8">
        <v>-55.7</v>
      </c>
      <c r="DG102" s="8">
        <v>-86.7</v>
      </c>
      <c r="DH102" s="8">
        <v>169.6</v>
      </c>
      <c r="DI102" s="8">
        <v>544.6</v>
      </c>
      <c r="DJ102" s="8">
        <v>232.4</v>
      </c>
      <c r="DK102" s="8">
        <v>62.9</v>
      </c>
      <c r="DL102" s="8">
        <v>46.7</v>
      </c>
      <c r="DM102" s="8">
        <v>21.9</v>
      </c>
      <c r="DN102" s="8">
        <v>14.7</v>
      </c>
      <c r="DO102" s="8">
        <v>-94.40000000000001</v>
      </c>
      <c r="DP102" s="8">
        <v>-70.09999999999999</v>
      </c>
      <c r="DQ102" s="8">
        <v>-68.3</v>
      </c>
      <c r="DR102" s="8">
        <v>-26.4</v>
      </c>
      <c r="DS102" s="8">
        <v>-139.5</v>
      </c>
      <c r="DT102" s="8">
        <v>-132.8</v>
      </c>
      <c r="DU102" s="8">
        <v>119.7</v>
      </c>
      <c r="DV102" s="8">
        <v>476.2</v>
      </c>
      <c r="DW102" s="8">
        <v>-37.9</v>
      </c>
      <c r="DX102" s="8">
        <v>-124.1</v>
      </c>
      <c r="DY102" s="8">
        <v>-153.3</v>
      </c>
      <c r="DZ102" s="8">
        <v>-82.90000000000001</v>
      </c>
      <c r="EA102" s="8">
        <v>-111.6</v>
      </c>
      <c r="EB102" s="8">
        <v>-110.7</v>
      </c>
      <c r="EC102" s="8">
        <v>-11.4</v>
      </c>
      <c r="ED102" s="8">
        <v>-42.5</v>
      </c>
      <c r="EE102" s="8">
        <v>-0.8</v>
      </c>
      <c r="EF102" s="8">
        <v>58.5</v>
      </c>
      <c r="EG102" s="8">
        <v>24.6</v>
      </c>
      <c r="EH102" s="8">
        <v>22.7</v>
      </c>
      <c r="EI102" s="8">
        <v>-40.1</v>
      </c>
      <c r="EJ102" s="8">
        <v>-135</v>
      </c>
      <c r="EK102" s="8">
        <v>-60.7</v>
      </c>
      <c r="EL102" s="8">
        <v>-134</v>
      </c>
      <c r="EM102" s="8">
        <v>-113.6</v>
      </c>
      <c r="EN102" s="8">
        <v>-149</v>
      </c>
      <c r="EO102" s="8">
        <v>-132.5</v>
      </c>
      <c r="EP102" s="8">
        <v>-84.90000000000001</v>
      </c>
      <c r="EQ102" s="8">
        <v>-53.7</v>
      </c>
      <c r="ER102" s="8">
        <v>27.1</v>
      </c>
      <c r="ES102" s="8">
        <v>69.2</v>
      </c>
      <c r="ET102" s="8">
        <v>66.5</v>
      </c>
      <c r="EU102" s="8">
        <v>-109.5</v>
      </c>
    </row>
    <row r="103" spans="1:153">
      <c r="A103" s="7">
        <v>35.7</v>
      </c>
      <c r="U103" s="8">
        <v>-301.6</v>
      </c>
      <c r="V103" s="8">
        <v>-296.3</v>
      </c>
      <c r="W103" s="8">
        <v>-198.6</v>
      </c>
      <c r="X103" s="8">
        <v>-216.8</v>
      </c>
      <c r="Y103" s="8">
        <v>-234.7</v>
      </c>
      <c r="Z103" s="8">
        <v>-237.8</v>
      </c>
      <c r="AA103" s="8">
        <v>-191.7</v>
      </c>
      <c r="AB103" s="8">
        <v>-199.9</v>
      </c>
      <c r="AC103" s="8">
        <v>-6.1</v>
      </c>
      <c r="AD103" s="8">
        <v>-106.8</v>
      </c>
      <c r="AE103" s="8">
        <v>-208</v>
      </c>
      <c r="AF103" s="8">
        <v>-94.5</v>
      </c>
      <c r="AG103" s="8">
        <v>-87.3</v>
      </c>
      <c r="AH103" s="8">
        <v>-163.9</v>
      </c>
      <c r="AI103" s="8">
        <v>-211.8</v>
      </c>
      <c r="AJ103" s="8">
        <v>-125.6</v>
      </c>
      <c r="AK103" s="8">
        <v>-117.3</v>
      </c>
      <c r="AL103" s="8">
        <v>-48.2</v>
      </c>
      <c r="AM103" s="8">
        <v>-15</v>
      </c>
      <c r="AN103" s="8">
        <v>56.3</v>
      </c>
      <c r="AO103" s="8">
        <v>-24.1</v>
      </c>
      <c r="AP103" s="8">
        <v>-63.6</v>
      </c>
      <c r="AQ103" s="8">
        <v>-59.6</v>
      </c>
      <c r="AR103" s="8">
        <v>-20.6</v>
      </c>
      <c r="AS103" s="8">
        <v>46.7</v>
      </c>
      <c r="AT103" s="8">
        <v>80.8</v>
      </c>
      <c r="AU103" s="8">
        <v>78.3</v>
      </c>
      <c r="AV103" s="8">
        <v>127.3</v>
      </c>
      <c r="AW103" s="8">
        <v>-35</v>
      </c>
      <c r="AX103" s="8">
        <v>32</v>
      </c>
      <c r="AY103" s="8">
        <v>-102.5</v>
      </c>
      <c r="AZ103" s="8">
        <v>-132</v>
      </c>
      <c r="BA103" s="8">
        <v>-47</v>
      </c>
      <c r="BB103" s="8">
        <v>-36.1</v>
      </c>
      <c r="BC103" s="8">
        <v>-98</v>
      </c>
      <c r="BD103" s="8">
        <v>-112.9</v>
      </c>
      <c r="BE103" s="8">
        <v>-93.3</v>
      </c>
      <c r="BF103" s="8">
        <v>-40.1</v>
      </c>
      <c r="BG103" s="8">
        <v>-0.7</v>
      </c>
      <c r="BH103" s="8">
        <v>46.4</v>
      </c>
      <c r="BI103" s="8">
        <v>37.2</v>
      </c>
      <c r="BJ103" s="8">
        <v>44.8</v>
      </c>
      <c r="BK103" s="8">
        <v>22.9</v>
      </c>
      <c r="BL103" s="8">
        <v>29.5</v>
      </c>
      <c r="BM103" s="8">
        <v>-50.7</v>
      </c>
      <c r="BN103" s="8">
        <v>-90</v>
      </c>
      <c r="BO103" s="8">
        <v>-119.6</v>
      </c>
      <c r="BP103" s="8">
        <v>-110.7</v>
      </c>
      <c r="BQ103" s="8">
        <v>-124.8</v>
      </c>
      <c r="BR103" s="8">
        <v>-13.3</v>
      </c>
      <c r="BS103" s="8">
        <v>-26.3</v>
      </c>
      <c r="BT103" s="8">
        <v>-39.8</v>
      </c>
      <c r="BU103" s="8">
        <v>-15.2</v>
      </c>
      <c r="BV103" s="8">
        <v>-20</v>
      </c>
      <c r="BW103" s="8">
        <v>32</v>
      </c>
      <c r="BX103" s="8">
        <v>11.1</v>
      </c>
      <c r="BY103" s="8">
        <v>-27.4</v>
      </c>
      <c r="BZ103" s="8">
        <v>-55.1</v>
      </c>
      <c r="CA103" s="8">
        <v>-64.90000000000001</v>
      </c>
      <c r="CB103" s="8">
        <v>-66.09999999999999</v>
      </c>
      <c r="CC103" s="8">
        <v>-58.6</v>
      </c>
      <c r="CD103" s="8">
        <v>-50.6</v>
      </c>
      <c r="CE103" s="8">
        <v>10.9</v>
      </c>
      <c r="CF103" s="8">
        <v>106.4</v>
      </c>
      <c r="CG103" s="8">
        <v>124.1</v>
      </c>
      <c r="CH103" s="8">
        <v>-45</v>
      </c>
      <c r="CI103" s="8">
        <v>-95.90000000000001</v>
      </c>
      <c r="CJ103" s="8">
        <v>-67.59999999999999</v>
      </c>
      <c r="CK103" s="8">
        <v>-86.90000000000001</v>
      </c>
      <c r="CL103" s="8">
        <v>-27.3</v>
      </c>
      <c r="CM103" s="8">
        <v>-8</v>
      </c>
      <c r="CN103" s="8">
        <v>-75.8</v>
      </c>
      <c r="CO103" s="8">
        <v>-111.4</v>
      </c>
      <c r="CP103" s="8">
        <v>-125.1</v>
      </c>
      <c r="CQ103" s="8">
        <v>-67.40000000000001</v>
      </c>
      <c r="CR103" s="8">
        <v>-272.6</v>
      </c>
      <c r="CS103" s="8">
        <v>-239.8</v>
      </c>
      <c r="CT103" s="8">
        <v>-225.5</v>
      </c>
      <c r="CU103" s="8">
        <v>-147.6</v>
      </c>
      <c r="CV103" s="8">
        <v>-57.8</v>
      </c>
      <c r="CW103" s="8">
        <v>-169.6</v>
      </c>
      <c r="CX103" s="8">
        <v>-172.4</v>
      </c>
      <c r="CY103" s="8">
        <v>-83.5</v>
      </c>
      <c r="CZ103" s="8">
        <v>-32.9</v>
      </c>
      <c r="DA103" s="8">
        <v>-10.7</v>
      </c>
      <c r="DB103" s="8">
        <v>-41.2</v>
      </c>
      <c r="DC103" s="8">
        <v>-28.1</v>
      </c>
      <c r="DD103" s="8">
        <v>-2.2</v>
      </c>
      <c r="DE103" s="8">
        <v>72.40000000000001</v>
      </c>
      <c r="DF103" s="8">
        <v>340.8</v>
      </c>
      <c r="DG103" s="8">
        <v>222.8</v>
      </c>
      <c r="DH103" s="8">
        <v>29.4</v>
      </c>
      <c r="DI103" s="8">
        <v>-23.4</v>
      </c>
      <c r="DJ103" s="8">
        <v>137.7</v>
      </c>
      <c r="DK103" s="8">
        <v>-74.59999999999999</v>
      </c>
      <c r="DL103" s="8">
        <v>89.2</v>
      </c>
      <c r="DM103" s="8">
        <v>325.2</v>
      </c>
      <c r="DN103" s="8">
        <v>478.3</v>
      </c>
      <c r="DO103" s="8">
        <v>-13.7</v>
      </c>
      <c r="DP103" s="8">
        <v>26.8</v>
      </c>
      <c r="DQ103" s="8">
        <v>-32.7</v>
      </c>
      <c r="DR103" s="8">
        <v>-169.9</v>
      </c>
      <c r="DS103" s="8">
        <v>-212.6</v>
      </c>
      <c r="DT103" s="8">
        <v>-217.3</v>
      </c>
      <c r="DU103" s="8">
        <v>-165.6</v>
      </c>
      <c r="DV103" s="8">
        <v>-298.5</v>
      </c>
      <c r="DW103" s="8">
        <v>-309.3</v>
      </c>
      <c r="DX103" s="8">
        <v>105.5</v>
      </c>
      <c r="DY103" s="8">
        <v>-202.6</v>
      </c>
      <c r="DZ103" s="8">
        <v>22.8</v>
      </c>
      <c r="EA103" s="8">
        <v>-103.3</v>
      </c>
      <c r="EB103" s="8">
        <v>-148.7</v>
      </c>
      <c r="EC103" s="8">
        <v>-66.09999999999999</v>
      </c>
      <c r="ED103" s="8">
        <v>34.3</v>
      </c>
      <c r="EE103" s="8">
        <v>72.2</v>
      </c>
      <c r="EF103" s="8">
        <v>-86.59999999999999</v>
      </c>
      <c r="EG103" s="8">
        <v>-104.5</v>
      </c>
      <c r="EH103" s="8">
        <v>35.4</v>
      </c>
      <c r="EI103" s="8">
        <v>321.5</v>
      </c>
      <c r="EJ103" s="8">
        <v>-115.1</v>
      </c>
      <c r="EK103" s="8">
        <v>-80.59999999999999</v>
      </c>
      <c r="EL103" s="8">
        <v>-134.1</v>
      </c>
      <c r="EM103" s="8">
        <v>-99</v>
      </c>
      <c r="EN103" s="8">
        <v>-149.3</v>
      </c>
      <c r="EO103" s="8">
        <v>-140.5</v>
      </c>
      <c r="EP103" s="8">
        <v>-58.8</v>
      </c>
      <c r="EQ103" s="8">
        <v>-116.1</v>
      </c>
      <c r="ER103" s="8">
        <v>-5.8</v>
      </c>
      <c r="ES103" s="8">
        <v>-126.9</v>
      </c>
      <c r="ET103" s="8">
        <v>-80.2</v>
      </c>
      <c r="EU103" s="8">
        <v>69.5</v>
      </c>
    </row>
    <row r="104" spans="1:153">
      <c r="A104" s="7">
        <v>35.725</v>
      </c>
      <c r="U104" s="8">
        <v>-238.5</v>
      </c>
      <c r="V104" s="8">
        <v>-277.6</v>
      </c>
      <c r="W104" s="8">
        <v>-189.1</v>
      </c>
      <c r="X104" s="8">
        <v>-229.8</v>
      </c>
      <c r="Y104" s="8">
        <v>-236.7</v>
      </c>
      <c r="Z104" s="8">
        <v>-235.2</v>
      </c>
      <c r="AA104" s="8">
        <v>-228.2</v>
      </c>
      <c r="AB104" s="8">
        <v>-216.3</v>
      </c>
      <c r="AC104" s="8">
        <v>-91.7</v>
      </c>
      <c r="AD104" s="8">
        <v>-42.3</v>
      </c>
      <c r="AE104" s="8">
        <v>149.7</v>
      </c>
      <c r="AF104" s="8">
        <v>-99.3</v>
      </c>
      <c r="AG104" s="8">
        <v>-233.5</v>
      </c>
      <c r="AH104" s="8">
        <v>-129.1</v>
      </c>
      <c r="AI104" s="8">
        <v>-131.4</v>
      </c>
      <c r="AJ104" s="8">
        <v>-111.7</v>
      </c>
      <c r="AK104" s="8">
        <v>338.5</v>
      </c>
      <c r="AL104" s="8">
        <v>229.5</v>
      </c>
      <c r="AM104" s="8">
        <v>116.6</v>
      </c>
      <c r="AN104" s="8">
        <v>8.300000000000001</v>
      </c>
      <c r="AO104" s="8">
        <v>-67.3</v>
      </c>
      <c r="AP104" s="8">
        <v>-110.5</v>
      </c>
      <c r="AQ104" s="8">
        <v>-99.90000000000001</v>
      </c>
      <c r="AR104" s="8">
        <v>-16.2</v>
      </c>
      <c r="AS104" s="8">
        <v>5.3</v>
      </c>
      <c r="AT104" s="8">
        <v>1.8</v>
      </c>
      <c r="AU104" s="8">
        <v>-8.6</v>
      </c>
      <c r="AV104" s="8">
        <v>-71.5</v>
      </c>
      <c r="AW104" s="8">
        <v>-42.3</v>
      </c>
      <c r="AX104" s="8">
        <v>-48.6</v>
      </c>
      <c r="AY104" s="8">
        <v>-19.7</v>
      </c>
      <c r="AZ104" s="8">
        <v>-69.3</v>
      </c>
      <c r="BA104" s="8">
        <v>10.7</v>
      </c>
      <c r="BB104" s="8">
        <v>-9.199999999999999</v>
      </c>
      <c r="BC104" s="8">
        <v>-123.3</v>
      </c>
      <c r="BD104" s="8">
        <v>-151.9</v>
      </c>
      <c r="BE104" s="8">
        <v>-119</v>
      </c>
      <c r="BF104" s="8">
        <v>-100.8</v>
      </c>
      <c r="BG104" s="8">
        <v>-60.3</v>
      </c>
      <c r="BH104" s="8">
        <v>-40.7</v>
      </c>
      <c r="BI104" s="8">
        <v>6.5</v>
      </c>
      <c r="BJ104" s="8">
        <v>46</v>
      </c>
      <c r="BK104" s="8">
        <v>41.4</v>
      </c>
      <c r="BL104" s="8">
        <v>34.9</v>
      </c>
      <c r="BM104" s="8">
        <v>-14.5</v>
      </c>
      <c r="BN104" s="8">
        <v>-50.9</v>
      </c>
      <c r="BO104" s="8">
        <v>-76.90000000000001</v>
      </c>
      <c r="BP104" s="8">
        <v>-88.5</v>
      </c>
      <c r="BQ104" s="8">
        <v>-92.5</v>
      </c>
      <c r="BR104" s="8">
        <v>-46</v>
      </c>
      <c r="BS104" s="8">
        <v>-6</v>
      </c>
      <c r="BT104" s="8">
        <v>-52.6</v>
      </c>
      <c r="BU104" s="8">
        <v>14.5</v>
      </c>
      <c r="BV104" s="8">
        <v>12.1</v>
      </c>
      <c r="BW104" s="8">
        <v>-19.4</v>
      </c>
      <c r="BX104" s="8">
        <v>-9</v>
      </c>
      <c r="BY104" s="8">
        <v>-6.1</v>
      </c>
      <c r="BZ104" s="8">
        <v>-26.7</v>
      </c>
      <c r="CA104" s="8">
        <v>-38.4</v>
      </c>
      <c r="CB104" s="8">
        <v>-50.4</v>
      </c>
      <c r="CC104" s="8">
        <v>-37.9</v>
      </c>
      <c r="CD104" s="8">
        <v>-77.7</v>
      </c>
      <c r="CE104" s="8">
        <v>-26.2</v>
      </c>
      <c r="CF104" s="8">
        <v>-11.7</v>
      </c>
      <c r="CG104" s="8">
        <v>-74.2</v>
      </c>
      <c r="CH104" s="8">
        <v>-10.8</v>
      </c>
      <c r="CI104" s="8">
        <v>-27.7</v>
      </c>
      <c r="CJ104" s="8">
        <v>58.8</v>
      </c>
      <c r="CK104" s="8">
        <v>31.4</v>
      </c>
      <c r="CL104" s="8">
        <v>67.40000000000001</v>
      </c>
      <c r="CM104" s="8">
        <v>-10.2</v>
      </c>
      <c r="CN104" s="8">
        <v>-17.8</v>
      </c>
      <c r="CO104" s="8">
        <v>-49.5</v>
      </c>
      <c r="CP104" s="8">
        <v>-235.6</v>
      </c>
      <c r="CQ104" s="8">
        <v>-357.5</v>
      </c>
      <c r="CR104" s="8">
        <v>-212.8</v>
      </c>
      <c r="CS104" s="8">
        <v>-256.8</v>
      </c>
      <c r="CT104" s="8">
        <v>-241.6</v>
      </c>
      <c r="CU104" s="8">
        <v>-154.3</v>
      </c>
      <c r="CV104" s="8">
        <v>-79</v>
      </c>
      <c r="CW104" s="8">
        <v>12.5</v>
      </c>
      <c r="CX104" s="8">
        <v>-266</v>
      </c>
      <c r="CY104" s="8">
        <v>-264</v>
      </c>
      <c r="CZ104" s="8">
        <v>-207.2</v>
      </c>
      <c r="DA104" s="8">
        <v>-140.6</v>
      </c>
      <c r="DB104" s="8">
        <v>-110.9</v>
      </c>
      <c r="DC104" s="8">
        <v>-111.1</v>
      </c>
      <c r="DD104" s="8">
        <v>-68.09999999999999</v>
      </c>
      <c r="DE104" s="8">
        <v>201.2</v>
      </c>
      <c r="DF104" s="8">
        <v>301.4</v>
      </c>
      <c r="DG104" s="8">
        <v>-255</v>
      </c>
      <c r="DH104" s="8">
        <v>308.7</v>
      </c>
      <c r="DI104" s="8">
        <v>199.4</v>
      </c>
      <c r="DJ104" s="8">
        <v>230.2</v>
      </c>
      <c r="DK104" s="8">
        <v>87.8</v>
      </c>
      <c r="DL104" s="8">
        <v>239.6</v>
      </c>
      <c r="DM104" s="8">
        <v>259.2</v>
      </c>
      <c r="DN104" s="8">
        <v>197.8</v>
      </c>
      <c r="DO104" s="8">
        <v>-22.7</v>
      </c>
      <c r="DP104" s="8">
        <v>-16.9</v>
      </c>
      <c r="DQ104" s="8">
        <v>52</v>
      </c>
      <c r="DR104" s="8">
        <v>89.5</v>
      </c>
      <c r="DS104" s="8">
        <v>-103.8</v>
      </c>
      <c r="DT104" s="8">
        <v>-295.2</v>
      </c>
      <c r="DU104" s="8">
        <v>-113</v>
      </c>
      <c r="DV104" s="8">
        <v>-178.7</v>
      </c>
      <c r="DW104" s="8">
        <v>-416.3</v>
      </c>
      <c r="DX104" s="8">
        <v>-304.9</v>
      </c>
      <c r="DY104" s="8">
        <v>-141.7</v>
      </c>
      <c r="DZ104" s="8">
        <v>-81.5</v>
      </c>
      <c r="EA104" s="8">
        <v>-37.4</v>
      </c>
      <c r="EB104" s="8">
        <v>33.8</v>
      </c>
      <c r="EC104" s="8">
        <v>-65.5</v>
      </c>
      <c r="ED104" s="8">
        <v>3.2</v>
      </c>
      <c r="EE104" s="8">
        <v>-13.7</v>
      </c>
      <c r="EF104" s="8">
        <v>-119.2</v>
      </c>
      <c r="EG104" s="8">
        <v>-144.1</v>
      </c>
      <c r="EH104" s="8">
        <v>-167.6</v>
      </c>
      <c r="EI104" s="8">
        <v>-12.3</v>
      </c>
      <c r="EJ104" s="8">
        <v>-145.4</v>
      </c>
      <c r="EK104" s="8">
        <v>-93.3</v>
      </c>
      <c r="EL104" s="8">
        <v>-69.90000000000001</v>
      </c>
      <c r="EM104" s="8">
        <v>-135.9</v>
      </c>
      <c r="EN104" s="8">
        <v>-140.6</v>
      </c>
      <c r="EO104" s="8">
        <v>-136.2</v>
      </c>
      <c r="EP104" s="8">
        <v>-129</v>
      </c>
      <c r="EQ104" s="8">
        <v>42.6</v>
      </c>
      <c r="ER104" s="8">
        <v>-37</v>
      </c>
      <c r="ES104" s="8">
        <v>21.9</v>
      </c>
      <c r="ET104" s="8">
        <v>-23.7</v>
      </c>
      <c r="EU104" s="8">
        <v>20.4</v>
      </c>
      <c r="EV104" s="8">
        <v>-45.1</v>
      </c>
    </row>
    <row r="105" spans="1:153">
      <c r="A105" s="7">
        <v>35.75</v>
      </c>
      <c r="U105" s="8">
        <v>-165</v>
      </c>
      <c r="V105" s="8">
        <v>-181.2</v>
      </c>
      <c r="W105" s="8">
        <v>-211.7</v>
      </c>
      <c r="X105" s="8">
        <v>-246.3</v>
      </c>
      <c r="Y105" s="8">
        <v>-166.1</v>
      </c>
      <c r="Z105" s="8">
        <v>-180.8</v>
      </c>
      <c r="AA105" s="8">
        <v>-188.3</v>
      </c>
      <c r="AB105" s="8">
        <v>-197.8</v>
      </c>
      <c r="AC105" s="8">
        <v>-190.5</v>
      </c>
      <c r="AD105" s="8">
        <v>-196</v>
      </c>
      <c r="AE105" s="8">
        <v>-272.7</v>
      </c>
      <c r="AF105" s="8">
        <v>-183.9</v>
      </c>
      <c r="AG105" s="8">
        <v>-163.4</v>
      </c>
      <c r="AH105" s="8">
        <v>-183.9</v>
      </c>
      <c r="AI105" s="8">
        <v>12.8</v>
      </c>
      <c r="AJ105" s="8">
        <v>-17.3</v>
      </c>
      <c r="AK105" s="8">
        <v>-307.7</v>
      </c>
      <c r="AL105" s="8">
        <v>-190.8</v>
      </c>
      <c r="AM105" s="8">
        <v>-6.5</v>
      </c>
      <c r="AN105" s="8">
        <v>112.8</v>
      </c>
      <c r="AO105" s="8">
        <v>74.3</v>
      </c>
      <c r="AP105" s="8">
        <v>-1.7</v>
      </c>
      <c r="AQ105" s="8">
        <v>-7.6</v>
      </c>
      <c r="AR105" s="8">
        <v>-19.5</v>
      </c>
      <c r="AS105" s="8">
        <v>0.6</v>
      </c>
      <c r="AT105" s="8">
        <v>34.2</v>
      </c>
      <c r="AU105" s="8">
        <v>64.59999999999999</v>
      </c>
      <c r="AV105" s="8">
        <v>24.2</v>
      </c>
      <c r="AW105" s="8">
        <v>-29.3</v>
      </c>
      <c r="AX105" s="8">
        <v>-46.2</v>
      </c>
      <c r="AY105" s="8">
        <v>-37.8</v>
      </c>
      <c r="AZ105" s="8">
        <v>-83</v>
      </c>
      <c r="BA105" s="8">
        <v>-51.7</v>
      </c>
      <c r="BB105" s="8">
        <v>-78.5</v>
      </c>
      <c r="BC105" s="8">
        <v>-153.8</v>
      </c>
      <c r="BD105" s="8">
        <v>-164.9</v>
      </c>
      <c r="BE105" s="8">
        <v>-149.4</v>
      </c>
      <c r="BF105" s="8">
        <v>-134.6</v>
      </c>
      <c r="BG105" s="8">
        <v>-43.6</v>
      </c>
      <c r="BH105" s="8">
        <v>-68.59999999999999</v>
      </c>
      <c r="BI105" s="8">
        <v>14.2</v>
      </c>
      <c r="BJ105" s="8">
        <v>108</v>
      </c>
      <c r="BK105" s="8">
        <v>79.59999999999999</v>
      </c>
      <c r="BL105" s="8">
        <v>56.8</v>
      </c>
      <c r="BM105" s="8">
        <v>-5.2</v>
      </c>
      <c r="BN105" s="8">
        <v>-27</v>
      </c>
      <c r="BO105" s="8">
        <v>-40.9</v>
      </c>
      <c r="BP105" s="8">
        <v>-62.3</v>
      </c>
      <c r="BQ105" s="8">
        <v>-82.5</v>
      </c>
      <c r="BR105" s="8">
        <v>-137.4</v>
      </c>
      <c r="BS105" s="8">
        <v>-47.9</v>
      </c>
      <c r="BT105" s="8">
        <v>-7</v>
      </c>
      <c r="BU105" s="8">
        <v>11.8</v>
      </c>
      <c r="BV105" s="8">
        <v>74.40000000000001</v>
      </c>
      <c r="BW105" s="8">
        <v>35.8</v>
      </c>
      <c r="BX105" s="8">
        <v>7.3</v>
      </c>
      <c r="BY105" s="8">
        <v>-21.2</v>
      </c>
      <c r="BZ105" s="8">
        <v>-17.7</v>
      </c>
      <c r="CA105" s="8">
        <v>-22.6</v>
      </c>
      <c r="CB105" s="8">
        <v>-37</v>
      </c>
      <c r="CC105" s="8">
        <v>-63.3</v>
      </c>
      <c r="CD105" s="8">
        <v>-36.5</v>
      </c>
      <c r="CE105" s="8">
        <v>-159.6</v>
      </c>
      <c r="CF105" s="8">
        <v>-52.2</v>
      </c>
      <c r="CG105" s="8">
        <v>-28.7</v>
      </c>
      <c r="CH105" s="8">
        <v>28.7</v>
      </c>
      <c r="CI105" s="8">
        <v>59.2</v>
      </c>
      <c r="CJ105" s="8">
        <v>-16.8</v>
      </c>
      <c r="CK105" s="8">
        <v>28.3</v>
      </c>
      <c r="CL105" s="8">
        <v>-13.7</v>
      </c>
      <c r="CM105" s="8">
        <v>27.2</v>
      </c>
      <c r="CN105" s="8">
        <v>-37.3</v>
      </c>
      <c r="CO105" s="8">
        <v>-114.3</v>
      </c>
      <c r="CP105" s="8">
        <v>-66.5</v>
      </c>
      <c r="CQ105" s="8">
        <v>-126.6</v>
      </c>
      <c r="CR105" s="8">
        <v>-78.5</v>
      </c>
      <c r="CS105" s="8">
        <v>-179.8</v>
      </c>
      <c r="CT105" s="8">
        <v>-202.9</v>
      </c>
      <c r="CU105" s="8">
        <v>-241.3</v>
      </c>
      <c r="CV105" s="8">
        <v>-207.6</v>
      </c>
      <c r="CW105" s="8">
        <v>-257.6</v>
      </c>
      <c r="CX105" s="8">
        <v>-214.2</v>
      </c>
      <c r="CY105" s="8">
        <v>-175.3</v>
      </c>
      <c r="CZ105" s="8">
        <v>-225.8</v>
      </c>
      <c r="DA105" s="8">
        <v>-205.2</v>
      </c>
      <c r="DB105" s="8">
        <v>-180.6</v>
      </c>
      <c r="DC105" s="8">
        <v>-160.5</v>
      </c>
      <c r="DD105" s="8">
        <v>-116</v>
      </c>
      <c r="DE105" s="8">
        <v>-131.4</v>
      </c>
      <c r="DF105" s="8">
        <v>-65.90000000000001</v>
      </c>
      <c r="DG105" s="8">
        <v>-102.8</v>
      </c>
      <c r="DH105" s="8">
        <v>-109.8</v>
      </c>
      <c r="DI105" s="8">
        <v>-286.4</v>
      </c>
      <c r="DJ105" s="8">
        <v>86.2</v>
      </c>
      <c r="DK105" s="8">
        <v>145.5</v>
      </c>
      <c r="DL105" s="8">
        <v>100.7</v>
      </c>
      <c r="DM105" s="8">
        <v>77</v>
      </c>
      <c r="DN105" s="8">
        <v>-13.4</v>
      </c>
      <c r="DO105" s="8">
        <v>42.2</v>
      </c>
      <c r="DP105" s="8">
        <v>8.9</v>
      </c>
      <c r="DQ105" s="8">
        <v>66.09999999999999</v>
      </c>
      <c r="DR105" s="8">
        <v>-155.4</v>
      </c>
      <c r="DS105" s="8">
        <v>-179.1</v>
      </c>
      <c r="DT105" s="8">
        <v>-206.6</v>
      </c>
      <c r="DU105" s="8">
        <v>-358.4</v>
      </c>
      <c r="DV105" s="8">
        <v>-481.8</v>
      </c>
      <c r="DW105" s="8">
        <v>-278.4</v>
      </c>
      <c r="DX105" s="8">
        <v>-199.2</v>
      </c>
      <c r="DY105" s="8">
        <v>-182.3</v>
      </c>
      <c r="DZ105" s="8">
        <v>-14.9</v>
      </c>
      <c r="EA105" s="8">
        <v>46.9</v>
      </c>
      <c r="EB105" s="8">
        <v>-33.6</v>
      </c>
      <c r="EC105" s="8">
        <v>-17.8</v>
      </c>
      <c r="ED105" s="8">
        <v>-100.8</v>
      </c>
      <c r="EE105" s="8">
        <v>-133.5</v>
      </c>
      <c r="EF105" s="8">
        <v>-85.59999999999999</v>
      </c>
      <c r="EG105" s="8">
        <v>-103.7</v>
      </c>
      <c r="EH105" s="8">
        <v>-69.8</v>
      </c>
      <c r="EI105" s="8">
        <v>89.2</v>
      </c>
      <c r="EJ105" s="8">
        <v>-119.2</v>
      </c>
      <c r="EK105" s="8">
        <v>-37.2</v>
      </c>
      <c r="EL105" s="8">
        <v>-109.5</v>
      </c>
      <c r="EM105" s="8">
        <v>-78.5</v>
      </c>
      <c r="EN105" s="8">
        <v>-57</v>
      </c>
      <c r="EO105" s="8">
        <v>-124.6</v>
      </c>
      <c r="EP105" s="8">
        <v>-6.4</v>
      </c>
      <c r="EQ105" s="8">
        <v>-6.4</v>
      </c>
      <c r="ER105" s="8">
        <v>19.4</v>
      </c>
      <c r="ES105" s="8">
        <v>17.4</v>
      </c>
      <c r="ET105" s="8">
        <v>10.1</v>
      </c>
      <c r="EU105" s="8">
        <v>73</v>
      </c>
      <c r="EV105" s="8">
        <v>21</v>
      </c>
    </row>
    <row r="106" spans="1:153">
      <c r="A106" s="7">
        <v>35.775</v>
      </c>
      <c r="U106" s="8">
        <v>-119.3</v>
      </c>
      <c r="V106" s="8">
        <v>-145.8</v>
      </c>
      <c r="W106" s="8">
        <v>-140</v>
      </c>
      <c r="X106" s="8">
        <v>-130.7</v>
      </c>
      <c r="Y106" s="8">
        <v>-134.8</v>
      </c>
      <c r="Z106" s="8">
        <v>-115.2</v>
      </c>
      <c r="AA106" s="8">
        <v>-127.6</v>
      </c>
      <c r="AB106" s="8">
        <v>-140.7</v>
      </c>
      <c r="AC106" s="8">
        <v>-171</v>
      </c>
      <c r="AD106" s="8">
        <v>-166.7</v>
      </c>
      <c r="AE106" s="8">
        <v>-171.9</v>
      </c>
      <c r="AF106" s="8">
        <v>-166.5</v>
      </c>
      <c r="AG106" s="8">
        <v>-143.8</v>
      </c>
      <c r="AH106" s="8">
        <v>-137.3</v>
      </c>
      <c r="AI106" s="8">
        <v>-157</v>
      </c>
      <c r="AJ106" s="8">
        <v>-120</v>
      </c>
      <c r="AK106" s="8">
        <v>-60.4</v>
      </c>
      <c r="AL106" s="8">
        <v>-172.5</v>
      </c>
      <c r="AM106" s="8">
        <v>-83.8</v>
      </c>
      <c r="AN106" s="8">
        <v>56.7</v>
      </c>
      <c r="AO106" s="8">
        <v>59.3</v>
      </c>
      <c r="AP106" s="8">
        <v>82.90000000000001</v>
      </c>
      <c r="AQ106" s="8">
        <v>-80.3</v>
      </c>
      <c r="AR106" s="8">
        <v>-14</v>
      </c>
      <c r="AS106" s="8">
        <v>-45.5</v>
      </c>
      <c r="AT106" s="8">
        <v>-58</v>
      </c>
      <c r="AU106" s="8">
        <v>-33.4</v>
      </c>
      <c r="AV106" s="8">
        <v>-38.6</v>
      </c>
      <c r="AW106" s="8">
        <v>-40.3</v>
      </c>
      <c r="AX106" s="8">
        <v>-51.4</v>
      </c>
      <c r="AY106" s="8">
        <v>-38.2</v>
      </c>
      <c r="AZ106" s="8">
        <v>-44.2</v>
      </c>
      <c r="BA106" s="8">
        <v>-189.5</v>
      </c>
      <c r="BB106" s="8">
        <v>-184.3</v>
      </c>
      <c r="BC106" s="8">
        <v>-168</v>
      </c>
      <c r="BD106" s="8">
        <v>-159.8</v>
      </c>
      <c r="BE106" s="8">
        <v>-154.5</v>
      </c>
      <c r="BF106" s="8">
        <v>-176.4</v>
      </c>
      <c r="BG106" s="8">
        <v>-133.3</v>
      </c>
      <c r="BH106" s="8">
        <v>-76.8</v>
      </c>
      <c r="BI106" s="8">
        <v>-49.8</v>
      </c>
      <c r="BJ106" s="8">
        <v>51.2</v>
      </c>
      <c r="BK106" s="8">
        <v>70.3</v>
      </c>
      <c r="BL106" s="8">
        <v>95.40000000000001</v>
      </c>
      <c r="BM106" s="8">
        <v>67.8</v>
      </c>
      <c r="BN106" s="8">
        <v>14.1</v>
      </c>
      <c r="BO106" s="8">
        <v>-2.8</v>
      </c>
      <c r="BP106" s="8">
        <v>-20.7</v>
      </c>
      <c r="BQ106" s="8">
        <v>-39.2</v>
      </c>
      <c r="BR106" s="8">
        <v>-44.1</v>
      </c>
      <c r="BS106" s="8">
        <v>-59.2</v>
      </c>
      <c r="BT106" s="8">
        <v>58.9</v>
      </c>
      <c r="BU106" s="8">
        <v>-63</v>
      </c>
      <c r="BV106" s="8">
        <v>-10.7</v>
      </c>
      <c r="BW106" s="8">
        <v>85.59999999999999</v>
      </c>
      <c r="BX106" s="8">
        <v>-17.7</v>
      </c>
      <c r="BY106" s="8">
        <v>-10.1</v>
      </c>
      <c r="BZ106" s="8">
        <v>34.7</v>
      </c>
      <c r="CA106" s="8">
        <v>-36.2</v>
      </c>
      <c r="CB106" s="8">
        <v>-26.1</v>
      </c>
      <c r="CC106" s="8">
        <v>-18.9</v>
      </c>
      <c r="CD106" s="8">
        <v>-86</v>
      </c>
      <c r="CE106" s="8">
        <v>-111.5</v>
      </c>
      <c r="CF106" s="8">
        <v>-158.4</v>
      </c>
      <c r="CG106" s="8">
        <v>-9.300000000000001</v>
      </c>
      <c r="CH106" s="8">
        <v>-0.4</v>
      </c>
      <c r="CI106" s="8">
        <v>-32.3</v>
      </c>
      <c r="CJ106" s="8">
        <v>82.59999999999999</v>
      </c>
      <c r="CK106" s="8">
        <v>208.7</v>
      </c>
      <c r="CL106" s="8">
        <v>36.9</v>
      </c>
      <c r="CM106" s="8">
        <v>-36.8</v>
      </c>
      <c r="CN106" s="8">
        <v>-66</v>
      </c>
      <c r="CO106" s="8">
        <v>-96.09999999999999</v>
      </c>
      <c r="CP106" s="8">
        <v>-52.7</v>
      </c>
      <c r="CQ106" s="8">
        <v>-100.9</v>
      </c>
      <c r="CR106" s="8">
        <v>-98.5</v>
      </c>
      <c r="CS106" s="8">
        <v>-67.7</v>
      </c>
      <c r="CT106" s="8">
        <v>-87.59999999999999</v>
      </c>
      <c r="CU106" s="8">
        <v>-82.7</v>
      </c>
      <c r="CV106" s="8">
        <v>-136.8</v>
      </c>
      <c r="CW106" s="8">
        <v>-110.3</v>
      </c>
      <c r="CX106" s="8">
        <v>-117.4</v>
      </c>
      <c r="CY106" s="8">
        <v>-154.9</v>
      </c>
      <c r="CZ106" s="8">
        <v>-168.7</v>
      </c>
      <c r="DA106" s="8">
        <v>-149.7</v>
      </c>
      <c r="DB106" s="8">
        <v>-166.9</v>
      </c>
      <c r="DC106" s="8">
        <v>-158.5</v>
      </c>
      <c r="DD106" s="8">
        <v>-158.2</v>
      </c>
      <c r="DE106" s="8">
        <v>-186.9</v>
      </c>
      <c r="DF106" s="8">
        <v>-231</v>
      </c>
      <c r="DG106" s="8">
        <v>237.3</v>
      </c>
      <c r="DH106" s="8">
        <v>-685.2</v>
      </c>
      <c r="DI106" s="8">
        <v>0.8</v>
      </c>
      <c r="DJ106" s="8">
        <v>-255.7</v>
      </c>
      <c r="DK106" s="8">
        <v>-11.7</v>
      </c>
      <c r="DL106" s="8">
        <v>-252.7</v>
      </c>
      <c r="DM106" s="8">
        <v>-225.1</v>
      </c>
      <c r="DN106" s="8">
        <v>-35.5</v>
      </c>
      <c r="DO106" s="8">
        <v>-99.2</v>
      </c>
      <c r="DP106" s="8">
        <v>-95.7</v>
      </c>
      <c r="DQ106" s="8">
        <v>-62.6</v>
      </c>
      <c r="DR106" s="8">
        <v>-116.6</v>
      </c>
      <c r="DS106" s="8">
        <v>-217.7</v>
      </c>
      <c r="DT106" s="8">
        <v>-262.2</v>
      </c>
      <c r="DU106" s="8">
        <v>-282.2</v>
      </c>
      <c r="DV106" s="8">
        <v>-254.7</v>
      </c>
      <c r="DW106" s="8">
        <v>-136.8</v>
      </c>
      <c r="DX106" s="8">
        <v>-102</v>
      </c>
      <c r="DY106" s="8">
        <v>70</v>
      </c>
      <c r="DZ106" s="8">
        <v>29</v>
      </c>
      <c r="EA106" s="8">
        <v>-87.59999999999999</v>
      </c>
      <c r="EB106" s="8">
        <v>-59.4</v>
      </c>
      <c r="EC106" s="8">
        <v>-171.4</v>
      </c>
      <c r="ED106" s="8">
        <v>-69.90000000000001</v>
      </c>
      <c r="EE106" s="8">
        <v>-21.4</v>
      </c>
      <c r="EF106" s="8">
        <v>-51.7</v>
      </c>
      <c r="EG106" s="8">
        <v>-238.9</v>
      </c>
      <c r="EH106" s="8">
        <v>-135.8</v>
      </c>
      <c r="EI106" s="8">
        <v>42.6</v>
      </c>
      <c r="EJ106" s="8">
        <v>-110.4</v>
      </c>
      <c r="EK106" s="8">
        <v>-97.7</v>
      </c>
      <c r="EL106" s="8">
        <v>-69.7</v>
      </c>
      <c r="EM106" s="8">
        <v>-77.8</v>
      </c>
      <c r="EN106" s="8">
        <v>31.4</v>
      </c>
      <c r="EO106" s="8">
        <v>39.8</v>
      </c>
      <c r="EP106" s="8">
        <v>-0.4</v>
      </c>
      <c r="EQ106" s="8">
        <v>-98.7</v>
      </c>
      <c r="ER106" s="8">
        <v>-35.2</v>
      </c>
      <c r="ES106" s="8">
        <v>127.4</v>
      </c>
      <c r="ET106" s="8">
        <v>146.1</v>
      </c>
      <c r="EU106" s="8">
        <v>87.3</v>
      </c>
      <c r="EV106" s="8">
        <v>226.2</v>
      </c>
    </row>
    <row r="107" spans="1:153">
      <c r="A107" s="7">
        <v>35.8</v>
      </c>
      <c r="U107" s="8">
        <v>-78.8</v>
      </c>
      <c r="V107" s="8">
        <v>-81.8</v>
      </c>
      <c r="W107" s="8">
        <v>-72.59999999999999</v>
      </c>
      <c r="X107" s="8">
        <v>-65.90000000000001</v>
      </c>
      <c r="Y107" s="8">
        <v>-67.40000000000001</v>
      </c>
      <c r="Z107" s="8">
        <v>-66.40000000000001</v>
      </c>
      <c r="AA107" s="8">
        <v>-56.9</v>
      </c>
      <c r="AB107" s="8">
        <v>-63.6</v>
      </c>
      <c r="AC107" s="8">
        <v>-76.5</v>
      </c>
      <c r="AD107" s="8">
        <v>-39.5</v>
      </c>
      <c r="AE107" s="8">
        <v>-69.3</v>
      </c>
      <c r="AF107" s="8">
        <v>-81.2</v>
      </c>
      <c r="AG107" s="8">
        <v>-89.09999999999999</v>
      </c>
      <c r="AH107" s="8">
        <v>-93.5</v>
      </c>
      <c r="AI107" s="8">
        <v>-103.1</v>
      </c>
      <c r="AJ107" s="8">
        <v>-125.1</v>
      </c>
      <c r="AK107" s="8">
        <v>-189.6</v>
      </c>
      <c r="AL107" s="8">
        <v>-163.6</v>
      </c>
      <c r="AM107" s="8">
        <v>-108.8</v>
      </c>
      <c r="AN107" s="8">
        <v>-73.90000000000001</v>
      </c>
      <c r="AO107" s="8">
        <v>-6.6</v>
      </c>
      <c r="AP107" s="8">
        <v>71.5</v>
      </c>
      <c r="AQ107" s="8">
        <v>36.3</v>
      </c>
      <c r="AR107" s="8">
        <v>-35.8</v>
      </c>
      <c r="AS107" s="8">
        <v>-54.1</v>
      </c>
      <c r="AT107" s="8">
        <v>-61.9</v>
      </c>
      <c r="AU107" s="8">
        <v>-45.9</v>
      </c>
      <c r="AV107" s="8">
        <v>-41.1</v>
      </c>
      <c r="AW107" s="8">
        <v>-33.2</v>
      </c>
      <c r="AX107" s="8">
        <v>-56.1</v>
      </c>
      <c r="AY107" s="8">
        <v>-52.2</v>
      </c>
      <c r="AZ107" s="8">
        <v>-14.3</v>
      </c>
      <c r="BA107" s="8">
        <v>-84.8</v>
      </c>
      <c r="BB107" s="8">
        <v>-155.9</v>
      </c>
      <c r="BC107" s="8">
        <v>-155.1</v>
      </c>
      <c r="BD107" s="8">
        <v>-156.7</v>
      </c>
      <c r="BE107" s="8">
        <v>-146.1</v>
      </c>
      <c r="BF107" s="8">
        <v>-139.5</v>
      </c>
      <c r="BG107" s="8">
        <v>-152</v>
      </c>
      <c r="BH107" s="8">
        <v>-110.4</v>
      </c>
      <c r="BI107" s="8">
        <v>-60.1</v>
      </c>
      <c r="BJ107" s="8">
        <v>-37.9</v>
      </c>
      <c r="BK107" s="8">
        <v>114.8</v>
      </c>
      <c r="BL107" s="8">
        <v>103.6</v>
      </c>
      <c r="BM107" s="8">
        <v>29.7</v>
      </c>
      <c r="BN107" s="8">
        <v>58</v>
      </c>
      <c r="BO107" s="8">
        <v>47.5</v>
      </c>
      <c r="BP107" s="8">
        <v>33.4</v>
      </c>
      <c r="BQ107" s="8">
        <v>22.4</v>
      </c>
      <c r="BR107" s="8">
        <v>-9.1</v>
      </c>
      <c r="BS107" s="8">
        <v>-42.1</v>
      </c>
      <c r="BT107" s="8">
        <v>-60.7</v>
      </c>
      <c r="BU107" s="8">
        <v>-18.8</v>
      </c>
      <c r="BV107" s="8">
        <v>-42.1</v>
      </c>
      <c r="BW107" s="8">
        <v>-4.4</v>
      </c>
      <c r="BX107" s="8">
        <v>9.4</v>
      </c>
      <c r="BY107" s="8">
        <v>29.9</v>
      </c>
      <c r="BZ107" s="8">
        <v>-58.8</v>
      </c>
      <c r="CA107" s="8">
        <v>-23.2</v>
      </c>
      <c r="CB107" s="8">
        <v>-71.90000000000001</v>
      </c>
      <c r="CC107" s="8">
        <v>-35</v>
      </c>
      <c r="CD107" s="8">
        <v>-32.1</v>
      </c>
      <c r="CE107" s="8">
        <v>-59.2</v>
      </c>
      <c r="CF107" s="8">
        <v>-95.09999999999999</v>
      </c>
      <c r="CG107" s="8">
        <v>-126.1</v>
      </c>
      <c r="CH107" s="8">
        <v>-156.1</v>
      </c>
      <c r="CI107" s="8">
        <v>-142.9</v>
      </c>
      <c r="CJ107" s="8">
        <v>-29.2</v>
      </c>
      <c r="CK107" s="8">
        <v>162.7</v>
      </c>
      <c r="CL107" s="8">
        <v>-27</v>
      </c>
      <c r="CM107" s="8">
        <v>-83.5</v>
      </c>
      <c r="CN107" s="8">
        <v>-20.1</v>
      </c>
      <c r="CO107" s="8">
        <v>33.8</v>
      </c>
      <c r="CP107" s="8">
        <v>88.2</v>
      </c>
      <c r="CQ107" s="8">
        <v>-33.2</v>
      </c>
      <c r="CR107" s="8">
        <v>-128.8</v>
      </c>
      <c r="CS107" s="8">
        <v>-54.7</v>
      </c>
      <c r="CT107" s="8">
        <v>-1.2</v>
      </c>
      <c r="CU107" s="8">
        <v>-162.3</v>
      </c>
      <c r="CV107" s="8">
        <v>-143.9</v>
      </c>
      <c r="CW107" s="8">
        <v>-155.1</v>
      </c>
      <c r="CX107" s="8">
        <v>-132.7</v>
      </c>
      <c r="CY107" s="8">
        <v>-148.2</v>
      </c>
      <c r="CZ107" s="8">
        <v>-151.4</v>
      </c>
      <c r="DA107" s="8">
        <v>-89.09999999999999</v>
      </c>
      <c r="DB107" s="8">
        <v>-142.7</v>
      </c>
      <c r="DC107" s="8">
        <v>-85.90000000000001</v>
      </c>
      <c r="DD107" s="8">
        <v>-16.5</v>
      </c>
      <c r="DE107" s="8">
        <v>-37.2</v>
      </c>
      <c r="DF107" s="8">
        <v>-121.9</v>
      </c>
      <c r="DG107" s="8">
        <v>-223.6</v>
      </c>
      <c r="DH107" s="8">
        <v>-414.9</v>
      </c>
      <c r="DI107" s="8">
        <v>-247.9</v>
      </c>
      <c r="DJ107" s="8">
        <v>-374</v>
      </c>
      <c r="DK107" s="8">
        <v>-291.4</v>
      </c>
      <c r="DL107" s="8">
        <v>-241.3</v>
      </c>
      <c r="DM107" s="8">
        <v>-295</v>
      </c>
      <c r="DN107" s="8">
        <v>-235.4</v>
      </c>
      <c r="DO107" s="8">
        <v>-69.59999999999999</v>
      </c>
      <c r="DP107" s="8">
        <v>-164.9</v>
      </c>
      <c r="DQ107" s="8">
        <v>-176.4</v>
      </c>
      <c r="DR107" s="8">
        <v>-308.4</v>
      </c>
      <c r="DS107" s="8">
        <v>-282.5</v>
      </c>
      <c r="DT107" s="8">
        <v>-312.9</v>
      </c>
      <c r="DU107" s="8">
        <v>-275.2</v>
      </c>
      <c r="DV107" s="8">
        <v>-247.7</v>
      </c>
      <c r="DW107" s="8">
        <v>-232.4</v>
      </c>
      <c r="DX107" s="8">
        <v>-49.7</v>
      </c>
      <c r="DY107" s="8">
        <v>12.3</v>
      </c>
      <c r="DZ107" s="8">
        <v>-77.59999999999999</v>
      </c>
      <c r="EA107" s="8">
        <v>-92.8</v>
      </c>
      <c r="EB107" s="8">
        <v>139.6</v>
      </c>
      <c r="EC107" s="8">
        <v>9</v>
      </c>
      <c r="ED107" s="8">
        <v>-321.6</v>
      </c>
      <c r="EE107" s="8">
        <v>-361.1</v>
      </c>
      <c r="EF107" s="8">
        <v>-415.1</v>
      </c>
      <c r="EG107" s="8">
        <v>-218.4</v>
      </c>
      <c r="EH107" s="8">
        <v>-244.5</v>
      </c>
      <c r="EI107" s="8">
        <v>-41.8</v>
      </c>
      <c r="EJ107" s="8">
        <v>-147.3</v>
      </c>
      <c r="EK107" s="8">
        <v>-87</v>
      </c>
      <c r="EL107" s="8">
        <v>-111.1</v>
      </c>
      <c r="EM107" s="8">
        <v>-32.8</v>
      </c>
      <c r="EN107" s="8">
        <v>-78.7</v>
      </c>
      <c r="EO107" s="8">
        <v>10.4</v>
      </c>
      <c r="EP107" s="8">
        <v>-155</v>
      </c>
      <c r="EQ107" s="8">
        <v>-450.4</v>
      </c>
      <c r="ER107" s="8">
        <v>-12.3</v>
      </c>
      <c r="ES107" s="8">
        <v>-141</v>
      </c>
      <c r="ET107" s="8">
        <v>278.7</v>
      </c>
      <c r="EU107" s="8">
        <v>228.8</v>
      </c>
      <c r="EV107" s="8">
        <v>89.3</v>
      </c>
    </row>
    <row r="108" spans="1:153">
      <c r="A108" s="7">
        <v>35.825</v>
      </c>
      <c r="U108" s="8">
        <v>-17.4</v>
      </c>
      <c r="V108" s="8">
        <v>-24.1</v>
      </c>
      <c r="W108" s="8">
        <v>-5</v>
      </c>
      <c r="X108" s="8">
        <v>5.8</v>
      </c>
      <c r="Y108" s="8">
        <v>15.8</v>
      </c>
      <c r="Z108" s="8">
        <v>-23.6</v>
      </c>
      <c r="AA108" s="8">
        <v>-45.4</v>
      </c>
      <c r="AB108" s="8">
        <v>-80.09999999999999</v>
      </c>
      <c r="AC108" s="8">
        <v>-54.1</v>
      </c>
      <c r="AD108" s="8">
        <v>-34.1</v>
      </c>
      <c r="AE108" s="8">
        <v>2.3</v>
      </c>
      <c r="AF108" s="8">
        <v>8.1</v>
      </c>
      <c r="AG108" s="8">
        <v>-36.3</v>
      </c>
      <c r="AH108" s="8">
        <v>-80.3</v>
      </c>
      <c r="AI108" s="8">
        <v>-108.8</v>
      </c>
      <c r="AJ108" s="8">
        <v>-121.9</v>
      </c>
      <c r="AK108" s="8">
        <v>-66.09999999999999</v>
      </c>
      <c r="AL108" s="8">
        <v>-176.1</v>
      </c>
      <c r="AM108" s="8">
        <v>-79.59999999999999</v>
      </c>
      <c r="AN108" s="8">
        <v>-164.8</v>
      </c>
      <c r="AO108" s="8">
        <v>-120.7</v>
      </c>
      <c r="AP108" s="8">
        <v>-58.4</v>
      </c>
      <c r="AQ108" s="8">
        <v>-39.6</v>
      </c>
      <c r="AR108" s="8">
        <v>-31.8</v>
      </c>
      <c r="AS108" s="8">
        <v>-6.2</v>
      </c>
      <c r="AT108" s="8">
        <v>131.9</v>
      </c>
      <c r="AU108" s="8">
        <v>113.8</v>
      </c>
      <c r="AV108" s="8">
        <v>94.59999999999999</v>
      </c>
      <c r="AW108" s="8">
        <v>-37.5</v>
      </c>
      <c r="AX108" s="8">
        <v>-38</v>
      </c>
      <c r="AY108" s="8">
        <v>-18.7</v>
      </c>
      <c r="AZ108" s="8">
        <v>-33.5</v>
      </c>
      <c r="BA108" s="8">
        <v>-65</v>
      </c>
      <c r="BB108" s="8">
        <v>-97.59999999999999</v>
      </c>
      <c r="BC108" s="8">
        <v>-117.2</v>
      </c>
      <c r="BD108" s="8">
        <v>-114.4</v>
      </c>
      <c r="BE108" s="8">
        <v>-116.3</v>
      </c>
      <c r="BF108" s="8">
        <v>-163</v>
      </c>
      <c r="BG108" s="8">
        <v>-115.1</v>
      </c>
      <c r="BH108" s="8">
        <v>-103</v>
      </c>
      <c r="BI108" s="8">
        <v>-59.5</v>
      </c>
      <c r="BJ108" s="8">
        <v>13.7</v>
      </c>
      <c r="BK108" s="8">
        <v>100.6</v>
      </c>
      <c r="BL108" s="8">
        <v>200.8</v>
      </c>
      <c r="BM108" s="8">
        <v>145.9</v>
      </c>
      <c r="BN108" s="8">
        <v>118</v>
      </c>
      <c r="BO108" s="8">
        <v>89.40000000000001</v>
      </c>
      <c r="BP108" s="8">
        <v>51.1</v>
      </c>
      <c r="BQ108" s="8">
        <v>48.6</v>
      </c>
      <c r="BR108" s="8">
        <v>36.1</v>
      </c>
      <c r="BS108" s="8">
        <v>59.2</v>
      </c>
      <c r="BT108" s="8">
        <v>24.6</v>
      </c>
      <c r="BU108" s="8">
        <v>35.8</v>
      </c>
      <c r="BV108" s="8">
        <v>3.8</v>
      </c>
      <c r="BW108" s="8">
        <v>-36.4</v>
      </c>
      <c r="BX108" s="8">
        <v>-4.3</v>
      </c>
      <c r="BY108" s="8">
        <v>18.9</v>
      </c>
      <c r="BZ108" s="8">
        <v>-12.2</v>
      </c>
      <c r="CA108" s="8">
        <v>-73.8</v>
      </c>
      <c r="CB108" s="8">
        <v>-40.1</v>
      </c>
      <c r="CC108" s="8">
        <v>-58.9</v>
      </c>
      <c r="CD108" s="8">
        <v>-58</v>
      </c>
      <c r="CE108" s="8">
        <v>2.1</v>
      </c>
      <c r="CF108" s="8">
        <v>-10</v>
      </c>
      <c r="CG108" s="8">
        <v>-89.90000000000001</v>
      </c>
      <c r="CH108" s="8">
        <v>-82.40000000000001</v>
      </c>
      <c r="CI108" s="8">
        <v>-89.90000000000001</v>
      </c>
      <c r="CJ108" s="8">
        <v>-131.4</v>
      </c>
      <c r="CK108" s="8">
        <v>-27.6</v>
      </c>
      <c r="CL108" s="8">
        <v>-7.8</v>
      </c>
      <c r="CM108" s="8">
        <v>34</v>
      </c>
      <c r="CN108" s="8">
        <v>178.6</v>
      </c>
      <c r="CO108" s="8">
        <v>237.5</v>
      </c>
      <c r="CP108" s="8">
        <v>362.1</v>
      </c>
      <c r="CQ108" s="8">
        <v>110.2</v>
      </c>
      <c r="CR108" s="8">
        <v>60.6</v>
      </c>
      <c r="CS108" s="8">
        <v>11.1</v>
      </c>
      <c r="CT108" s="8">
        <v>302.9</v>
      </c>
      <c r="CU108" s="8">
        <v>131.2</v>
      </c>
      <c r="CV108" s="8">
        <v>-108.6</v>
      </c>
      <c r="CW108" s="8">
        <v>-98.40000000000001</v>
      </c>
      <c r="CX108" s="8">
        <v>-204.6</v>
      </c>
      <c r="CY108" s="8">
        <v>-142.8</v>
      </c>
      <c r="CZ108" s="8">
        <v>-165.2</v>
      </c>
      <c r="DA108" s="8">
        <v>-176.6</v>
      </c>
      <c r="DB108" s="8">
        <v>-133.5</v>
      </c>
      <c r="DC108" s="8">
        <v>61.3</v>
      </c>
      <c r="DD108" s="8">
        <v>254.9</v>
      </c>
      <c r="DE108" s="8">
        <v>132.9</v>
      </c>
      <c r="DF108" s="8">
        <v>-48</v>
      </c>
      <c r="DG108" s="8">
        <v>-125.2</v>
      </c>
      <c r="DH108" s="8">
        <v>-186.3</v>
      </c>
      <c r="DI108" s="8">
        <v>-217.2</v>
      </c>
      <c r="DJ108" s="8">
        <v>-277.8</v>
      </c>
      <c r="DK108" s="8">
        <v>-291.8</v>
      </c>
      <c r="DL108" s="8">
        <v>-300</v>
      </c>
      <c r="DM108" s="8">
        <v>-364</v>
      </c>
      <c r="DN108" s="8">
        <v>-371.1</v>
      </c>
      <c r="DO108" s="8">
        <v>-361.9</v>
      </c>
      <c r="DP108" s="8">
        <v>-301.5</v>
      </c>
      <c r="DQ108" s="8">
        <v>-264.3</v>
      </c>
      <c r="DR108" s="8">
        <v>-256.3</v>
      </c>
      <c r="DS108" s="8">
        <v>-263.9</v>
      </c>
      <c r="DT108" s="8">
        <v>-262.9</v>
      </c>
      <c r="DU108" s="8">
        <v>-254.6</v>
      </c>
      <c r="DV108" s="8">
        <v>-297.7</v>
      </c>
      <c r="DW108" s="8">
        <v>-173.4</v>
      </c>
      <c r="DX108" s="8">
        <v>-35</v>
      </c>
      <c r="DY108" s="8">
        <v>-111.4</v>
      </c>
      <c r="DZ108" s="8">
        <v>-6</v>
      </c>
      <c r="EA108" s="8">
        <v>195.2</v>
      </c>
      <c r="EB108" s="8">
        <v>72.90000000000001</v>
      </c>
      <c r="EC108" s="8">
        <v>-142</v>
      </c>
      <c r="ED108" s="8">
        <v>-31</v>
      </c>
      <c r="EE108" s="8">
        <v>-373.7</v>
      </c>
      <c r="EF108" s="8">
        <v>-346</v>
      </c>
      <c r="EG108" s="8">
        <v>-247.9</v>
      </c>
      <c r="EH108" s="8">
        <v>-143.2</v>
      </c>
      <c r="EI108" s="8">
        <v>117.1</v>
      </c>
      <c r="EJ108" s="8">
        <v>-127.4</v>
      </c>
      <c r="EK108" s="8">
        <v>-100.2</v>
      </c>
      <c r="EL108" s="8">
        <v>-94.59999999999999</v>
      </c>
      <c r="EM108" s="8">
        <v>-178</v>
      </c>
      <c r="EN108" s="8">
        <v>-132.1</v>
      </c>
      <c r="EO108" s="8">
        <v>-93.3</v>
      </c>
      <c r="EP108" s="8">
        <v>-107.9</v>
      </c>
      <c r="EQ108" s="8">
        <v>-10.7</v>
      </c>
      <c r="ER108" s="8">
        <v>-7.1</v>
      </c>
      <c r="ES108" s="8">
        <v>169.8</v>
      </c>
      <c r="ET108" s="8">
        <v>98.5</v>
      </c>
      <c r="EU108" s="8">
        <v>-87</v>
      </c>
      <c r="EV108" s="8">
        <v>-126.5</v>
      </c>
      <c r="EW108" s="8">
        <v>-104.7</v>
      </c>
    </row>
    <row r="109" spans="1:153">
      <c r="A109" s="7">
        <v>35.85</v>
      </c>
      <c r="U109" s="8">
        <v>160.2</v>
      </c>
      <c r="V109" s="8">
        <v>-50</v>
      </c>
      <c r="W109" s="8">
        <v>56.1</v>
      </c>
      <c r="X109" s="8">
        <v>88</v>
      </c>
      <c r="Y109" s="8">
        <v>72.90000000000001</v>
      </c>
      <c r="Z109" s="8">
        <v>90.3</v>
      </c>
      <c r="AA109" s="8">
        <v>-1.6</v>
      </c>
      <c r="AB109" s="8">
        <v>-60.5</v>
      </c>
      <c r="AC109" s="8">
        <v>-55.6</v>
      </c>
      <c r="AD109" s="8">
        <v>-37.6</v>
      </c>
      <c r="AE109" s="8">
        <v>-60.6</v>
      </c>
      <c r="AF109" s="8">
        <v>-43.4</v>
      </c>
      <c r="AG109" s="8">
        <v>-71.8</v>
      </c>
      <c r="AH109" s="8">
        <v>-115.6</v>
      </c>
      <c r="AI109" s="8">
        <v>-125</v>
      </c>
      <c r="AJ109" s="8">
        <v>-118.6</v>
      </c>
      <c r="AK109" s="8">
        <v>-134.7</v>
      </c>
      <c r="AL109" s="8">
        <v>-33</v>
      </c>
      <c r="AM109" s="8">
        <v>-147.7</v>
      </c>
      <c r="AN109" s="8">
        <v>-151.8</v>
      </c>
      <c r="AO109" s="8">
        <v>-40.6</v>
      </c>
      <c r="AP109" s="8">
        <v>-139.2</v>
      </c>
      <c r="AQ109" s="8">
        <v>-90.09999999999999</v>
      </c>
      <c r="AR109" s="8">
        <v>-64.5</v>
      </c>
      <c r="AS109" s="8">
        <v>-83.09999999999999</v>
      </c>
      <c r="AT109" s="8">
        <v>-107.9</v>
      </c>
      <c r="AU109" s="8">
        <v>-87.59999999999999</v>
      </c>
      <c r="AV109" s="8">
        <v>-60.1</v>
      </c>
      <c r="AW109" s="8">
        <v>-62.2</v>
      </c>
      <c r="AX109" s="8">
        <v>-65.90000000000001</v>
      </c>
      <c r="AY109" s="8">
        <v>-47.6</v>
      </c>
      <c r="AZ109" s="8">
        <v>56.6</v>
      </c>
      <c r="BA109" s="8">
        <v>-23.9</v>
      </c>
      <c r="BB109" s="8">
        <v>-36.5</v>
      </c>
      <c r="BC109" s="8">
        <v>-88</v>
      </c>
      <c r="BD109" s="8">
        <v>-87.3</v>
      </c>
      <c r="BE109" s="8">
        <v>-66.3</v>
      </c>
      <c r="BF109" s="8">
        <v>-100.3</v>
      </c>
      <c r="BG109" s="8">
        <v>-96.40000000000001</v>
      </c>
      <c r="BH109" s="8">
        <v>-84.2</v>
      </c>
      <c r="BI109" s="8">
        <v>-42.9</v>
      </c>
      <c r="BJ109" s="8">
        <v>6.7</v>
      </c>
      <c r="BK109" s="8">
        <v>27.1</v>
      </c>
      <c r="BL109" s="8">
        <v>154.3</v>
      </c>
      <c r="BM109" s="8">
        <v>200.5</v>
      </c>
      <c r="BN109" s="8">
        <v>87.2</v>
      </c>
      <c r="BO109" s="8">
        <v>113.9</v>
      </c>
      <c r="BP109" s="8">
        <v>94.40000000000001</v>
      </c>
      <c r="BQ109" s="8">
        <v>76.3</v>
      </c>
      <c r="BR109" s="8">
        <v>51.6</v>
      </c>
      <c r="BS109" s="8">
        <v>47</v>
      </c>
      <c r="BT109" s="8">
        <v>26.3</v>
      </c>
      <c r="BU109" s="8">
        <v>8.5</v>
      </c>
      <c r="BV109" s="8">
        <v>-43.8</v>
      </c>
      <c r="BW109" s="8">
        <v>-30.4</v>
      </c>
      <c r="BX109" s="8">
        <v>-8.6</v>
      </c>
      <c r="BY109" s="8">
        <v>35.4</v>
      </c>
      <c r="BZ109" s="8">
        <v>17</v>
      </c>
      <c r="CA109" s="8">
        <v>-32.8</v>
      </c>
      <c r="CB109" s="8">
        <v>-49.4</v>
      </c>
      <c r="CC109" s="8">
        <v>-41.1</v>
      </c>
      <c r="CD109" s="8">
        <v>-31.6</v>
      </c>
      <c r="CE109" s="8">
        <v>-45.8</v>
      </c>
      <c r="CF109" s="8">
        <v>1.4</v>
      </c>
      <c r="CG109" s="8">
        <v>22.4</v>
      </c>
      <c r="CH109" s="8">
        <v>22.5</v>
      </c>
      <c r="CI109" s="8">
        <v>36.3</v>
      </c>
      <c r="CJ109" s="8">
        <v>89.90000000000001</v>
      </c>
      <c r="CK109" s="8">
        <v>114.5</v>
      </c>
      <c r="CL109" s="8">
        <v>137.1</v>
      </c>
      <c r="CM109" s="8">
        <v>-2</v>
      </c>
      <c r="CN109" s="8">
        <v>-255.5</v>
      </c>
      <c r="CO109" s="8">
        <v>-352.5</v>
      </c>
      <c r="CP109" s="8">
        <v>-44.4</v>
      </c>
      <c r="CQ109" s="8">
        <v>-118.4</v>
      </c>
      <c r="CR109" s="8">
        <v>-146.6</v>
      </c>
      <c r="CS109" s="8">
        <v>-208</v>
      </c>
      <c r="CT109" s="8">
        <v>-385.5</v>
      </c>
      <c r="CU109" s="8">
        <v>-122.1</v>
      </c>
      <c r="CV109" s="8">
        <v>-98.90000000000001</v>
      </c>
      <c r="CW109" s="8">
        <v>-133.6</v>
      </c>
      <c r="CX109" s="8">
        <v>-184.8</v>
      </c>
      <c r="CY109" s="8">
        <v>-115.5</v>
      </c>
      <c r="CZ109" s="8">
        <v>-150.6</v>
      </c>
      <c r="DA109" s="8">
        <v>-183</v>
      </c>
      <c r="DB109" s="8">
        <v>-153</v>
      </c>
      <c r="DC109" s="8">
        <v>-56.8</v>
      </c>
      <c r="DD109" s="8">
        <v>137.3</v>
      </c>
      <c r="DE109" s="8">
        <v>100.3</v>
      </c>
      <c r="DF109" s="8">
        <v>-70.3</v>
      </c>
      <c r="DG109" s="8">
        <v>-109.6</v>
      </c>
      <c r="DH109" s="8">
        <v>2.1</v>
      </c>
      <c r="DI109" s="8">
        <v>-61.1</v>
      </c>
      <c r="DJ109" s="8">
        <v>-125.3</v>
      </c>
      <c r="DK109" s="8">
        <v>-179.9</v>
      </c>
      <c r="DL109" s="8">
        <v>-186.5</v>
      </c>
      <c r="DM109" s="8">
        <v>-192.3</v>
      </c>
      <c r="DN109" s="8">
        <v>-184.7</v>
      </c>
      <c r="DO109" s="8">
        <v>-205.5</v>
      </c>
      <c r="DP109" s="8">
        <v>-198.5</v>
      </c>
      <c r="DQ109" s="8">
        <v>-175.7</v>
      </c>
      <c r="DR109" s="8">
        <v>-175</v>
      </c>
      <c r="DS109" s="8">
        <v>-186.3</v>
      </c>
      <c r="DT109" s="8">
        <v>-209.2</v>
      </c>
      <c r="DU109" s="8">
        <v>-219.4</v>
      </c>
      <c r="DV109" s="8">
        <v>-243.2</v>
      </c>
      <c r="DW109" s="8">
        <v>-337.1</v>
      </c>
      <c r="DX109" s="8">
        <v>-484.3</v>
      </c>
      <c r="DY109" s="8">
        <v>-175.6</v>
      </c>
      <c r="DZ109" s="8">
        <v>-304.4</v>
      </c>
      <c r="EA109" s="8">
        <v>-58.4</v>
      </c>
      <c r="EB109" s="8">
        <v>-481.5</v>
      </c>
      <c r="EC109" s="8">
        <v>-398.3</v>
      </c>
      <c r="ED109" s="8">
        <v>-395</v>
      </c>
      <c r="EE109" s="8">
        <v>-310.5</v>
      </c>
      <c r="EF109" s="8">
        <v>-281.2</v>
      </c>
      <c r="EG109" s="8">
        <v>-242.8</v>
      </c>
      <c r="EH109" s="8">
        <v>102.5</v>
      </c>
      <c r="EI109" s="8">
        <v>200</v>
      </c>
      <c r="EJ109" s="8">
        <v>-83.2</v>
      </c>
      <c r="EK109" s="8">
        <v>-141</v>
      </c>
      <c r="EL109" s="8">
        <v>-102.8</v>
      </c>
      <c r="EM109" s="8">
        <v>-96.59999999999999</v>
      </c>
      <c r="EN109" s="8">
        <v>-64.09999999999999</v>
      </c>
      <c r="EO109" s="8">
        <v>-27.8</v>
      </c>
      <c r="EP109" s="8">
        <v>-16.3</v>
      </c>
      <c r="EQ109" s="8">
        <v>3.2</v>
      </c>
      <c r="ER109" s="8">
        <v>61.5</v>
      </c>
      <c r="ES109" s="8">
        <v>187</v>
      </c>
      <c r="ET109" s="8">
        <v>166.2</v>
      </c>
      <c r="EU109" s="8">
        <v>-85.90000000000001</v>
      </c>
      <c r="EV109" s="8">
        <v>218.5</v>
      </c>
      <c r="EW109" s="8">
        <v>50.2</v>
      </c>
    </row>
    <row r="110" spans="1:153">
      <c r="A110" s="7">
        <v>35.875</v>
      </c>
      <c r="U110" s="8">
        <v>79.2</v>
      </c>
      <c r="V110" s="8">
        <v>87.59999999999999</v>
      </c>
      <c r="W110" s="8">
        <v>33.8</v>
      </c>
      <c r="X110" s="8">
        <v>154.6</v>
      </c>
      <c r="Y110" s="8">
        <v>30.7</v>
      </c>
      <c r="Z110" s="8">
        <v>345.5</v>
      </c>
      <c r="AA110" s="8">
        <v>-31.8</v>
      </c>
      <c r="AB110" s="8">
        <v>-82.5</v>
      </c>
      <c r="AC110" s="8">
        <v>-48.8</v>
      </c>
      <c r="AD110" s="8">
        <v>-77.59999999999999</v>
      </c>
      <c r="AE110" s="8">
        <v>-137.6</v>
      </c>
      <c r="AF110" s="8">
        <v>-155.5</v>
      </c>
      <c r="AG110" s="8">
        <v>-147.5</v>
      </c>
      <c r="AH110" s="8">
        <v>-133.6</v>
      </c>
      <c r="AI110" s="8">
        <v>-118.4</v>
      </c>
      <c r="AJ110" s="8">
        <v>-124.5</v>
      </c>
      <c r="AK110" s="8">
        <v>-99.2</v>
      </c>
      <c r="AL110" s="8">
        <v>-85.59999999999999</v>
      </c>
      <c r="AM110" s="8">
        <v>-103</v>
      </c>
      <c r="AN110" s="8">
        <v>-150.2</v>
      </c>
      <c r="AO110" s="8">
        <v>-162.5</v>
      </c>
      <c r="AP110" s="8">
        <v>-83.2</v>
      </c>
      <c r="AQ110" s="8">
        <v>-114.8</v>
      </c>
      <c r="AR110" s="8">
        <v>-93.59999999999999</v>
      </c>
      <c r="AS110" s="8">
        <v>-50</v>
      </c>
      <c r="AT110" s="8">
        <v>-85.90000000000001</v>
      </c>
      <c r="AU110" s="8">
        <v>-96</v>
      </c>
      <c r="AV110" s="8">
        <v>-97.7</v>
      </c>
      <c r="AW110" s="8">
        <v>-52.8</v>
      </c>
      <c r="AX110" s="8">
        <v>-61.8</v>
      </c>
      <c r="AY110" s="8">
        <v>-69.5</v>
      </c>
      <c r="AZ110" s="8">
        <v>39.9</v>
      </c>
      <c r="BA110" s="8">
        <v>57.6</v>
      </c>
      <c r="BB110" s="8">
        <v>-30.9</v>
      </c>
      <c r="BC110" s="8">
        <v>-97.5</v>
      </c>
      <c r="BD110" s="8">
        <v>-95.59999999999999</v>
      </c>
      <c r="BE110" s="8">
        <v>-54.2</v>
      </c>
      <c r="BF110" s="8">
        <v>-61.7</v>
      </c>
      <c r="BG110" s="8">
        <v>-55.7</v>
      </c>
      <c r="BH110" s="8">
        <v>-55.7</v>
      </c>
      <c r="BI110" s="8">
        <v>-10.9</v>
      </c>
      <c r="BJ110" s="8">
        <v>-15.1</v>
      </c>
      <c r="BK110" s="8">
        <v>-9.4</v>
      </c>
      <c r="BL110" s="8">
        <v>-0.4</v>
      </c>
      <c r="BM110" s="8">
        <v>49</v>
      </c>
      <c r="BN110" s="8">
        <v>101</v>
      </c>
      <c r="BO110" s="8">
        <v>180.3</v>
      </c>
      <c r="BP110" s="8">
        <v>139.6</v>
      </c>
      <c r="BQ110" s="8">
        <v>118.4</v>
      </c>
      <c r="BR110" s="8">
        <v>84.40000000000001</v>
      </c>
      <c r="BS110" s="8">
        <v>13.5</v>
      </c>
      <c r="BT110" s="8">
        <v>6.7</v>
      </c>
      <c r="BU110" s="8">
        <v>-22.1</v>
      </c>
      <c r="BV110" s="8">
        <v>-17.1</v>
      </c>
      <c r="BW110" s="8">
        <v>-11.6</v>
      </c>
      <c r="BX110" s="8">
        <v>-13.3</v>
      </c>
      <c r="BY110" s="8">
        <v>98.3</v>
      </c>
      <c r="BZ110" s="8">
        <v>0.3</v>
      </c>
      <c r="CA110" s="8">
        <v>23.8</v>
      </c>
      <c r="CB110" s="8">
        <v>29</v>
      </c>
      <c r="CC110" s="8">
        <v>12.5</v>
      </c>
      <c r="CD110" s="8">
        <v>-51.9</v>
      </c>
      <c r="CE110" s="8">
        <v>-57</v>
      </c>
      <c r="CF110" s="8">
        <v>-29.6</v>
      </c>
      <c r="CG110" s="8">
        <v>90.40000000000001</v>
      </c>
      <c r="CH110" s="8">
        <v>211.9</v>
      </c>
      <c r="CI110" s="8">
        <v>292.4</v>
      </c>
      <c r="CJ110" s="8">
        <v>221.3</v>
      </c>
      <c r="CK110" s="8">
        <v>7.8</v>
      </c>
      <c r="CL110" s="8">
        <v>-204</v>
      </c>
      <c r="CM110" s="8">
        <v>-236.3</v>
      </c>
      <c r="CN110" s="8">
        <v>-154.7</v>
      </c>
      <c r="CO110" s="8">
        <v>-187</v>
      </c>
      <c r="CP110" s="8">
        <v>-74.59999999999999</v>
      </c>
      <c r="CQ110" s="8">
        <v>-128.9</v>
      </c>
      <c r="CR110" s="8">
        <v>-61.4</v>
      </c>
      <c r="CS110" s="8">
        <v>-77.90000000000001</v>
      </c>
      <c r="CT110" s="8">
        <v>-122.3</v>
      </c>
      <c r="CU110" s="8">
        <v>-168.7</v>
      </c>
      <c r="CV110" s="8">
        <v>-59.7</v>
      </c>
      <c r="CW110" s="8">
        <v>-3.4</v>
      </c>
      <c r="CX110" s="8">
        <v>-97.5</v>
      </c>
      <c r="CY110" s="8">
        <v>-94</v>
      </c>
      <c r="CZ110" s="8">
        <v>-138</v>
      </c>
      <c r="DA110" s="8">
        <v>-178.8</v>
      </c>
      <c r="DB110" s="8">
        <v>-182</v>
      </c>
      <c r="DC110" s="8">
        <v>-180</v>
      </c>
      <c r="DD110" s="8">
        <v>-194</v>
      </c>
      <c r="DE110" s="8">
        <v>-147.4</v>
      </c>
      <c r="DF110" s="8">
        <v>-152.3</v>
      </c>
      <c r="DG110" s="8">
        <v>-168.9</v>
      </c>
      <c r="DH110" s="8">
        <v>-214.6</v>
      </c>
      <c r="DI110" s="8">
        <v>-184.9</v>
      </c>
      <c r="DJ110" s="8">
        <v>-169.4</v>
      </c>
      <c r="DK110" s="8">
        <v>-147</v>
      </c>
      <c r="DL110" s="8">
        <v>-94.90000000000001</v>
      </c>
      <c r="DM110" s="8">
        <v>-127.9</v>
      </c>
      <c r="DN110" s="8">
        <v>-125.8</v>
      </c>
      <c r="DO110" s="8">
        <v>-124.1</v>
      </c>
      <c r="DP110" s="8">
        <v>-65.09999999999999</v>
      </c>
      <c r="DQ110" s="8">
        <v>14.9</v>
      </c>
      <c r="DR110" s="8">
        <v>0.8</v>
      </c>
      <c r="DS110" s="8">
        <v>-64.90000000000001</v>
      </c>
      <c r="DT110" s="8">
        <v>-134.4</v>
      </c>
      <c r="DU110" s="8">
        <v>-178.6</v>
      </c>
      <c r="DV110" s="8">
        <v>-169.8</v>
      </c>
      <c r="DW110" s="8">
        <v>-220.4</v>
      </c>
      <c r="DX110" s="8">
        <v>-290.3</v>
      </c>
      <c r="DY110" s="8">
        <v>-475.9</v>
      </c>
      <c r="DZ110" s="8">
        <v>-214.9</v>
      </c>
      <c r="EA110" s="8">
        <v>-338.4</v>
      </c>
      <c r="EB110" s="8">
        <v>-349.1</v>
      </c>
      <c r="EC110" s="8">
        <v>-290.8</v>
      </c>
      <c r="ED110" s="8">
        <v>-258.8</v>
      </c>
      <c r="EE110" s="8">
        <v>-231.9</v>
      </c>
      <c r="EF110" s="8">
        <v>-240</v>
      </c>
      <c r="EG110" s="8">
        <v>-212.7</v>
      </c>
      <c r="EH110" s="8">
        <v>-129.5</v>
      </c>
      <c r="EI110" s="8">
        <v>101.7</v>
      </c>
      <c r="EJ110" s="8">
        <v>-145.6</v>
      </c>
      <c r="EK110" s="8">
        <v>-200.4</v>
      </c>
      <c r="EL110" s="8">
        <v>70.2</v>
      </c>
      <c r="EM110" s="8">
        <v>-67.2</v>
      </c>
      <c r="EN110" s="8">
        <v>-6.9</v>
      </c>
      <c r="EO110" s="8">
        <v>2.7</v>
      </c>
      <c r="EP110" s="8">
        <v>-90.7</v>
      </c>
      <c r="EQ110" s="8">
        <v>-78.90000000000001</v>
      </c>
      <c r="ER110" s="8">
        <v>11.8</v>
      </c>
      <c r="ES110" s="8">
        <v>-23.1</v>
      </c>
      <c r="ET110" s="8">
        <v>-60.2</v>
      </c>
      <c r="EU110" s="8">
        <v>-30.9</v>
      </c>
      <c r="EV110" s="8">
        <v>-14.3</v>
      </c>
      <c r="EW110" s="8">
        <v>60.5</v>
      </c>
    </row>
    <row r="111" spans="1:153">
      <c r="A111" s="7">
        <v>35.9</v>
      </c>
      <c r="U111" s="8">
        <v>-113.6</v>
      </c>
      <c r="V111" s="8">
        <v>-121.5</v>
      </c>
      <c r="W111" s="8">
        <v>-156.5</v>
      </c>
      <c r="X111" s="8">
        <v>-191.1</v>
      </c>
      <c r="Y111" s="8">
        <v>-195.1</v>
      </c>
      <c r="Z111" s="8">
        <v>-197.9</v>
      </c>
      <c r="AA111" s="8">
        <v>-150.8</v>
      </c>
      <c r="AB111" s="8">
        <v>-147.6</v>
      </c>
      <c r="AC111" s="8">
        <v>-149.4</v>
      </c>
      <c r="AD111" s="8">
        <v>-122.3</v>
      </c>
      <c r="AE111" s="8">
        <v>-149.3</v>
      </c>
      <c r="AF111" s="8">
        <v>-173.1</v>
      </c>
      <c r="AG111" s="8">
        <v>-183.2</v>
      </c>
      <c r="AH111" s="8">
        <v>-168.6</v>
      </c>
      <c r="AI111" s="8">
        <v>-168.3</v>
      </c>
      <c r="AJ111" s="8">
        <v>-180.5</v>
      </c>
      <c r="AK111" s="8">
        <v>-73.8</v>
      </c>
      <c r="AL111" s="8">
        <v>-20.1</v>
      </c>
      <c r="AM111" s="8">
        <v>-48.2</v>
      </c>
      <c r="AN111" s="8">
        <v>-149.7</v>
      </c>
      <c r="AO111" s="8">
        <v>-149.6</v>
      </c>
      <c r="AP111" s="8">
        <v>-213.5</v>
      </c>
      <c r="AQ111" s="8">
        <v>-90</v>
      </c>
      <c r="AR111" s="8">
        <v>-80.2</v>
      </c>
      <c r="AS111" s="8">
        <v>-87.90000000000001</v>
      </c>
      <c r="AT111" s="8">
        <v>-83.8</v>
      </c>
      <c r="AU111" s="8">
        <v>-76.40000000000001</v>
      </c>
      <c r="AV111" s="8">
        <v>-74.40000000000001</v>
      </c>
      <c r="AW111" s="8">
        <v>-84.5</v>
      </c>
      <c r="AX111" s="8">
        <v>-81</v>
      </c>
      <c r="AY111" s="8">
        <v>-80.7</v>
      </c>
      <c r="AZ111" s="8">
        <v>-12.6</v>
      </c>
      <c r="BA111" s="8">
        <v>7.4</v>
      </c>
      <c r="BB111" s="8">
        <v>95.8</v>
      </c>
      <c r="BC111" s="8">
        <v>-67.40000000000001</v>
      </c>
      <c r="BD111" s="8">
        <v>-98.5</v>
      </c>
      <c r="BE111" s="8">
        <v>-116.8</v>
      </c>
      <c r="BF111" s="8">
        <v>-115.2</v>
      </c>
      <c r="BG111" s="8">
        <v>-86.09999999999999</v>
      </c>
      <c r="BH111" s="8">
        <v>-69</v>
      </c>
      <c r="BI111" s="8">
        <v>-37.9</v>
      </c>
      <c r="BJ111" s="8">
        <v>-10.1</v>
      </c>
      <c r="BK111" s="8">
        <v>-39.4</v>
      </c>
      <c r="BL111" s="8">
        <v>-97.7</v>
      </c>
      <c r="BM111" s="8">
        <v>5.3</v>
      </c>
      <c r="BN111" s="8">
        <v>14.9</v>
      </c>
      <c r="BO111" s="8">
        <v>-60.1</v>
      </c>
      <c r="BP111" s="8">
        <v>-30.1</v>
      </c>
      <c r="BQ111" s="8">
        <v>21.6</v>
      </c>
      <c r="BR111" s="8">
        <v>5.7</v>
      </c>
      <c r="BS111" s="8">
        <v>-29.2</v>
      </c>
      <c r="BT111" s="8">
        <v>-34.6</v>
      </c>
      <c r="BU111" s="8">
        <v>18.8</v>
      </c>
      <c r="BV111" s="8">
        <v>33.4</v>
      </c>
      <c r="BW111" s="8">
        <v>40.3</v>
      </c>
      <c r="BX111" s="8">
        <v>81.7</v>
      </c>
      <c r="BY111" s="8">
        <v>-7</v>
      </c>
      <c r="BZ111" s="8">
        <v>-9.5</v>
      </c>
      <c r="CA111" s="8">
        <v>78.90000000000001</v>
      </c>
      <c r="CB111" s="8">
        <v>-9.1</v>
      </c>
      <c r="CC111" s="8">
        <v>8.4</v>
      </c>
      <c r="CD111" s="8">
        <v>77.3</v>
      </c>
      <c r="CE111" s="8">
        <v>-59.4</v>
      </c>
      <c r="CF111" s="8">
        <v>-39.2</v>
      </c>
      <c r="CG111" s="8">
        <v>181.1</v>
      </c>
      <c r="CH111" s="8">
        <v>251.3</v>
      </c>
      <c r="CI111" s="8">
        <v>259.5</v>
      </c>
      <c r="CJ111" s="8">
        <v>216.1</v>
      </c>
      <c r="CK111" s="8">
        <v>-88.3</v>
      </c>
      <c r="CL111" s="8">
        <v>-269.8</v>
      </c>
      <c r="CM111" s="8">
        <v>-244</v>
      </c>
      <c r="CN111" s="8">
        <v>-124.7</v>
      </c>
      <c r="CO111" s="8">
        <v>-95.8</v>
      </c>
      <c r="CP111" s="8">
        <v>-112.4</v>
      </c>
      <c r="CQ111" s="8">
        <v>-124.3</v>
      </c>
      <c r="CR111" s="8">
        <v>-95.5</v>
      </c>
      <c r="CS111" s="8">
        <v>-84.7</v>
      </c>
      <c r="CT111" s="8">
        <v>-80.3</v>
      </c>
      <c r="CU111" s="8">
        <v>-75.2</v>
      </c>
      <c r="CV111" s="8">
        <v>-62.3</v>
      </c>
      <c r="CW111" s="8">
        <v>-60.8</v>
      </c>
      <c r="CX111" s="8">
        <v>41.1</v>
      </c>
      <c r="CY111" s="8">
        <v>56.6</v>
      </c>
      <c r="CZ111" s="8">
        <v>-160.3</v>
      </c>
      <c r="DA111" s="8">
        <v>-178.9</v>
      </c>
      <c r="DB111" s="8">
        <v>-179.2</v>
      </c>
      <c r="DC111" s="8">
        <v>-124.9</v>
      </c>
      <c r="DD111" s="8">
        <v>-169.8</v>
      </c>
      <c r="DE111" s="8">
        <v>-173.1</v>
      </c>
      <c r="DF111" s="8">
        <v>-126.8</v>
      </c>
      <c r="DG111" s="8">
        <v>-100.1</v>
      </c>
      <c r="DH111" s="8">
        <v>-104.1</v>
      </c>
      <c r="DI111" s="8">
        <v>-64.3</v>
      </c>
      <c r="DJ111" s="8">
        <v>-58.3</v>
      </c>
      <c r="DK111" s="8">
        <v>-45.6</v>
      </c>
      <c r="DL111" s="8">
        <v>12</v>
      </c>
      <c r="DM111" s="8">
        <v>-44.4</v>
      </c>
      <c r="DN111" s="8">
        <v>-61.7</v>
      </c>
      <c r="DO111" s="8">
        <v>-9.199999999999999</v>
      </c>
      <c r="DP111" s="8">
        <v>224.4</v>
      </c>
      <c r="DQ111" s="8">
        <v>211.6</v>
      </c>
      <c r="DR111" s="8">
        <v>368.2</v>
      </c>
      <c r="DS111" s="8">
        <v>158.3</v>
      </c>
      <c r="DT111" s="8">
        <v>-84.90000000000001</v>
      </c>
      <c r="DU111" s="8">
        <v>-138.9</v>
      </c>
      <c r="DV111" s="8">
        <v>-164</v>
      </c>
      <c r="DW111" s="8">
        <v>-161.8</v>
      </c>
      <c r="DX111" s="8">
        <v>-161.3</v>
      </c>
      <c r="DY111" s="8">
        <v>-177.7</v>
      </c>
      <c r="DZ111" s="8">
        <v>-246.9</v>
      </c>
      <c r="EA111" s="8">
        <v>-451.3</v>
      </c>
      <c r="EB111" s="8">
        <v>-366.7</v>
      </c>
      <c r="EC111" s="8">
        <v>-290.6</v>
      </c>
      <c r="ED111" s="8">
        <v>-262.7</v>
      </c>
      <c r="EE111" s="8">
        <v>-211.9</v>
      </c>
      <c r="EF111" s="8">
        <v>-187</v>
      </c>
      <c r="EG111" s="8">
        <v>-153.8</v>
      </c>
      <c r="EH111" s="8">
        <v>-69.7</v>
      </c>
      <c r="EI111" s="8">
        <v>-141.6</v>
      </c>
      <c r="EJ111" s="8">
        <v>-66.59999999999999</v>
      </c>
      <c r="EK111" s="8">
        <v>-102.9</v>
      </c>
      <c r="EL111" s="8">
        <v>-1.1</v>
      </c>
      <c r="EM111" s="8">
        <v>-90.90000000000001</v>
      </c>
      <c r="EN111" s="8">
        <v>-100.4</v>
      </c>
      <c r="EO111" s="8">
        <v>-39.4</v>
      </c>
      <c r="EP111" s="8">
        <v>-65.2</v>
      </c>
      <c r="EQ111" s="8">
        <v>-29.9</v>
      </c>
      <c r="ER111" s="8">
        <v>10.6</v>
      </c>
      <c r="ES111" s="8">
        <v>-96.59999999999999</v>
      </c>
      <c r="ET111" s="8">
        <v>-5.7</v>
      </c>
      <c r="EU111" s="8">
        <v>176.7</v>
      </c>
      <c r="EV111" s="8">
        <v>62.4</v>
      </c>
      <c r="EW111" s="8">
        <v>-19.6</v>
      </c>
    </row>
    <row r="112" spans="1:153">
      <c r="A112" s="7">
        <v>35.925</v>
      </c>
      <c r="U112" s="8">
        <v>-83.7</v>
      </c>
      <c r="V112" s="8">
        <v>-86.7</v>
      </c>
      <c r="W112" s="8">
        <v>-89.90000000000001</v>
      </c>
      <c r="X112" s="8">
        <v>-74.3</v>
      </c>
      <c r="Y112" s="8">
        <v>-84.5</v>
      </c>
      <c r="Z112" s="8">
        <v>-115</v>
      </c>
      <c r="AA112" s="8">
        <v>-135.2</v>
      </c>
      <c r="AB112" s="8">
        <v>-155.1</v>
      </c>
      <c r="AC112" s="8">
        <v>-42</v>
      </c>
      <c r="AD112" s="8">
        <v>64.2</v>
      </c>
      <c r="AE112" s="8">
        <v>3.8</v>
      </c>
      <c r="AF112" s="8">
        <v>-143.5</v>
      </c>
      <c r="AG112" s="8">
        <v>-175.5</v>
      </c>
      <c r="AH112" s="8">
        <v>-166</v>
      </c>
      <c r="AI112" s="8">
        <v>-171.2</v>
      </c>
      <c r="AJ112" s="8">
        <v>-182.5</v>
      </c>
      <c r="AK112" s="8">
        <v>-160.6</v>
      </c>
      <c r="AL112" s="8">
        <v>-26</v>
      </c>
      <c r="AM112" s="8">
        <v>-147.8</v>
      </c>
      <c r="AN112" s="8">
        <v>-79.09999999999999</v>
      </c>
      <c r="AO112" s="8">
        <v>-44.2</v>
      </c>
      <c r="AP112" s="8">
        <v>-58.3</v>
      </c>
      <c r="AQ112" s="8">
        <v>-34</v>
      </c>
      <c r="AR112" s="8">
        <v>-66.09999999999999</v>
      </c>
      <c r="AS112" s="8">
        <v>-66.8</v>
      </c>
      <c r="AT112" s="8">
        <v>-86.59999999999999</v>
      </c>
      <c r="AU112" s="8">
        <v>-70.40000000000001</v>
      </c>
      <c r="AV112" s="8">
        <v>-68.90000000000001</v>
      </c>
      <c r="AW112" s="8">
        <v>-89.09999999999999</v>
      </c>
      <c r="AX112" s="8">
        <v>-75.40000000000001</v>
      </c>
      <c r="AY112" s="8">
        <v>-107.4</v>
      </c>
      <c r="AZ112" s="8">
        <v>-82</v>
      </c>
      <c r="BA112" s="8">
        <v>2.5</v>
      </c>
      <c r="BB112" s="8">
        <v>21.7</v>
      </c>
      <c r="BC112" s="8">
        <v>33.6</v>
      </c>
      <c r="BD112" s="8">
        <v>9.800000000000001</v>
      </c>
      <c r="BE112" s="8">
        <v>-70.90000000000001</v>
      </c>
      <c r="BF112" s="8">
        <v>-94.09999999999999</v>
      </c>
      <c r="BG112" s="8">
        <v>-90.40000000000001</v>
      </c>
      <c r="BH112" s="8">
        <v>-78.2</v>
      </c>
      <c r="BI112" s="8">
        <v>-123.4</v>
      </c>
      <c r="BJ112" s="8">
        <v>-3.8</v>
      </c>
      <c r="BK112" s="8">
        <v>-66.5</v>
      </c>
      <c r="BL112" s="8">
        <v>-97.5</v>
      </c>
      <c r="BM112" s="8">
        <v>-100.2</v>
      </c>
      <c r="BN112" s="8">
        <v>-125.1</v>
      </c>
      <c r="BO112" s="8">
        <v>-114.7</v>
      </c>
      <c r="BP112" s="8">
        <v>17.2</v>
      </c>
      <c r="BQ112" s="8">
        <v>-61.7</v>
      </c>
      <c r="BR112" s="8">
        <v>-84.3</v>
      </c>
      <c r="BS112" s="8">
        <v>-65.09999999999999</v>
      </c>
      <c r="BT112" s="8">
        <v>-83.8</v>
      </c>
      <c r="BU112" s="8">
        <v>-26.4</v>
      </c>
      <c r="BV112" s="8">
        <v>20.2</v>
      </c>
      <c r="BW112" s="8">
        <v>-16.4</v>
      </c>
      <c r="BX112" s="8">
        <v>-12.6</v>
      </c>
      <c r="BY112" s="8">
        <v>20.3</v>
      </c>
      <c r="BZ112" s="8">
        <v>-21.7</v>
      </c>
      <c r="CA112" s="8">
        <v>25.6</v>
      </c>
      <c r="CB112" s="8">
        <v>-79.90000000000001</v>
      </c>
      <c r="CC112" s="8">
        <v>36.2</v>
      </c>
      <c r="CD112" s="8">
        <v>13.2</v>
      </c>
      <c r="CE112" s="8">
        <v>-16.9</v>
      </c>
      <c r="CF112" s="8">
        <v>-106.6</v>
      </c>
      <c r="CG112" s="8">
        <v>-107</v>
      </c>
      <c r="CH112" s="8">
        <v>390.9</v>
      </c>
      <c r="CI112" s="8">
        <v>424.6</v>
      </c>
      <c r="CJ112" s="8">
        <v>-371.7</v>
      </c>
      <c r="CK112" s="8">
        <v>-326.7</v>
      </c>
      <c r="CL112" s="8">
        <v>-196.3</v>
      </c>
      <c r="CM112" s="8">
        <v>-154.3</v>
      </c>
      <c r="CN112" s="8">
        <v>-128.1</v>
      </c>
      <c r="CO112" s="8">
        <v>-29</v>
      </c>
      <c r="CP112" s="8">
        <v>-45.9</v>
      </c>
      <c r="CQ112" s="8">
        <v>-61.9</v>
      </c>
      <c r="CR112" s="8">
        <v>-58.2</v>
      </c>
      <c r="CS112" s="8">
        <v>-103.5</v>
      </c>
      <c r="CT112" s="8">
        <v>-120.1</v>
      </c>
      <c r="CU112" s="8">
        <v>-129.3</v>
      </c>
      <c r="CV112" s="8">
        <v>-35.3</v>
      </c>
      <c r="CW112" s="8">
        <v>396.8</v>
      </c>
      <c r="CX112" s="8">
        <v>-187.2</v>
      </c>
      <c r="CY112" s="8">
        <v>-50.4</v>
      </c>
      <c r="CZ112" s="8">
        <v>-20.1</v>
      </c>
      <c r="DA112" s="8">
        <v>-140.5</v>
      </c>
      <c r="DB112" s="8">
        <v>-156.1</v>
      </c>
      <c r="DC112" s="8">
        <v>-174.6</v>
      </c>
      <c r="DD112" s="8">
        <v>-111.6</v>
      </c>
      <c r="DE112" s="8">
        <v>-110.4</v>
      </c>
      <c r="DF112" s="8">
        <v>-59.2</v>
      </c>
      <c r="DG112" s="8">
        <v>-46.7</v>
      </c>
      <c r="DH112" s="8">
        <v>-25.4</v>
      </c>
      <c r="DI112" s="8">
        <v>26.5</v>
      </c>
      <c r="DJ112" s="8">
        <v>23.6</v>
      </c>
      <c r="DK112" s="8">
        <v>32.8</v>
      </c>
      <c r="DL112" s="8">
        <v>16.1</v>
      </c>
      <c r="DM112" s="8">
        <v>6</v>
      </c>
      <c r="DN112" s="8">
        <v>43.3</v>
      </c>
      <c r="DO112" s="8">
        <v>320.9</v>
      </c>
      <c r="DP112" s="8">
        <v>201.4</v>
      </c>
      <c r="DQ112" s="8">
        <v>218.9</v>
      </c>
      <c r="DR112" s="8">
        <v>161.7</v>
      </c>
      <c r="DS112" s="8">
        <v>191</v>
      </c>
      <c r="DT112" s="8">
        <v>-57.5</v>
      </c>
      <c r="DU112" s="8">
        <v>-138.5</v>
      </c>
      <c r="DV112" s="8">
        <v>-132.3</v>
      </c>
      <c r="DW112" s="8">
        <v>-114.4</v>
      </c>
      <c r="DX112" s="8">
        <v>-70</v>
      </c>
      <c r="DY112" s="8">
        <v>-45</v>
      </c>
      <c r="DZ112" s="8">
        <v>-123</v>
      </c>
      <c r="EA112" s="8">
        <v>-152.1</v>
      </c>
      <c r="EB112" s="8">
        <v>-192.5</v>
      </c>
      <c r="EC112" s="8">
        <v>-214</v>
      </c>
      <c r="ED112" s="8">
        <v>-196.5</v>
      </c>
      <c r="EE112" s="8">
        <v>-200.8</v>
      </c>
      <c r="EF112" s="8">
        <v>-189.7</v>
      </c>
      <c r="EG112" s="8">
        <v>-205.3</v>
      </c>
      <c r="EH112" s="8">
        <v>307.7</v>
      </c>
      <c r="EI112" s="8">
        <v>-131.2</v>
      </c>
      <c r="EJ112" s="8">
        <v>-112.5</v>
      </c>
      <c r="EK112" s="8">
        <v>-125.9</v>
      </c>
      <c r="EL112" s="8">
        <v>-77.5</v>
      </c>
      <c r="EM112" s="8">
        <v>-165.8</v>
      </c>
      <c r="EN112" s="8">
        <v>-138.5</v>
      </c>
      <c r="EO112" s="8">
        <v>-132.3</v>
      </c>
      <c r="EP112" s="8">
        <v>-115.6</v>
      </c>
      <c r="EQ112" s="8">
        <v>-47.8</v>
      </c>
      <c r="ER112" s="8">
        <v>-54.2</v>
      </c>
      <c r="ES112" s="8">
        <v>-30.3</v>
      </c>
      <c r="ET112" s="8">
        <v>26.8</v>
      </c>
      <c r="EU112" s="8">
        <v>7.4</v>
      </c>
      <c r="EV112" s="8">
        <v>-17.3</v>
      </c>
      <c r="EW112" s="8">
        <v>-5.3</v>
      </c>
    </row>
    <row r="113" spans="1:155">
      <c r="A113" s="7">
        <v>35.95</v>
      </c>
      <c r="U113" s="8">
        <v>49.6</v>
      </c>
      <c r="V113" s="8">
        <v>57.3</v>
      </c>
      <c r="W113" s="8">
        <v>-63</v>
      </c>
      <c r="X113" s="8">
        <v>-137.8</v>
      </c>
      <c r="Y113" s="8">
        <v>-17.2</v>
      </c>
      <c r="Z113" s="8">
        <v>-21.9</v>
      </c>
      <c r="AA113" s="8">
        <v>-71.3</v>
      </c>
      <c r="AB113" s="8">
        <v>-203.8</v>
      </c>
      <c r="AC113" s="8">
        <v>-276.2</v>
      </c>
      <c r="AD113" s="8">
        <v>-216</v>
      </c>
      <c r="AE113" s="8">
        <v>-194.1</v>
      </c>
      <c r="AF113" s="8">
        <v>-126</v>
      </c>
      <c r="AG113" s="8">
        <v>-123.9</v>
      </c>
      <c r="AH113" s="8">
        <v>-90.09999999999999</v>
      </c>
      <c r="AI113" s="8">
        <v>-53.5</v>
      </c>
      <c r="AJ113" s="8">
        <v>-101.9</v>
      </c>
      <c r="AK113" s="8">
        <v>-82.2</v>
      </c>
      <c r="AL113" s="8">
        <v>-164.5</v>
      </c>
      <c r="AM113" s="8">
        <v>-181.1</v>
      </c>
      <c r="AN113" s="8">
        <v>-177</v>
      </c>
      <c r="AO113" s="8">
        <v>-124.6</v>
      </c>
      <c r="AP113" s="8">
        <v>-128.9</v>
      </c>
      <c r="AQ113" s="8">
        <v>-129.1</v>
      </c>
      <c r="AR113" s="8">
        <v>-103.9</v>
      </c>
      <c r="AS113" s="8">
        <v>-114.6</v>
      </c>
      <c r="AT113" s="8">
        <v>-80</v>
      </c>
      <c r="AU113" s="8">
        <v>-53.7</v>
      </c>
      <c r="AV113" s="8">
        <v>-24.3</v>
      </c>
      <c r="AW113" s="8">
        <v>-37.9</v>
      </c>
      <c r="AX113" s="8">
        <v>-77</v>
      </c>
      <c r="AY113" s="8">
        <v>-90.8</v>
      </c>
      <c r="AZ113" s="8">
        <v>-181.6</v>
      </c>
      <c r="BA113" s="8">
        <v>-74.3</v>
      </c>
      <c r="BB113" s="8">
        <v>-3.4</v>
      </c>
      <c r="BC113" s="8">
        <v>66.8</v>
      </c>
      <c r="BD113" s="8">
        <v>46.1</v>
      </c>
      <c r="BE113" s="8">
        <v>-40.5</v>
      </c>
      <c r="BF113" s="8">
        <v>-91.90000000000001</v>
      </c>
      <c r="BG113" s="8">
        <v>-94.3</v>
      </c>
      <c r="BH113" s="8">
        <v>-87.8</v>
      </c>
      <c r="BI113" s="8">
        <v>-82.8</v>
      </c>
      <c r="BJ113" s="8">
        <v>364.9</v>
      </c>
      <c r="BK113" s="8">
        <v>-43.3</v>
      </c>
      <c r="BL113" s="8">
        <v>-40.8</v>
      </c>
      <c r="BM113" s="8">
        <v>-34.5</v>
      </c>
      <c r="BN113" s="8">
        <v>-33.9</v>
      </c>
      <c r="BO113" s="8">
        <v>-73.8</v>
      </c>
      <c r="BP113" s="8">
        <v>41.6</v>
      </c>
      <c r="BQ113" s="8">
        <v>-86.40000000000001</v>
      </c>
      <c r="BR113" s="8">
        <v>-66.5</v>
      </c>
      <c r="BS113" s="8">
        <v>-72</v>
      </c>
      <c r="BT113" s="8">
        <v>-63.4</v>
      </c>
      <c r="BU113" s="8">
        <v>-102.5</v>
      </c>
      <c r="BV113" s="8">
        <v>-106.1</v>
      </c>
      <c r="BW113" s="8">
        <v>-61.1</v>
      </c>
      <c r="BX113" s="8">
        <v>-65.40000000000001</v>
      </c>
      <c r="BY113" s="8">
        <v>-68.2</v>
      </c>
      <c r="BZ113" s="8">
        <v>-25</v>
      </c>
      <c r="CA113" s="8">
        <v>-19.2</v>
      </c>
      <c r="CB113" s="8">
        <v>-21.7</v>
      </c>
      <c r="CC113" s="8">
        <v>313</v>
      </c>
      <c r="CD113" s="8">
        <v>-32</v>
      </c>
      <c r="CE113" s="8">
        <v>-110.7</v>
      </c>
      <c r="CF113" s="8">
        <v>-89.40000000000001</v>
      </c>
      <c r="CG113" s="8">
        <v>-228.9</v>
      </c>
      <c r="CH113" s="8">
        <v>-395.7</v>
      </c>
      <c r="CI113" s="8">
        <v>-551.5</v>
      </c>
      <c r="CJ113" s="8">
        <v>-334.4</v>
      </c>
      <c r="CK113" s="8">
        <v>-220.9</v>
      </c>
      <c r="CL113" s="8">
        <v>-154.8</v>
      </c>
      <c r="CM113" s="8">
        <v>-131.5</v>
      </c>
      <c r="CN113" s="8">
        <v>-98.5</v>
      </c>
      <c r="CO113" s="8">
        <v>-36.3</v>
      </c>
      <c r="CP113" s="8">
        <v>66.3</v>
      </c>
      <c r="CQ113" s="8">
        <v>72.5</v>
      </c>
      <c r="CR113" s="8">
        <v>5.9</v>
      </c>
      <c r="CS113" s="8">
        <v>-56.6</v>
      </c>
      <c r="CT113" s="8">
        <v>-85.59999999999999</v>
      </c>
      <c r="CU113" s="8">
        <v>-111.4</v>
      </c>
      <c r="CV113" s="8">
        <v>-79.09999999999999</v>
      </c>
      <c r="CW113" s="8">
        <v>-83.3</v>
      </c>
      <c r="CX113" s="8">
        <v>-25</v>
      </c>
      <c r="CY113" s="8">
        <v>-87.40000000000001</v>
      </c>
      <c r="CZ113" s="8">
        <v>-69.3</v>
      </c>
      <c r="DA113" s="8">
        <v>35.2</v>
      </c>
      <c r="DB113" s="8">
        <v>-55.6</v>
      </c>
      <c r="DC113" s="8">
        <v>-105</v>
      </c>
      <c r="DD113" s="8">
        <v>-101.7</v>
      </c>
      <c r="DE113" s="8">
        <v>-54.7</v>
      </c>
      <c r="DF113" s="8">
        <v>-39.2</v>
      </c>
      <c r="DG113" s="8">
        <v>-8.800000000000001</v>
      </c>
      <c r="DH113" s="8">
        <v>28.8</v>
      </c>
      <c r="DI113" s="8">
        <v>170.6</v>
      </c>
      <c r="DJ113" s="8">
        <v>146.6</v>
      </c>
      <c r="DK113" s="8">
        <v>112.5</v>
      </c>
      <c r="DL113" s="8">
        <v>87.8</v>
      </c>
      <c r="DM113" s="8">
        <v>66.3</v>
      </c>
      <c r="DN113" s="8">
        <v>162.6</v>
      </c>
      <c r="DO113" s="8">
        <v>123.4</v>
      </c>
      <c r="DP113" s="8">
        <v>136.3</v>
      </c>
      <c r="DQ113" s="8">
        <v>65.59999999999999</v>
      </c>
      <c r="DR113" s="8">
        <v>77.7</v>
      </c>
      <c r="DS113" s="8">
        <v>-21.7</v>
      </c>
      <c r="DT113" s="8">
        <v>-175.4</v>
      </c>
      <c r="DU113" s="8">
        <v>-112.1</v>
      </c>
      <c r="DV113" s="8">
        <v>-101</v>
      </c>
      <c r="DW113" s="8">
        <v>-104.1</v>
      </c>
      <c r="DX113" s="8">
        <v>-27.7</v>
      </c>
      <c r="DY113" s="8">
        <v>-81.8</v>
      </c>
      <c r="DZ113" s="8">
        <v>-82.90000000000001</v>
      </c>
      <c r="EA113" s="8">
        <v>-93.5</v>
      </c>
      <c r="EB113" s="8">
        <v>-133</v>
      </c>
      <c r="EC113" s="8">
        <v>-130.3</v>
      </c>
      <c r="ED113" s="8">
        <v>-133.1</v>
      </c>
      <c r="EE113" s="8">
        <v>-133.5</v>
      </c>
      <c r="EF113" s="8">
        <v>-114.7</v>
      </c>
      <c r="EG113" s="8">
        <v>-146</v>
      </c>
      <c r="EH113" s="8">
        <v>-203.2</v>
      </c>
      <c r="EI113" s="8">
        <v>-164.9</v>
      </c>
      <c r="EJ113" s="8">
        <v>-133.5</v>
      </c>
      <c r="EK113" s="8">
        <v>-141.6</v>
      </c>
      <c r="EL113" s="8">
        <v>-144.6</v>
      </c>
      <c r="EM113" s="8">
        <v>-204</v>
      </c>
      <c r="EN113" s="8">
        <v>-137.2</v>
      </c>
      <c r="EO113" s="8">
        <v>-99.2</v>
      </c>
      <c r="EP113" s="8">
        <v>-133.7</v>
      </c>
      <c r="EQ113" s="8">
        <v>-185.3</v>
      </c>
      <c r="ER113" s="8">
        <v>-175</v>
      </c>
      <c r="ES113" s="8">
        <v>-177.2</v>
      </c>
      <c r="ET113" s="8">
        <v>-151.2</v>
      </c>
      <c r="EU113" s="8">
        <v>-124.9</v>
      </c>
      <c r="EV113" s="8">
        <v>-153</v>
      </c>
      <c r="EW113" s="8">
        <v>-193.2</v>
      </c>
      <c r="EX113" s="8">
        <v>-6.8</v>
      </c>
    </row>
    <row r="114" spans="1:155">
      <c r="A114" s="7">
        <v>35.975</v>
      </c>
      <c r="U114" s="8">
        <v>25.2</v>
      </c>
      <c r="V114" s="8">
        <v>-64.8</v>
      </c>
      <c r="W114" s="8">
        <v>-88.3</v>
      </c>
      <c r="X114" s="8">
        <v>-117.1</v>
      </c>
      <c r="Y114" s="8">
        <v>-143.4</v>
      </c>
      <c r="Z114" s="8">
        <v>-158.4</v>
      </c>
      <c r="AA114" s="8">
        <v>-161.3</v>
      </c>
      <c r="AB114" s="8">
        <v>-185.4</v>
      </c>
      <c r="AC114" s="8">
        <v>-116.3</v>
      </c>
      <c r="AD114" s="8">
        <v>-139.7</v>
      </c>
      <c r="AE114" s="8">
        <v>-90.2</v>
      </c>
      <c r="AF114" s="8">
        <v>60.2</v>
      </c>
      <c r="AG114" s="8">
        <v>27.3</v>
      </c>
      <c r="AH114" s="8">
        <v>-106.4</v>
      </c>
      <c r="AI114" s="8">
        <v>-184.6</v>
      </c>
      <c r="AJ114" s="8">
        <v>-60.4</v>
      </c>
      <c r="AK114" s="8">
        <v>-176.6</v>
      </c>
      <c r="AL114" s="8">
        <v>-241.7</v>
      </c>
      <c r="AM114" s="8">
        <v>-222.2</v>
      </c>
      <c r="AN114" s="8">
        <v>-189.6</v>
      </c>
      <c r="AO114" s="8">
        <v>-199.6</v>
      </c>
      <c r="AP114" s="8">
        <v>-96.7</v>
      </c>
      <c r="AQ114" s="8">
        <v>-100.6</v>
      </c>
      <c r="AR114" s="8">
        <v>-82.09999999999999</v>
      </c>
      <c r="AS114" s="8">
        <v>-63.4</v>
      </c>
      <c r="AT114" s="8">
        <v>-67.59999999999999</v>
      </c>
      <c r="AU114" s="8">
        <v>-77.3</v>
      </c>
      <c r="AV114" s="8">
        <v>-5.7</v>
      </c>
      <c r="AW114" s="8">
        <v>1.1</v>
      </c>
      <c r="AX114" s="8">
        <v>-24.1</v>
      </c>
      <c r="AY114" s="8">
        <v>-62.2</v>
      </c>
      <c r="AZ114" s="8">
        <v>-73</v>
      </c>
      <c r="BA114" s="8">
        <v>-112.1</v>
      </c>
      <c r="BB114" s="8">
        <v>-63</v>
      </c>
      <c r="BC114" s="8">
        <v>-2.7</v>
      </c>
      <c r="BD114" s="8">
        <v>12.3</v>
      </c>
      <c r="BE114" s="8">
        <v>-85.59999999999999</v>
      </c>
      <c r="BF114" s="8">
        <v>-21.6</v>
      </c>
      <c r="BG114" s="8">
        <v>-78.2</v>
      </c>
      <c r="BH114" s="8">
        <v>-94.40000000000001</v>
      </c>
      <c r="BI114" s="8">
        <v>-88.8</v>
      </c>
      <c r="BJ114" s="8">
        <v>-105.2</v>
      </c>
      <c r="BK114" s="8">
        <v>-38.7</v>
      </c>
      <c r="BL114" s="8">
        <v>-66.8</v>
      </c>
      <c r="BM114" s="8">
        <v>-21.7</v>
      </c>
      <c r="BN114" s="8">
        <v>-27.8</v>
      </c>
      <c r="BO114" s="8">
        <v>-25.9</v>
      </c>
      <c r="BP114" s="8">
        <v>-36.1</v>
      </c>
      <c r="BQ114" s="8">
        <v>-65.59999999999999</v>
      </c>
      <c r="BR114" s="8">
        <v>-35.3</v>
      </c>
      <c r="BS114" s="8">
        <v>-48.1</v>
      </c>
      <c r="BT114" s="8">
        <v>-64</v>
      </c>
      <c r="BU114" s="8">
        <v>-93.90000000000001</v>
      </c>
      <c r="BV114" s="8">
        <v>-55.6</v>
      </c>
      <c r="BW114" s="8">
        <v>-101.5</v>
      </c>
      <c r="BX114" s="8">
        <v>-106.1</v>
      </c>
      <c r="BY114" s="8">
        <v>-105.8</v>
      </c>
      <c r="BZ114" s="8">
        <v>-105.1</v>
      </c>
      <c r="CA114" s="8">
        <v>135.6</v>
      </c>
      <c r="CB114" s="8">
        <v>14.7</v>
      </c>
      <c r="CC114" s="8">
        <v>-121.1</v>
      </c>
      <c r="CD114" s="8">
        <v>195.3</v>
      </c>
      <c r="CE114" s="8">
        <v>-18.8</v>
      </c>
      <c r="CF114" s="8">
        <v>-83</v>
      </c>
      <c r="CG114" s="8">
        <v>-75.3</v>
      </c>
      <c r="CH114" s="8">
        <v>-105.6</v>
      </c>
      <c r="CI114" s="8">
        <v>-47</v>
      </c>
      <c r="CJ114" s="8">
        <v>-105.8</v>
      </c>
      <c r="CK114" s="8">
        <v>-119</v>
      </c>
      <c r="CL114" s="8">
        <v>-104.6</v>
      </c>
      <c r="CM114" s="8">
        <v>-116.1</v>
      </c>
      <c r="CN114" s="8">
        <v>-83.90000000000001</v>
      </c>
      <c r="CO114" s="8">
        <v>-21.6</v>
      </c>
      <c r="CP114" s="8">
        <v>18.8</v>
      </c>
      <c r="CQ114" s="8">
        <v>28.7</v>
      </c>
      <c r="CR114" s="8">
        <v>-14.7</v>
      </c>
      <c r="CS114" s="8">
        <v>29.5</v>
      </c>
      <c r="CT114" s="8">
        <v>-63.7</v>
      </c>
      <c r="CU114" s="8">
        <v>-96.09999999999999</v>
      </c>
      <c r="CV114" s="8">
        <v>-136</v>
      </c>
      <c r="CW114" s="8">
        <v>37.8</v>
      </c>
      <c r="CX114" s="8">
        <v>-112.8</v>
      </c>
      <c r="CY114" s="8">
        <v>-110.3</v>
      </c>
      <c r="CZ114" s="8">
        <v>-69.2</v>
      </c>
      <c r="DA114" s="8">
        <v>-51.9</v>
      </c>
      <c r="DB114" s="8">
        <v>-45.3</v>
      </c>
      <c r="DC114" s="8">
        <v>-17.9</v>
      </c>
      <c r="DD114" s="8">
        <v>-27.5</v>
      </c>
      <c r="DE114" s="8">
        <v>29.5</v>
      </c>
      <c r="DF114" s="8">
        <v>68.5</v>
      </c>
      <c r="DG114" s="8">
        <v>105.1</v>
      </c>
      <c r="DH114" s="8">
        <v>278.9</v>
      </c>
      <c r="DI114" s="8">
        <v>387.2</v>
      </c>
      <c r="DJ114" s="8">
        <v>208.9</v>
      </c>
      <c r="DK114" s="8">
        <v>175.1</v>
      </c>
      <c r="DL114" s="8">
        <v>246.8</v>
      </c>
      <c r="DM114" s="8">
        <v>295</v>
      </c>
      <c r="DN114" s="8">
        <v>286.9</v>
      </c>
      <c r="DO114" s="8">
        <v>193.2</v>
      </c>
      <c r="DP114" s="8">
        <v>120.6</v>
      </c>
      <c r="DQ114" s="8">
        <v>200.4</v>
      </c>
      <c r="DR114" s="8">
        <v>-34.6</v>
      </c>
      <c r="DS114" s="8">
        <v>69.09999999999999</v>
      </c>
      <c r="DT114" s="8">
        <v>-115.1</v>
      </c>
      <c r="DU114" s="8">
        <v>-107.4</v>
      </c>
      <c r="DV114" s="8">
        <v>-94.7</v>
      </c>
      <c r="DW114" s="8">
        <v>-62.6</v>
      </c>
      <c r="DX114" s="8">
        <v>-95.59999999999999</v>
      </c>
      <c r="DY114" s="8">
        <v>-110.6</v>
      </c>
      <c r="DZ114" s="8">
        <v>-101.2</v>
      </c>
      <c r="EA114" s="8">
        <v>-73.09999999999999</v>
      </c>
      <c r="EB114" s="8">
        <v>-82.2</v>
      </c>
      <c r="EC114" s="8">
        <v>-108.3</v>
      </c>
      <c r="ED114" s="8">
        <v>-92.7</v>
      </c>
      <c r="EE114" s="8">
        <v>-90.7</v>
      </c>
      <c r="EF114" s="8">
        <v>165.9</v>
      </c>
      <c r="EG114" s="8">
        <v>40.2</v>
      </c>
      <c r="EH114" s="8">
        <v>-118.7</v>
      </c>
      <c r="EI114" s="8">
        <v>-146.5</v>
      </c>
      <c r="EJ114" s="8">
        <v>-156.8</v>
      </c>
      <c r="EK114" s="8">
        <v>-142</v>
      </c>
      <c r="EL114" s="8">
        <v>-138.9</v>
      </c>
      <c r="EM114" s="8">
        <v>-125.4</v>
      </c>
      <c r="EN114" s="8">
        <v>-125.8</v>
      </c>
      <c r="EO114" s="8">
        <v>-171.2</v>
      </c>
      <c r="EP114" s="8">
        <v>-195.4</v>
      </c>
      <c r="EQ114" s="8">
        <v>-183.4</v>
      </c>
      <c r="ER114" s="8">
        <v>-112.1</v>
      </c>
      <c r="ES114" s="8">
        <v>-323</v>
      </c>
      <c r="ET114" s="8">
        <v>-346.6</v>
      </c>
      <c r="EU114" s="8">
        <v>-301.6</v>
      </c>
      <c r="EV114" s="8">
        <v>-208</v>
      </c>
      <c r="EW114" s="8">
        <v>-139.1</v>
      </c>
      <c r="EX114" s="8">
        <v>98.09999999999999</v>
      </c>
      <c r="EY114" s="8">
        <v>207.6</v>
      </c>
    </row>
    <row r="115" spans="1:155">
      <c r="A115" s="7">
        <v>36</v>
      </c>
      <c r="K115" s="8">
        <v>-115.9</v>
      </c>
      <c r="L115" s="8">
        <v>-29</v>
      </c>
      <c r="M115" s="8">
        <v>-16.2</v>
      </c>
      <c r="N115" s="8">
        <v>-22.2</v>
      </c>
      <c r="O115" s="8">
        <v>-126</v>
      </c>
      <c r="P115" s="8">
        <v>-146.1</v>
      </c>
      <c r="Q115" s="8">
        <v>-158.2</v>
      </c>
      <c r="R115" s="8">
        <v>-177.9</v>
      </c>
      <c r="S115" s="8">
        <v>-243.1</v>
      </c>
      <c r="T115" s="8">
        <v>-241.8</v>
      </c>
      <c r="U115" s="8">
        <v>-224.4</v>
      </c>
      <c r="V115" s="8">
        <v>-160.1</v>
      </c>
      <c r="W115" s="8">
        <v>-100.8</v>
      </c>
      <c r="X115" s="8">
        <v>-56.6</v>
      </c>
      <c r="Y115" s="8">
        <v>-25.8</v>
      </c>
      <c r="Z115" s="8">
        <v>-131.4</v>
      </c>
      <c r="AA115" s="8">
        <v>-130.5</v>
      </c>
      <c r="AB115" s="8">
        <v>-119.6</v>
      </c>
      <c r="AC115" s="8">
        <v>-50.9</v>
      </c>
      <c r="AD115" s="8">
        <v>-259.3</v>
      </c>
      <c r="AE115" s="8">
        <v>-342.4</v>
      </c>
      <c r="AF115" s="8">
        <v>-160.4</v>
      </c>
      <c r="AG115" s="8">
        <v>-227.7</v>
      </c>
      <c r="AH115" s="8">
        <v>-299.6</v>
      </c>
      <c r="AI115" s="8">
        <v>-172.6</v>
      </c>
      <c r="AJ115" s="8">
        <v>-309.8</v>
      </c>
      <c r="AK115" s="8">
        <v>-168.5</v>
      </c>
      <c r="AL115" s="8">
        <v>-207.5</v>
      </c>
      <c r="AM115" s="8">
        <v>-116.4</v>
      </c>
      <c r="AN115" s="8">
        <v>-90.5</v>
      </c>
      <c r="AO115" s="8">
        <v>-94.90000000000001</v>
      </c>
      <c r="AP115" s="8">
        <v>-106.4</v>
      </c>
      <c r="AQ115" s="8">
        <v>-116.6</v>
      </c>
      <c r="AR115" s="8">
        <v>-115.6</v>
      </c>
      <c r="AS115" s="8">
        <v>-103.6</v>
      </c>
      <c r="AT115" s="8">
        <v>-104.5</v>
      </c>
      <c r="AU115" s="8">
        <v>-91</v>
      </c>
      <c r="AV115" s="8">
        <v>-9.199999999999999</v>
      </c>
      <c r="AW115" s="8">
        <v>28.4</v>
      </c>
      <c r="AX115" s="8">
        <v>38</v>
      </c>
      <c r="AY115" s="8">
        <v>-7.2</v>
      </c>
      <c r="AZ115" s="8">
        <v>-31</v>
      </c>
      <c r="BA115" s="8">
        <v>-49.9</v>
      </c>
      <c r="BB115" s="8">
        <v>-118.8</v>
      </c>
      <c r="BC115" s="8">
        <v>-184</v>
      </c>
      <c r="BD115" s="8">
        <v>-147.8</v>
      </c>
      <c r="BE115" s="8">
        <v>-117.2</v>
      </c>
      <c r="BF115" s="8">
        <v>-95.3</v>
      </c>
      <c r="BG115" s="8">
        <v>-68.7</v>
      </c>
      <c r="BH115" s="8">
        <v>-64.90000000000001</v>
      </c>
      <c r="BI115" s="8">
        <v>-31.7</v>
      </c>
      <c r="BJ115" s="8">
        <v>54</v>
      </c>
      <c r="BK115" s="8">
        <v>-64.3</v>
      </c>
      <c r="BL115" s="8">
        <v>-71.8</v>
      </c>
      <c r="BM115" s="8">
        <v>-26.3</v>
      </c>
      <c r="BN115" s="8">
        <v>-88.90000000000001</v>
      </c>
      <c r="BO115" s="8">
        <v>-62.3</v>
      </c>
      <c r="BP115" s="8">
        <v>-74.5</v>
      </c>
      <c r="BQ115" s="8">
        <v>-77.59999999999999</v>
      </c>
      <c r="BR115" s="8">
        <v>-76</v>
      </c>
      <c r="BS115" s="8">
        <v>-96.7</v>
      </c>
      <c r="BT115" s="8">
        <v>-68.3</v>
      </c>
      <c r="BU115" s="8">
        <v>-64.40000000000001</v>
      </c>
      <c r="BV115" s="8">
        <v>-67.90000000000001</v>
      </c>
      <c r="BW115" s="8">
        <v>-76.59999999999999</v>
      </c>
      <c r="BX115" s="8">
        <v>-69.2</v>
      </c>
      <c r="BY115" s="8">
        <v>-72.7</v>
      </c>
      <c r="BZ115" s="8">
        <v>-119.8</v>
      </c>
      <c r="CA115" s="8">
        <v>-231.3</v>
      </c>
      <c r="CB115" s="8">
        <v>-36.1</v>
      </c>
      <c r="CC115" s="8">
        <v>62.9</v>
      </c>
      <c r="CD115" s="8">
        <v>-27.9</v>
      </c>
      <c r="CE115" s="8">
        <v>-54.1</v>
      </c>
      <c r="CF115" s="8">
        <v>-47.3</v>
      </c>
      <c r="CG115" s="8">
        <v>-66.7</v>
      </c>
      <c r="CH115" s="8">
        <v>-90.90000000000001</v>
      </c>
      <c r="CI115" s="8">
        <v>-35</v>
      </c>
      <c r="CJ115" s="8">
        <v>-135.3</v>
      </c>
      <c r="CK115" s="8">
        <v>-114.3</v>
      </c>
      <c r="CL115" s="8">
        <v>-96.7</v>
      </c>
      <c r="CM115" s="8">
        <v>-77.2</v>
      </c>
      <c r="CN115" s="8">
        <v>-18.7</v>
      </c>
      <c r="CO115" s="8">
        <v>14.1</v>
      </c>
      <c r="CP115" s="8">
        <v>36.6</v>
      </c>
      <c r="CQ115" s="8">
        <v>45.1</v>
      </c>
      <c r="CR115" s="8">
        <v>42.1</v>
      </c>
      <c r="CS115" s="8">
        <v>66.8</v>
      </c>
      <c r="CT115" s="8">
        <v>-6.5</v>
      </c>
      <c r="CU115" s="8">
        <v>-51.8</v>
      </c>
      <c r="CV115" s="8">
        <v>-83.09999999999999</v>
      </c>
      <c r="CW115" s="8">
        <v>-158.9</v>
      </c>
      <c r="CX115" s="8">
        <v>-119.7</v>
      </c>
      <c r="CY115" s="8">
        <v>-40.3</v>
      </c>
      <c r="CZ115" s="8">
        <v>-19.7</v>
      </c>
      <c r="DA115" s="8">
        <v>2.2</v>
      </c>
      <c r="DB115" s="8">
        <v>24</v>
      </c>
      <c r="DC115" s="8">
        <v>-7.1</v>
      </c>
      <c r="DD115" s="8">
        <v>-89.3</v>
      </c>
      <c r="DE115" s="8">
        <v>-33.3</v>
      </c>
      <c r="DF115" s="8">
        <v>69.59999999999999</v>
      </c>
      <c r="DG115" s="8">
        <v>119.6</v>
      </c>
      <c r="DH115" s="8">
        <v>0</v>
      </c>
      <c r="DI115" s="8">
        <v>282</v>
      </c>
      <c r="DJ115" s="8">
        <v>-26.3</v>
      </c>
      <c r="DK115" s="8">
        <v>267.2</v>
      </c>
      <c r="DL115" s="8">
        <v>565</v>
      </c>
      <c r="DM115" s="8">
        <v>94.2</v>
      </c>
      <c r="DN115" s="8">
        <v>85.8</v>
      </c>
      <c r="DO115" s="8">
        <v>14</v>
      </c>
      <c r="DP115" s="8">
        <v>537.6</v>
      </c>
      <c r="DQ115" s="8">
        <v>58.3</v>
      </c>
      <c r="DR115" s="8">
        <v>27.9</v>
      </c>
      <c r="DS115" s="8">
        <v>-96.7</v>
      </c>
      <c r="DT115" s="8">
        <v>-123.2</v>
      </c>
      <c r="DU115" s="8">
        <v>-49.8</v>
      </c>
      <c r="DV115" s="8">
        <v>-19.1</v>
      </c>
      <c r="DW115" s="8">
        <v>-27</v>
      </c>
      <c r="DX115" s="8">
        <v>-37.9</v>
      </c>
      <c r="DY115" s="8">
        <v>-46.2</v>
      </c>
      <c r="DZ115" s="8">
        <v>-24.7</v>
      </c>
      <c r="EA115" s="8">
        <v>-16.7</v>
      </c>
      <c r="EB115" s="8">
        <v>-53.8</v>
      </c>
      <c r="EC115" s="8">
        <v>-70.90000000000001</v>
      </c>
      <c r="ED115" s="8">
        <v>-89</v>
      </c>
      <c r="EE115" s="8">
        <v>-86.2</v>
      </c>
      <c r="EF115" s="8">
        <v>303.2</v>
      </c>
      <c r="EG115" s="8">
        <v>73.40000000000001</v>
      </c>
      <c r="EH115" s="8">
        <v>77.7</v>
      </c>
      <c r="EI115" s="8">
        <v>-23.3</v>
      </c>
      <c r="EJ115" s="8">
        <v>-82.40000000000001</v>
      </c>
      <c r="EK115" s="8">
        <v>-110.4</v>
      </c>
      <c r="EL115" s="8">
        <v>-86.90000000000001</v>
      </c>
      <c r="EM115" s="8">
        <v>-82</v>
      </c>
      <c r="EN115" s="8">
        <v>-128.3</v>
      </c>
      <c r="EO115" s="8">
        <v>-129</v>
      </c>
      <c r="EP115" s="8">
        <v>-176.6</v>
      </c>
      <c r="EQ115" s="8">
        <v>-243.3</v>
      </c>
      <c r="ER115" s="8">
        <v>-247.8</v>
      </c>
      <c r="ES115" s="8">
        <v>-355.1</v>
      </c>
      <c r="ET115" s="8">
        <v>-353.2</v>
      </c>
      <c r="EU115" s="8">
        <v>-275.2</v>
      </c>
      <c r="EV115" s="8">
        <v>-154.2</v>
      </c>
      <c r="EW115" s="8">
        <v>-51.1</v>
      </c>
      <c r="EX115" s="8">
        <v>-159.7</v>
      </c>
      <c r="EY115" s="8">
        <v>93.7</v>
      </c>
    </row>
    <row r="116" spans="1:155">
      <c r="A116" s="7">
        <v>36.025</v>
      </c>
      <c r="K116" s="8">
        <v>-85.8</v>
      </c>
      <c r="L116" s="8">
        <v>1.8</v>
      </c>
      <c r="M116" s="8">
        <v>45.8</v>
      </c>
      <c r="N116" s="8">
        <v>-73.7</v>
      </c>
      <c r="O116" s="8">
        <v>-85</v>
      </c>
      <c r="P116" s="8">
        <v>-90.7</v>
      </c>
      <c r="Q116" s="8">
        <v>-105.1</v>
      </c>
      <c r="R116" s="8">
        <v>-118</v>
      </c>
      <c r="S116" s="8">
        <v>-164.1</v>
      </c>
      <c r="T116" s="8">
        <v>-163.3</v>
      </c>
      <c r="U116" s="8">
        <v>-204</v>
      </c>
      <c r="V116" s="8">
        <v>-115.5</v>
      </c>
      <c r="W116" s="8">
        <v>51.1</v>
      </c>
      <c r="X116" s="8">
        <v>379.3</v>
      </c>
      <c r="Y116" s="8">
        <v>61.8</v>
      </c>
      <c r="Z116" s="8">
        <v>-69.59999999999999</v>
      </c>
      <c r="AA116" s="8">
        <v>-100.1</v>
      </c>
      <c r="AB116" s="8">
        <v>-201.9</v>
      </c>
      <c r="AC116" s="8">
        <v>-166</v>
      </c>
      <c r="AD116" s="8">
        <v>-140.4</v>
      </c>
      <c r="AE116" s="8">
        <v>-141.6</v>
      </c>
      <c r="AF116" s="8">
        <v>-155.1</v>
      </c>
      <c r="AG116" s="8">
        <v>-192.7</v>
      </c>
      <c r="AH116" s="8">
        <v>-156.8</v>
      </c>
      <c r="AI116" s="8">
        <v>-133.4</v>
      </c>
      <c r="AJ116" s="8">
        <v>-119.2</v>
      </c>
      <c r="AK116" s="8">
        <v>-106.5</v>
      </c>
      <c r="AL116" s="8">
        <v>-120.4</v>
      </c>
      <c r="AM116" s="8">
        <v>-116.1</v>
      </c>
      <c r="AN116" s="8">
        <v>-142.4</v>
      </c>
      <c r="AO116" s="8">
        <v>-150.6</v>
      </c>
      <c r="AP116" s="8">
        <v>-151.9</v>
      </c>
      <c r="AQ116" s="8">
        <v>-137</v>
      </c>
      <c r="AR116" s="8">
        <v>-125.6</v>
      </c>
      <c r="AS116" s="8">
        <v>-79</v>
      </c>
      <c r="AT116" s="8">
        <v>-100.3</v>
      </c>
      <c r="AU116" s="8">
        <v>-113.2</v>
      </c>
      <c r="AV116" s="8">
        <v>-60.5</v>
      </c>
      <c r="AW116" s="8">
        <v>36.6</v>
      </c>
      <c r="AX116" s="8">
        <v>50</v>
      </c>
      <c r="AY116" s="8">
        <v>40.4</v>
      </c>
      <c r="AZ116" s="8">
        <v>22.8</v>
      </c>
      <c r="BA116" s="8">
        <v>34.2</v>
      </c>
      <c r="BB116" s="8">
        <v>21.5</v>
      </c>
      <c r="BC116" s="8">
        <v>-69.3</v>
      </c>
      <c r="BD116" s="8">
        <v>-95.40000000000001</v>
      </c>
      <c r="BE116" s="8">
        <v>-93.59999999999999</v>
      </c>
      <c r="BF116" s="8">
        <v>-89.59999999999999</v>
      </c>
      <c r="BG116" s="8">
        <v>-82.40000000000001</v>
      </c>
      <c r="BH116" s="8">
        <v>-61.5</v>
      </c>
      <c r="BI116" s="8">
        <v>-32.2</v>
      </c>
      <c r="BJ116" s="8">
        <v>-116.3</v>
      </c>
      <c r="BK116" s="8">
        <v>-77</v>
      </c>
      <c r="BL116" s="8">
        <v>-69.90000000000001</v>
      </c>
      <c r="BM116" s="8">
        <v>1.5</v>
      </c>
      <c r="BN116" s="8">
        <v>-28.5</v>
      </c>
      <c r="BO116" s="8">
        <v>-45.5</v>
      </c>
      <c r="BP116" s="8">
        <v>-68.5</v>
      </c>
      <c r="BQ116" s="8">
        <v>-68</v>
      </c>
      <c r="BR116" s="8">
        <v>-76.8</v>
      </c>
      <c r="BS116" s="8">
        <v>-97</v>
      </c>
      <c r="BT116" s="8">
        <v>-73.5</v>
      </c>
      <c r="BU116" s="8">
        <v>-58.1</v>
      </c>
      <c r="BV116" s="8">
        <v>-54.4</v>
      </c>
      <c r="BW116" s="8">
        <v>-46.6</v>
      </c>
      <c r="BX116" s="8">
        <v>-46.9</v>
      </c>
      <c r="BY116" s="8">
        <v>-76</v>
      </c>
      <c r="BZ116" s="8">
        <v>-114</v>
      </c>
      <c r="CA116" s="8">
        <v>-131.2</v>
      </c>
      <c r="CB116" s="8">
        <v>-184.2</v>
      </c>
      <c r="CC116" s="8">
        <v>-170.8</v>
      </c>
      <c r="CD116" s="8">
        <v>-205.2</v>
      </c>
      <c r="CE116" s="8">
        <v>19.3</v>
      </c>
      <c r="CF116" s="8">
        <v>-119.7</v>
      </c>
      <c r="CG116" s="8">
        <v>-129.4</v>
      </c>
      <c r="CH116" s="8">
        <v>-22</v>
      </c>
      <c r="CI116" s="8">
        <v>-96.2</v>
      </c>
      <c r="CJ116" s="8">
        <v>-83</v>
      </c>
      <c r="CK116" s="8">
        <v>-86.8</v>
      </c>
      <c r="CL116" s="8">
        <v>-87.2</v>
      </c>
      <c r="CM116" s="8">
        <v>-93</v>
      </c>
      <c r="CN116" s="8">
        <v>-105.1</v>
      </c>
      <c r="CO116" s="8">
        <v>-13.5</v>
      </c>
      <c r="CP116" s="8">
        <v>21.6</v>
      </c>
      <c r="CQ116" s="8">
        <v>79.90000000000001</v>
      </c>
      <c r="CR116" s="8">
        <v>45.2</v>
      </c>
      <c r="CS116" s="8">
        <v>16.3</v>
      </c>
      <c r="CT116" s="8">
        <v>23.9</v>
      </c>
      <c r="CU116" s="8">
        <v>26.5</v>
      </c>
      <c r="CV116" s="8">
        <v>-11.3</v>
      </c>
      <c r="CW116" s="8">
        <v>-40.2</v>
      </c>
      <c r="CX116" s="8">
        <v>-2.7</v>
      </c>
      <c r="CY116" s="8">
        <v>54.9</v>
      </c>
      <c r="CZ116" s="8">
        <v>93.09999999999999</v>
      </c>
      <c r="DA116" s="8">
        <v>-12.6</v>
      </c>
      <c r="DB116" s="8">
        <v>-103.9</v>
      </c>
      <c r="DC116" s="8">
        <v>8.300000000000001</v>
      </c>
      <c r="DD116" s="8">
        <v>16.7</v>
      </c>
      <c r="DE116" s="8">
        <v>22.9</v>
      </c>
      <c r="DF116" s="8">
        <v>60</v>
      </c>
      <c r="DG116" s="8">
        <v>97.09999999999999</v>
      </c>
      <c r="DH116" s="8">
        <v>159.1</v>
      </c>
      <c r="DI116" s="8">
        <v>45.6</v>
      </c>
      <c r="DJ116" s="8">
        <v>3.7</v>
      </c>
      <c r="DK116" s="8">
        <v>280</v>
      </c>
      <c r="DL116" s="8">
        <v>385.5</v>
      </c>
      <c r="DM116" s="8">
        <v>157.6</v>
      </c>
      <c r="DN116" s="8">
        <v>21.7</v>
      </c>
      <c r="DO116" s="8">
        <v>-3.5</v>
      </c>
      <c r="DP116" s="8">
        <v>-134.6</v>
      </c>
      <c r="DQ116" s="8">
        <v>-222.7</v>
      </c>
      <c r="DR116" s="8">
        <v>-72.90000000000001</v>
      </c>
      <c r="DS116" s="8">
        <v>-154.4</v>
      </c>
      <c r="DT116" s="8">
        <v>-11.7</v>
      </c>
      <c r="DU116" s="8">
        <v>-1.6</v>
      </c>
      <c r="DV116" s="8">
        <v>16.9</v>
      </c>
      <c r="DW116" s="8">
        <v>14.1</v>
      </c>
      <c r="DX116" s="8">
        <v>-1.4</v>
      </c>
      <c r="DY116" s="8">
        <v>-6.4</v>
      </c>
      <c r="DZ116" s="8">
        <v>25</v>
      </c>
      <c r="EA116" s="8">
        <v>22.5</v>
      </c>
      <c r="EB116" s="8">
        <v>-17.9</v>
      </c>
      <c r="EC116" s="8">
        <v>-43.6</v>
      </c>
      <c r="ED116" s="8">
        <v>-69.90000000000001</v>
      </c>
      <c r="EE116" s="8">
        <v>-91.40000000000001</v>
      </c>
      <c r="EF116" s="8">
        <v>-111.5</v>
      </c>
      <c r="EG116" s="8">
        <v>-99.2</v>
      </c>
      <c r="EH116" s="8">
        <v>39.6</v>
      </c>
      <c r="EI116" s="8">
        <v>176.2</v>
      </c>
      <c r="EJ116" s="8">
        <v>138.8</v>
      </c>
      <c r="EK116" s="8">
        <v>-59.6</v>
      </c>
      <c r="EL116" s="8">
        <v>-102.6</v>
      </c>
      <c r="EM116" s="8">
        <v>-89.5</v>
      </c>
      <c r="EN116" s="8">
        <v>-16.9</v>
      </c>
      <c r="EO116" s="8">
        <v>-149</v>
      </c>
      <c r="EP116" s="8">
        <v>-194</v>
      </c>
      <c r="EQ116" s="8">
        <v>-170.3</v>
      </c>
      <c r="ER116" s="8">
        <v>-269</v>
      </c>
      <c r="EV116" s="8">
        <v>-121.6</v>
      </c>
      <c r="EW116" s="8">
        <v>63.4</v>
      </c>
      <c r="EX116" s="8">
        <v>337</v>
      </c>
      <c r="EY116" s="8">
        <v>409.5</v>
      </c>
    </row>
    <row r="117" spans="1:155">
      <c r="A117" s="7">
        <v>36.05</v>
      </c>
      <c r="K117" s="8">
        <v>-22.3</v>
      </c>
      <c r="L117" s="8">
        <v>54.4</v>
      </c>
      <c r="M117" s="8">
        <v>-10.5</v>
      </c>
      <c r="N117" s="8">
        <v>-56.4</v>
      </c>
      <c r="O117" s="8">
        <v>-72</v>
      </c>
      <c r="P117" s="8">
        <v>-80.5</v>
      </c>
      <c r="Q117" s="8">
        <v>-89.90000000000001</v>
      </c>
      <c r="R117" s="8">
        <v>-102.8</v>
      </c>
      <c r="S117" s="8">
        <v>-101.2</v>
      </c>
      <c r="T117" s="8">
        <v>-103</v>
      </c>
      <c r="U117" s="8">
        <v>-74</v>
      </c>
      <c r="V117" s="8">
        <v>1.3</v>
      </c>
      <c r="W117" s="8">
        <v>48.8</v>
      </c>
      <c r="X117" s="8">
        <v>-76.59999999999999</v>
      </c>
      <c r="Y117" s="8">
        <v>89.09999999999999</v>
      </c>
      <c r="Z117" s="8">
        <v>-57.4</v>
      </c>
      <c r="AA117" s="8">
        <v>-81.90000000000001</v>
      </c>
      <c r="AB117" s="8">
        <v>-66.09999999999999</v>
      </c>
      <c r="AC117" s="8">
        <v>-56.6</v>
      </c>
      <c r="AD117" s="8">
        <v>-46.1</v>
      </c>
      <c r="AE117" s="8">
        <v>-87.59999999999999</v>
      </c>
      <c r="AF117" s="8">
        <v>-90.7</v>
      </c>
      <c r="AG117" s="8">
        <v>-98.5</v>
      </c>
      <c r="AH117" s="8">
        <v>-113</v>
      </c>
      <c r="AI117" s="8">
        <v>-105.8</v>
      </c>
      <c r="AJ117" s="8">
        <v>-120.8</v>
      </c>
      <c r="AK117" s="8">
        <v>-141.5</v>
      </c>
      <c r="AL117" s="8">
        <v>-143.1</v>
      </c>
      <c r="AM117" s="8">
        <v>-135.9</v>
      </c>
      <c r="AN117" s="8">
        <v>-131.1</v>
      </c>
      <c r="AO117" s="8">
        <v>-122.5</v>
      </c>
      <c r="AP117" s="8">
        <v>-111.9</v>
      </c>
      <c r="AQ117" s="8">
        <v>-107.9</v>
      </c>
      <c r="AR117" s="8">
        <v>-102.3</v>
      </c>
      <c r="AS117" s="8">
        <v>-98.40000000000001</v>
      </c>
      <c r="AT117" s="8">
        <v>-93.5</v>
      </c>
      <c r="AU117" s="8">
        <v>-106.1</v>
      </c>
      <c r="AV117" s="8">
        <v>-129.5</v>
      </c>
      <c r="AW117" s="8">
        <v>-33.6</v>
      </c>
      <c r="AX117" s="8">
        <v>54.7</v>
      </c>
      <c r="AY117" s="8">
        <v>76.7</v>
      </c>
      <c r="AZ117" s="8">
        <v>39.8</v>
      </c>
      <c r="BA117" s="8">
        <v>30.4</v>
      </c>
      <c r="BB117" s="8">
        <v>21</v>
      </c>
      <c r="BC117" s="8">
        <v>-32.3</v>
      </c>
      <c r="BD117" s="8">
        <v>-78.2</v>
      </c>
      <c r="BE117" s="8">
        <v>-89.40000000000001</v>
      </c>
      <c r="BF117" s="8">
        <v>-63.9</v>
      </c>
      <c r="BG117" s="8">
        <v>-45.5</v>
      </c>
      <c r="BH117" s="8">
        <v>-24.4</v>
      </c>
      <c r="BI117" s="8">
        <v>-66.09999999999999</v>
      </c>
      <c r="BJ117" s="8">
        <v>-59.7</v>
      </c>
      <c r="BK117" s="8">
        <v>-47.9</v>
      </c>
      <c r="BL117" s="8">
        <v>-55.5</v>
      </c>
      <c r="BM117" s="8">
        <v>-59.6</v>
      </c>
      <c r="BN117" s="8">
        <v>-86.59999999999999</v>
      </c>
      <c r="BO117" s="8">
        <v>-69.5</v>
      </c>
      <c r="BP117" s="8">
        <v>-51.1</v>
      </c>
      <c r="BQ117" s="8">
        <v>-63.8</v>
      </c>
      <c r="BR117" s="8">
        <v>-73.09999999999999</v>
      </c>
      <c r="BS117" s="8">
        <v>-93.09999999999999</v>
      </c>
      <c r="BT117" s="8">
        <v>-67.8</v>
      </c>
      <c r="BU117" s="8">
        <v>-50.1</v>
      </c>
      <c r="BV117" s="8">
        <v>-49.4</v>
      </c>
      <c r="BW117" s="8">
        <v>-52.4</v>
      </c>
      <c r="BX117" s="8">
        <v>-46.9</v>
      </c>
      <c r="BY117" s="8">
        <v>-51.7</v>
      </c>
      <c r="BZ117" s="8">
        <v>-97.3</v>
      </c>
      <c r="CA117" s="8">
        <v>-102.4</v>
      </c>
      <c r="CB117" s="8">
        <v>-115.1</v>
      </c>
      <c r="CC117" s="8">
        <v>-142</v>
      </c>
      <c r="CD117" s="8">
        <v>-122.5</v>
      </c>
      <c r="CE117" s="8">
        <v>-67.7</v>
      </c>
      <c r="CF117" s="8">
        <v>-97.59999999999999</v>
      </c>
      <c r="CG117" s="8">
        <v>-84.7</v>
      </c>
      <c r="CH117" s="8">
        <v>-64.7</v>
      </c>
      <c r="CI117" s="8">
        <v>-92.8</v>
      </c>
      <c r="CJ117" s="8">
        <v>-87.59999999999999</v>
      </c>
      <c r="CK117" s="8">
        <v>-72.8</v>
      </c>
      <c r="CL117" s="8">
        <v>-53.2</v>
      </c>
      <c r="CM117" s="8">
        <v>-82.3</v>
      </c>
      <c r="CN117" s="8">
        <v>-65.8</v>
      </c>
      <c r="CO117" s="8">
        <v>-45.7</v>
      </c>
      <c r="CP117" s="8">
        <v>-25.6</v>
      </c>
      <c r="CQ117" s="8">
        <v>77.3</v>
      </c>
      <c r="CR117" s="8">
        <v>87.90000000000001</v>
      </c>
      <c r="CS117" s="8">
        <v>80.59999999999999</v>
      </c>
      <c r="CT117" s="8">
        <v>69.59999999999999</v>
      </c>
      <c r="CU117" s="8">
        <v>73.3</v>
      </c>
      <c r="CV117" s="8">
        <v>97.3</v>
      </c>
      <c r="CW117" s="8">
        <v>56.5</v>
      </c>
      <c r="CX117" s="8">
        <v>60.9</v>
      </c>
      <c r="CY117" s="8">
        <v>-8.199999999999999</v>
      </c>
      <c r="CZ117" s="8">
        <v>98.90000000000001</v>
      </c>
      <c r="DA117" s="8">
        <v>32.7</v>
      </c>
      <c r="DB117" s="8">
        <v>2.5</v>
      </c>
      <c r="DC117" s="8">
        <v>-73.8</v>
      </c>
      <c r="DD117" s="8">
        <v>3.6</v>
      </c>
      <c r="DE117" s="8">
        <v>150.3</v>
      </c>
      <c r="DF117" s="8">
        <v>30.5</v>
      </c>
      <c r="DG117" s="8">
        <v>78.5</v>
      </c>
      <c r="DH117" s="8">
        <v>184.8</v>
      </c>
      <c r="DI117" s="8">
        <v>138.1</v>
      </c>
      <c r="DJ117" s="8">
        <v>31.2</v>
      </c>
      <c r="DK117" s="8">
        <v>173.6</v>
      </c>
      <c r="DL117" s="8">
        <v>119.8</v>
      </c>
      <c r="DM117" s="8">
        <v>127.9</v>
      </c>
      <c r="DN117" s="8">
        <v>93.3</v>
      </c>
      <c r="DO117" s="8">
        <v>-117.7</v>
      </c>
      <c r="DP117" s="8">
        <v>-177.3</v>
      </c>
      <c r="DQ117" s="8">
        <v>-116.5</v>
      </c>
      <c r="DR117" s="8">
        <v>-25.8</v>
      </c>
      <c r="DS117" s="8">
        <v>54.2</v>
      </c>
      <c r="DT117" s="8">
        <v>132.9</v>
      </c>
      <c r="DU117" s="8">
        <v>152.7</v>
      </c>
      <c r="DV117" s="8">
        <v>110.3</v>
      </c>
      <c r="DW117" s="8">
        <v>82.59999999999999</v>
      </c>
      <c r="DX117" s="8">
        <v>58.3</v>
      </c>
      <c r="DY117" s="8">
        <v>37.2</v>
      </c>
      <c r="DZ117" s="8">
        <v>46</v>
      </c>
      <c r="EA117" s="8">
        <v>59.3</v>
      </c>
      <c r="EB117" s="8">
        <v>106.4</v>
      </c>
      <c r="EC117" s="8">
        <v>69.90000000000001</v>
      </c>
      <c r="ED117" s="8">
        <v>64.59999999999999</v>
      </c>
      <c r="EE117" s="8">
        <v>31.6</v>
      </c>
      <c r="EF117" s="8">
        <v>-38.2</v>
      </c>
      <c r="EG117" s="8">
        <v>-50.9</v>
      </c>
      <c r="EH117" s="8">
        <v>110</v>
      </c>
      <c r="EI117" s="8">
        <v>195.1</v>
      </c>
      <c r="EJ117" s="8">
        <v>181.1</v>
      </c>
      <c r="EK117" s="8">
        <v>185.5</v>
      </c>
      <c r="EL117" s="8">
        <v>-46</v>
      </c>
      <c r="EM117" s="8">
        <v>-96.40000000000001</v>
      </c>
      <c r="EN117" s="8">
        <v>-140.4</v>
      </c>
      <c r="EO117" s="8">
        <v>-140.7</v>
      </c>
      <c r="EP117" s="8">
        <v>-159.6</v>
      </c>
      <c r="EQ117" s="8">
        <v>-175.4</v>
      </c>
      <c r="ER117" s="8">
        <v>-211.3</v>
      </c>
      <c r="EW117" s="8">
        <v>-36.2</v>
      </c>
      <c r="EX117" s="8">
        <v>-351.6</v>
      </c>
      <c r="EY117" s="8">
        <v>-132.6</v>
      </c>
    </row>
    <row r="118" spans="1:155">
      <c r="A118" s="7">
        <v>36.075</v>
      </c>
      <c r="K118" s="8">
        <v>-12</v>
      </c>
      <c r="L118" s="8">
        <v>122.7</v>
      </c>
      <c r="M118" s="8">
        <v>-15.5</v>
      </c>
      <c r="N118" s="8">
        <v>-52.3</v>
      </c>
      <c r="O118" s="8">
        <v>-62.6</v>
      </c>
      <c r="P118" s="8">
        <v>-69.8</v>
      </c>
      <c r="Q118" s="8">
        <v>-66.59999999999999</v>
      </c>
      <c r="R118" s="8">
        <v>-60.8</v>
      </c>
      <c r="S118" s="8">
        <v>-79.8</v>
      </c>
      <c r="T118" s="8">
        <v>-56.6</v>
      </c>
      <c r="U118" s="8">
        <v>-71</v>
      </c>
      <c r="V118" s="8">
        <v>-173.6</v>
      </c>
      <c r="W118" s="8">
        <v>-200.7</v>
      </c>
      <c r="X118" s="8">
        <v>-167.6</v>
      </c>
      <c r="Y118" s="8">
        <v>-151.8</v>
      </c>
      <c r="Z118" s="8">
        <v>-117.6</v>
      </c>
      <c r="AA118" s="8">
        <v>-69.2</v>
      </c>
      <c r="AB118" s="8">
        <v>-0.3</v>
      </c>
      <c r="AC118" s="8">
        <v>114.3</v>
      </c>
      <c r="AD118" s="8">
        <v>-79.90000000000001</v>
      </c>
      <c r="AE118" s="8">
        <v>-73.2</v>
      </c>
      <c r="AF118" s="8">
        <v>-65.2</v>
      </c>
      <c r="AG118" s="8">
        <v>-100.2</v>
      </c>
      <c r="AH118" s="8">
        <v>-130.3</v>
      </c>
      <c r="AI118" s="8">
        <v>-21.6</v>
      </c>
      <c r="AJ118" s="8">
        <v>365.3</v>
      </c>
      <c r="AK118" s="8">
        <v>-150.4</v>
      </c>
      <c r="AL118" s="8">
        <v>-104.3</v>
      </c>
      <c r="AM118" s="8">
        <v>-101.6</v>
      </c>
      <c r="AN118" s="8">
        <v>-58.1</v>
      </c>
      <c r="AO118" s="8">
        <v>-102.5</v>
      </c>
      <c r="AP118" s="8">
        <v>-104.6</v>
      </c>
      <c r="AQ118" s="8">
        <v>-105.9</v>
      </c>
      <c r="AR118" s="8">
        <v>-100.3</v>
      </c>
      <c r="AS118" s="8">
        <v>-100</v>
      </c>
      <c r="AT118" s="8">
        <v>-103.1</v>
      </c>
      <c r="AU118" s="8">
        <v>-108.6</v>
      </c>
      <c r="AV118" s="8">
        <v>-125.1</v>
      </c>
      <c r="AW118" s="8">
        <v>-127.1</v>
      </c>
      <c r="AX118" s="8">
        <v>-28.7</v>
      </c>
      <c r="AY118" s="8">
        <v>56.5</v>
      </c>
      <c r="AZ118" s="8">
        <v>95.09999999999999</v>
      </c>
      <c r="BA118" s="8">
        <v>47.4</v>
      </c>
      <c r="BB118" s="8">
        <v>54.6</v>
      </c>
      <c r="BC118" s="8">
        <v>-54.3</v>
      </c>
      <c r="BD118" s="8">
        <v>-69.5</v>
      </c>
      <c r="BE118" s="8">
        <v>-82.09999999999999</v>
      </c>
      <c r="BF118" s="8">
        <v>-83.7</v>
      </c>
      <c r="BG118" s="8">
        <v>-69.59999999999999</v>
      </c>
      <c r="BH118" s="8">
        <v>15</v>
      </c>
      <c r="BI118" s="8">
        <v>-19.3</v>
      </c>
      <c r="BJ118" s="8">
        <v>-48.7</v>
      </c>
      <c r="BK118" s="8">
        <v>-20.1</v>
      </c>
      <c r="BL118" s="8">
        <v>43.2</v>
      </c>
      <c r="BM118" s="8">
        <v>-6.8</v>
      </c>
      <c r="BN118" s="8">
        <v>-9.4</v>
      </c>
      <c r="BO118" s="8">
        <v>-7.1</v>
      </c>
      <c r="BP118" s="8">
        <v>-17.2</v>
      </c>
      <c r="BQ118" s="8">
        <v>-57.7</v>
      </c>
      <c r="BR118" s="8">
        <v>-89.2</v>
      </c>
      <c r="BS118" s="8">
        <v>-90.09999999999999</v>
      </c>
      <c r="BT118" s="8">
        <v>-81.90000000000001</v>
      </c>
      <c r="BU118" s="8">
        <v>-27.3</v>
      </c>
      <c r="BV118" s="8">
        <v>-55.1</v>
      </c>
      <c r="BW118" s="8">
        <v>-53.2</v>
      </c>
      <c r="BX118" s="8">
        <v>-27.7</v>
      </c>
      <c r="BY118" s="8">
        <v>-39.2</v>
      </c>
      <c r="BZ118" s="8">
        <v>-53.1</v>
      </c>
      <c r="CA118" s="8">
        <v>-68.2</v>
      </c>
      <c r="CB118" s="8">
        <v>-80.40000000000001</v>
      </c>
      <c r="CC118" s="8">
        <v>-110.3</v>
      </c>
      <c r="CD118" s="8">
        <v>-133.1</v>
      </c>
      <c r="CE118" s="8">
        <v>-69.40000000000001</v>
      </c>
      <c r="CF118" s="8">
        <v>-103.8</v>
      </c>
      <c r="CG118" s="8">
        <v>-112.9</v>
      </c>
      <c r="CH118" s="8">
        <v>-108.9</v>
      </c>
      <c r="CI118" s="8">
        <v>-15.6</v>
      </c>
      <c r="CJ118" s="8">
        <v>-80</v>
      </c>
      <c r="CK118" s="8">
        <v>-64</v>
      </c>
      <c r="CL118" s="8">
        <v>-55.3</v>
      </c>
      <c r="CM118" s="8">
        <v>-59.4</v>
      </c>
      <c r="CN118" s="8">
        <v>-47.3</v>
      </c>
      <c r="CO118" s="8">
        <v>-46.9</v>
      </c>
      <c r="CP118" s="8">
        <v>-27.7</v>
      </c>
      <c r="CQ118" s="8">
        <v>-4.3</v>
      </c>
      <c r="CR118" s="8">
        <v>86.3</v>
      </c>
      <c r="CS118" s="8">
        <v>162.8</v>
      </c>
      <c r="CT118" s="8">
        <v>135.1</v>
      </c>
      <c r="CU118" s="8">
        <v>111.5</v>
      </c>
      <c r="CV118" s="8">
        <v>95.2</v>
      </c>
      <c r="CW118" s="8">
        <v>66.8</v>
      </c>
      <c r="CX118" s="8">
        <v>-40.1</v>
      </c>
      <c r="CY118" s="8">
        <v>-286.1</v>
      </c>
      <c r="CZ118" s="8">
        <v>452.1</v>
      </c>
      <c r="DA118" s="8">
        <v>-41.7</v>
      </c>
      <c r="DB118" s="8">
        <v>-22.8</v>
      </c>
      <c r="DC118" s="8">
        <v>-30.1</v>
      </c>
      <c r="DD118" s="8">
        <v>-44.1</v>
      </c>
      <c r="DE118" s="8">
        <v>-154.6</v>
      </c>
      <c r="DF118" s="8">
        <v>-59.2</v>
      </c>
      <c r="DG118" s="8">
        <v>-408.5</v>
      </c>
      <c r="DH118" s="8">
        <v>-200.7</v>
      </c>
      <c r="DI118" s="8">
        <v>-21.9</v>
      </c>
      <c r="DJ118" s="8">
        <v>8.300000000000001</v>
      </c>
      <c r="DK118" s="8">
        <v>-56</v>
      </c>
      <c r="DL118" s="8">
        <v>-44.2</v>
      </c>
      <c r="DM118" s="8">
        <v>-57.5</v>
      </c>
      <c r="DN118" s="8">
        <v>-62.9</v>
      </c>
      <c r="DO118" s="8">
        <v>-4.6</v>
      </c>
      <c r="DP118" s="8">
        <v>41.4</v>
      </c>
      <c r="DQ118" s="8">
        <v>76.90000000000001</v>
      </c>
      <c r="DR118" s="8">
        <v>120.5</v>
      </c>
      <c r="DS118" s="8">
        <v>236.5</v>
      </c>
      <c r="DT118" s="8">
        <v>435.8</v>
      </c>
      <c r="DU118" s="8">
        <v>439</v>
      </c>
      <c r="DV118" s="8">
        <v>298.7</v>
      </c>
      <c r="DW118" s="8">
        <v>176.6</v>
      </c>
      <c r="DX118" s="8">
        <v>124.3</v>
      </c>
      <c r="DY118" s="8">
        <v>99.09999999999999</v>
      </c>
      <c r="DZ118" s="8">
        <v>107.9</v>
      </c>
      <c r="EA118" s="8">
        <v>205.6</v>
      </c>
      <c r="EB118" s="8">
        <v>199.6</v>
      </c>
      <c r="EC118" s="8">
        <v>142.2</v>
      </c>
      <c r="ED118" s="8">
        <v>130.6</v>
      </c>
      <c r="EE118" s="8">
        <v>104.6</v>
      </c>
      <c r="EF118" s="8">
        <v>61</v>
      </c>
      <c r="EG118" s="8">
        <v>55.3</v>
      </c>
      <c r="EH118" s="8">
        <v>86</v>
      </c>
      <c r="EI118" s="8">
        <v>194.2</v>
      </c>
      <c r="EJ118" s="8">
        <v>198.1</v>
      </c>
      <c r="EK118" s="8">
        <v>157.7</v>
      </c>
      <c r="EL118" s="8">
        <v>-88.09999999999999</v>
      </c>
      <c r="EM118" s="8">
        <v>-68.8</v>
      </c>
      <c r="EN118" s="8">
        <v>-55.9</v>
      </c>
      <c r="EO118" s="8">
        <v>-73.8</v>
      </c>
      <c r="EP118" s="8">
        <v>-75.09999999999999</v>
      </c>
      <c r="EQ118" s="8">
        <v>-104.8</v>
      </c>
      <c r="ER118" s="8">
        <v>-155.3</v>
      </c>
      <c r="ES118" s="8">
        <v>-215.2</v>
      </c>
    </row>
    <row r="119" spans="1:155">
      <c r="A119" s="7">
        <v>36.1</v>
      </c>
      <c r="K119" s="8">
        <v>12.5</v>
      </c>
      <c r="L119" s="8">
        <v>97.59999999999999</v>
      </c>
      <c r="M119" s="8">
        <v>-24.5</v>
      </c>
      <c r="N119" s="8">
        <v>-39.6</v>
      </c>
      <c r="O119" s="8">
        <v>-26.1</v>
      </c>
      <c r="P119" s="8">
        <v>-52.1</v>
      </c>
      <c r="Q119" s="8">
        <v>-39.6</v>
      </c>
      <c r="R119" s="8">
        <v>4.8</v>
      </c>
      <c r="S119" s="8">
        <v>-12.5</v>
      </c>
      <c r="T119" s="8">
        <v>-25.4</v>
      </c>
      <c r="U119" s="8">
        <v>-59.7</v>
      </c>
      <c r="V119" s="8">
        <v>-70.59999999999999</v>
      </c>
      <c r="W119" s="8">
        <v>-96.3</v>
      </c>
      <c r="X119" s="8">
        <v>-102.9</v>
      </c>
      <c r="Y119" s="8">
        <v>-87.8</v>
      </c>
      <c r="Z119" s="8">
        <v>-67.59999999999999</v>
      </c>
      <c r="AA119" s="8">
        <v>-66.8</v>
      </c>
      <c r="AB119" s="8">
        <v>-78.40000000000001</v>
      </c>
      <c r="AC119" s="8">
        <v>-254.7</v>
      </c>
      <c r="AD119" s="8">
        <v>-118.8</v>
      </c>
      <c r="AE119" s="8">
        <v>-73.5</v>
      </c>
      <c r="AF119" s="8">
        <v>-73.3</v>
      </c>
      <c r="AG119" s="8">
        <v>-96.90000000000001</v>
      </c>
      <c r="AH119" s="8">
        <v>-116.1</v>
      </c>
      <c r="AI119" s="8">
        <v>-155.7</v>
      </c>
      <c r="AJ119" s="8">
        <v>-131.9</v>
      </c>
      <c r="AK119" s="8">
        <v>-83.09999999999999</v>
      </c>
      <c r="AL119" s="8">
        <v>-90.90000000000001</v>
      </c>
      <c r="AM119" s="8">
        <v>-74.09999999999999</v>
      </c>
      <c r="AN119" s="8">
        <v>-76.8</v>
      </c>
      <c r="AO119" s="8">
        <v>-81.5</v>
      </c>
      <c r="AP119" s="8">
        <v>-88</v>
      </c>
      <c r="AQ119" s="8">
        <v>-92.59999999999999</v>
      </c>
      <c r="AR119" s="8">
        <v>-98.5</v>
      </c>
      <c r="AS119" s="8">
        <v>-99.90000000000001</v>
      </c>
      <c r="AT119" s="8">
        <v>-105.5</v>
      </c>
      <c r="AU119" s="8">
        <v>-109.8</v>
      </c>
      <c r="AV119" s="8">
        <v>-115.8</v>
      </c>
      <c r="AW119" s="8">
        <v>-139.7</v>
      </c>
      <c r="AX119" s="8">
        <v>-88.90000000000001</v>
      </c>
      <c r="AY119" s="8">
        <v>-17.9</v>
      </c>
      <c r="AZ119" s="8">
        <v>58.7</v>
      </c>
      <c r="BA119" s="8">
        <v>50.3</v>
      </c>
      <c r="BB119" s="8">
        <v>69.8</v>
      </c>
      <c r="BC119" s="8">
        <v>52</v>
      </c>
      <c r="BD119" s="8">
        <v>-11.6</v>
      </c>
      <c r="BE119" s="8">
        <v>-35.9</v>
      </c>
      <c r="BF119" s="8">
        <v>-54.9</v>
      </c>
      <c r="BG119" s="8">
        <v>-70.90000000000001</v>
      </c>
      <c r="BH119" s="8">
        <v>-67.2</v>
      </c>
      <c r="BI119" s="8">
        <v>-53.8</v>
      </c>
      <c r="BJ119" s="8">
        <v>-30.2</v>
      </c>
      <c r="BK119" s="8">
        <v>-18.3</v>
      </c>
      <c r="BL119" s="8">
        <v>26.5</v>
      </c>
      <c r="BM119" s="8">
        <v>-17.3</v>
      </c>
      <c r="BN119" s="8">
        <v>-2.5</v>
      </c>
      <c r="BO119" s="8">
        <v>-24.6</v>
      </c>
      <c r="BP119" s="8">
        <v>-9.300000000000001</v>
      </c>
      <c r="BQ119" s="8">
        <v>-61.2</v>
      </c>
      <c r="BR119" s="8">
        <v>-81.09999999999999</v>
      </c>
      <c r="BS119" s="8">
        <v>-80.40000000000001</v>
      </c>
      <c r="BT119" s="8">
        <v>-14.1</v>
      </c>
      <c r="BU119" s="8">
        <v>13.6</v>
      </c>
      <c r="BV119" s="8">
        <v>-19.9</v>
      </c>
      <c r="BW119" s="8">
        <v>-27.6</v>
      </c>
      <c r="BX119" s="8">
        <v>-11</v>
      </c>
      <c r="BY119" s="8">
        <v>-45.9</v>
      </c>
      <c r="BZ119" s="8">
        <v>-14.8</v>
      </c>
      <c r="CA119" s="8">
        <v>-4.9</v>
      </c>
      <c r="CB119" s="8">
        <v>3.8</v>
      </c>
      <c r="CC119" s="8">
        <v>-95.7</v>
      </c>
      <c r="CD119" s="8">
        <v>-139.5</v>
      </c>
      <c r="CE119" s="8">
        <v>-137.2</v>
      </c>
      <c r="CF119" s="8">
        <v>-66.3</v>
      </c>
      <c r="CG119" s="8">
        <v>-73.3</v>
      </c>
      <c r="CH119" s="8">
        <v>-68.5</v>
      </c>
      <c r="CI119" s="8">
        <v>-45.9</v>
      </c>
      <c r="CJ119" s="8">
        <v>-21.4</v>
      </c>
      <c r="CK119" s="8">
        <v>-89.8</v>
      </c>
      <c r="CL119" s="8">
        <v>-96.09999999999999</v>
      </c>
      <c r="CM119" s="8">
        <v>-45.3</v>
      </c>
      <c r="CN119" s="8">
        <v>-8.6</v>
      </c>
      <c r="CO119" s="8">
        <v>-27.1</v>
      </c>
      <c r="CP119" s="8">
        <v>-29.1</v>
      </c>
      <c r="CQ119" s="8">
        <v>-3.9</v>
      </c>
      <c r="CR119" s="8">
        <v>103.3</v>
      </c>
      <c r="CS119" s="8">
        <v>127.8</v>
      </c>
      <c r="CT119" s="8">
        <v>127.4</v>
      </c>
      <c r="CU119" s="8">
        <v>226.7</v>
      </c>
      <c r="CV119" s="8">
        <v>180.7</v>
      </c>
      <c r="CW119" s="8">
        <v>135.1</v>
      </c>
      <c r="CX119" s="8">
        <v>52</v>
      </c>
      <c r="CY119" s="8">
        <v>-26.1</v>
      </c>
      <c r="CZ119" s="8">
        <v>-83.90000000000001</v>
      </c>
      <c r="DA119" s="8">
        <v>-81.3</v>
      </c>
      <c r="DB119" s="8">
        <v>-63.6</v>
      </c>
      <c r="DC119" s="8">
        <v>26.2</v>
      </c>
      <c r="DD119" s="8">
        <v>-112.4</v>
      </c>
      <c r="DE119" s="8">
        <v>197.2</v>
      </c>
      <c r="DF119" s="8">
        <v>-165.4</v>
      </c>
      <c r="DG119" s="8">
        <v>-214</v>
      </c>
      <c r="DH119" s="8">
        <v>-250.1</v>
      </c>
      <c r="DI119" s="8">
        <v>-162.5</v>
      </c>
      <c r="DJ119" s="8">
        <v>-41.1</v>
      </c>
      <c r="DK119" s="8">
        <v>2.1</v>
      </c>
      <c r="DL119" s="8">
        <v>8.300000000000001</v>
      </c>
      <c r="DM119" s="8">
        <v>53.5</v>
      </c>
      <c r="DN119" s="8">
        <v>46.4</v>
      </c>
      <c r="DO119" s="8">
        <v>72.59999999999999</v>
      </c>
      <c r="DP119" s="8">
        <v>68.8</v>
      </c>
      <c r="DQ119" s="8">
        <v>64.40000000000001</v>
      </c>
      <c r="DR119" s="8">
        <v>119.3</v>
      </c>
      <c r="DS119" s="8">
        <v>252</v>
      </c>
      <c r="DT119" s="8">
        <v>83.8</v>
      </c>
      <c r="DU119" s="8">
        <v>151</v>
      </c>
      <c r="DV119" s="8">
        <v>323.1</v>
      </c>
      <c r="DW119" s="8">
        <v>300</v>
      </c>
      <c r="DX119" s="8">
        <v>226.8</v>
      </c>
      <c r="DY119" s="8">
        <v>195.7</v>
      </c>
      <c r="DZ119" s="8">
        <v>247.6</v>
      </c>
      <c r="EA119" s="8">
        <v>367.1</v>
      </c>
      <c r="EB119" s="8">
        <v>273.3</v>
      </c>
      <c r="EC119" s="8">
        <v>293</v>
      </c>
      <c r="ED119" s="8">
        <v>214</v>
      </c>
      <c r="EE119" s="8">
        <v>162.9</v>
      </c>
      <c r="EF119" s="8">
        <v>117.9</v>
      </c>
      <c r="EG119" s="8">
        <v>123.4</v>
      </c>
      <c r="EH119" s="8">
        <v>92.2</v>
      </c>
      <c r="EI119" s="8">
        <v>162.6</v>
      </c>
      <c r="EJ119" s="8">
        <v>100.3</v>
      </c>
      <c r="EK119" s="8">
        <v>83.59999999999999</v>
      </c>
      <c r="EL119" s="8">
        <v>-49.8</v>
      </c>
      <c r="EM119" s="8">
        <v>-84.2</v>
      </c>
      <c r="EN119" s="8">
        <v>-91.7</v>
      </c>
      <c r="EO119" s="8">
        <v>6.9</v>
      </c>
      <c r="EP119" s="8">
        <v>-20.8</v>
      </c>
      <c r="EQ119" s="8">
        <v>-26.5</v>
      </c>
      <c r="ER119" s="8">
        <v>-84.09999999999999</v>
      </c>
      <c r="ES119" s="8">
        <v>-160.3</v>
      </c>
    </row>
    <row r="120" spans="1:155">
      <c r="A120" s="7">
        <v>36.125</v>
      </c>
      <c r="K120" s="8">
        <v>-0.7</v>
      </c>
      <c r="L120" s="8">
        <v>22.2</v>
      </c>
      <c r="M120" s="8">
        <v>38.3</v>
      </c>
      <c r="N120" s="8">
        <v>23</v>
      </c>
      <c r="O120" s="8">
        <v>5.6</v>
      </c>
      <c r="P120" s="8">
        <v>-24.4</v>
      </c>
      <c r="Q120" s="8">
        <v>-65.2</v>
      </c>
      <c r="R120" s="8">
        <v>-25.4</v>
      </c>
      <c r="S120" s="8">
        <v>-7.9</v>
      </c>
      <c r="T120" s="8">
        <v>57.4</v>
      </c>
      <c r="U120" s="8">
        <v>-15.5</v>
      </c>
      <c r="V120" s="8">
        <v>-63.1</v>
      </c>
      <c r="W120" s="8">
        <v>-66.59999999999999</v>
      </c>
      <c r="X120" s="8">
        <v>-82.8</v>
      </c>
      <c r="Y120" s="8">
        <v>-84.7</v>
      </c>
      <c r="Z120" s="8">
        <v>-76.2</v>
      </c>
      <c r="AA120" s="8">
        <v>-68.59999999999999</v>
      </c>
      <c r="AB120" s="8">
        <v>-63.1</v>
      </c>
      <c r="AC120" s="8">
        <v>-52.3</v>
      </c>
      <c r="AD120" s="8">
        <v>-64.7</v>
      </c>
      <c r="AE120" s="8">
        <v>-72.40000000000001</v>
      </c>
      <c r="AF120" s="8">
        <v>-68.2</v>
      </c>
      <c r="AG120" s="8">
        <v>-85.8</v>
      </c>
      <c r="AH120" s="8">
        <v>-72.40000000000001</v>
      </c>
      <c r="AI120" s="8">
        <v>-136.9</v>
      </c>
      <c r="AJ120" s="8">
        <v>-60.5</v>
      </c>
      <c r="AK120" s="8">
        <v>-42.3</v>
      </c>
      <c r="AL120" s="8">
        <v>-58.2</v>
      </c>
      <c r="AM120" s="8">
        <v>-64.59999999999999</v>
      </c>
      <c r="AN120" s="8">
        <v>-74.7</v>
      </c>
      <c r="AO120" s="8">
        <v>-90.09999999999999</v>
      </c>
      <c r="AP120" s="8">
        <v>-105.1</v>
      </c>
      <c r="AQ120" s="8">
        <v>-107.1</v>
      </c>
      <c r="AR120" s="8">
        <v>-108.6</v>
      </c>
      <c r="AS120" s="8">
        <v>-111.1</v>
      </c>
      <c r="AT120" s="8">
        <v>-112.5</v>
      </c>
      <c r="AU120" s="8">
        <v>-115.4</v>
      </c>
      <c r="AV120" s="8">
        <v>-124.2</v>
      </c>
      <c r="AW120" s="8">
        <v>-135.1</v>
      </c>
      <c r="AX120" s="8">
        <v>-119.5</v>
      </c>
      <c r="AY120" s="8">
        <v>-65.5</v>
      </c>
      <c r="AZ120" s="8">
        <v>19.2</v>
      </c>
      <c r="BA120" s="8">
        <v>52.4</v>
      </c>
      <c r="BB120" s="8">
        <v>25.5</v>
      </c>
      <c r="BC120" s="8">
        <v>80.2</v>
      </c>
      <c r="BD120" s="8">
        <v>134.6</v>
      </c>
      <c r="BE120" s="8">
        <v>64.09999999999999</v>
      </c>
      <c r="BF120" s="8">
        <v>-5.5</v>
      </c>
      <c r="BG120" s="8">
        <v>-35.9</v>
      </c>
      <c r="BH120" s="8">
        <v>-55.4</v>
      </c>
      <c r="BI120" s="8">
        <v>-95.09999999999999</v>
      </c>
      <c r="BJ120" s="8">
        <v>-94.8</v>
      </c>
      <c r="BK120" s="8">
        <v>-74</v>
      </c>
      <c r="BL120" s="8">
        <v>51.4</v>
      </c>
      <c r="BM120" s="8">
        <v>-14.7</v>
      </c>
      <c r="BN120" s="8">
        <v>-69.8</v>
      </c>
      <c r="BO120" s="8">
        <v>-21.4</v>
      </c>
      <c r="BP120" s="8">
        <v>7.2</v>
      </c>
      <c r="BQ120" s="8">
        <v>-24.2</v>
      </c>
      <c r="BR120" s="8">
        <v>-25.3</v>
      </c>
      <c r="BS120" s="8">
        <v>-17.5</v>
      </c>
      <c r="BT120" s="8">
        <v>39.5</v>
      </c>
      <c r="BU120" s="8">
        <v>94.8</v>
      </c>
      <c r="BV120" s="8">
        <v>72.7</v>
      </c>
      <c r="BW120" s="8">
        <v>48.9</v>
      </c>
      <c r="BX120" s="8">
        <v>-10.1</v>
      </c>
      <c r="BY120" s="8">
        <v>-65.3</v>
      </c>
      <c r="BZ120" s="8">
        <v>-89</v>
      </c>
      <c r="CA120" s="8">
        <v>-64.3</v>
      </c>
      <c r="CB120" s="8">
        <v>-17.7</v>
      </c>
      <c r="CC120" s="8">
        <v>-73.90000000000001</v>
      </c>
      <c r="CD120" s="8">
        <v>-139.2</v>
      </c>
      <c r="CE120" s="8">
        <v>-65</v>
      </c>
      <c r="CF120" s="8">
        <v>-102.4</v>
      </c>
      <c r="CG120" s="8">
        <v>-73.59999999999999</v>
      </c>
      <c r="CH120" s="8">
        <v>-49.4</v>
      </c>
      <c r="CI120" s="8">
        <v>-39.9</v>
      </c>
      <c r="CJ120" s="8">
        <v>-22.4</v>
      </c>
      <c r="CK120" s="8">
        <v>-87</v>
      </c>
      <c r="CL120" s="8">
        <v>-110.3</v>
      </c>
      <c r="CM120" s="8">
        <v>-121.3</v>
      </c>
      <c r="CN120" s="8">
        <v>-53.1</v>
      </c>
      <c r="CO120" s="8">
        <v>-6.6</v>
      </c>
      <c r="CP120" s="8">
        <v>10.6</v>
      </c>
      <c r="CQ120" s="8">
        <v>-23.7</v>
      </c>
      <c r="CR120" s="8">
        <v>-24.8</v>
      </c>
      <c r="CS120" s="8">
        <v>110.5</v>
      </c>
      <c r="CT120" s="8">
        <v>187.2</v>
      </c>
      <c r="CU120" s="8">
        <v>191</v>
      </c>
      <c r="CV120" s="8">
        <v>146.3</v>
      </c>
      <c r="CW120" s="8">
        <v>165</v>
      </c>
      <c r="CX120" s="8">
        <v>137.8</v>
      </c>
      <c r="CY120" s="8">
        <v>-17.5</v>
      </c>
      <c r="CZ120" s="8">
        <v>-29.5</v>
      </c>
      <c r="DA120" s="8">
        <v>-94.3</v>
      </c>
      <c r="DB120" s="8">
        <v>-55.2</v>
      </c>
      <c r="DC120" s="8">
        <v>-73.2</v>
      </c>
      <c r="DD120" s="8">
        <v>-134.4</v>
      </c>
      <c r="DE120" s="8">
        <v>-183.8</v>
      </c>
      <c r="DF120" s="8">
        <v>-163.5</v>
      </c>
      <c r="DG120" s="8">
        <v>-150.2</v>
      </c>
      <c r="DH120" s="8">
        <v>-146.1</v>
      </c>
      <c r="DI120" s="8">
        <v>-121.9</v>
      </c>
      <c r="DJ120" s="8">
        <v>-48</v>
      </c>
      <c r="DK120" s="8">
        <v>10.6</v>
      </c>
      <c r="DL120" s="8">
        <v>39.7</v>
      </c>
      <c r="DM120" s="8">
        <v>49.4</v>
      </c>
      <c r="DN120" s="8">
        <v>38.3</v>
      </c>
      <c r="DO120" s="8">
        <v>24.3</v>
      </c>
      <c r="DP120" s="8">
        <v>12.7</v>
      </c>
      <c r="DQ120" s="8">
        <v>-3.9</v>
      </c>
      <c r="DR120" s="8">
        <v>209.2</v>
      </c>
      <c r="DS120" s="8">
        <v>95.8</v>
      </c>
      <c r="DT120" s="8">
        <v>113.3</v>
      </c>
      <c r="DU120" s="8">
        <v>73.3</v>
      </c>
      <c r="DV120" s="8">
        <v>177.5</v>
      </c>
      <c r="DW120" s="8">
        <v>425.3</v>
      </c>
      <c r="DX120" s="8">
        <v>544.1</v>
      </c>
      <c r="DY120" s="8">
        <v>370.4</v>
      </c>
      <c r="DZ120" s="8">
        <v>373.6</v>
      </c>
      <c r="EA120" s="8">
        <v>357.3</v>
      </c>
      <c r="EB120" s="8">
        <v>202.4</v>
      </c>
      <c r="EC120" s="8">
        <v>113.6</v>
      </c>
      <c r="ED120" s="8">
        <v>209.1</v>
      </c>
      <c r="EE120" s="8">
        <v>57.9</v>
      </c>
      <c r="EF120" s="8">
        <v>31.4</v>
      </c>
      <c r="EG120" s="8">
        <v>-6.9</v>
      </c>
      <c r="EH120" s="8">
        <v>112.7</v>
      </c>
      <c r="EI120" s="8">
        <v>117.7</v>
      </c>
      <c r="EJ120" s="8">
        <v>88.90000000000001</v>
      </c>
      <c r="EK120" s="8">
        <v>-94.7</v>
      </c>
      <c r="EL120" s="8">
        <v>-36.2</v>
      </c>
      <c r="EM120" s="8">
        <v>-8.6</v>
      </c>
      <c r="EN120" s="8">
        <v>-43</v>
      </c>
      <c r="EO120" s="8">
        <v>4.6</v>
      </c>
      <c r="EP120" s="8">
        <v>4.5</v>
      </c>
      <c r="EQ120" s="8">
        <v>-38</v>
      </c>
      <c r="ER120" s="8">
        <v>-64.7</v>
      </c>
    </row>
    <row r="121" spans="1:155">
      <c r="A121" s="7">
        <v>36.15</v>
      </c>
      <c r="K121" s="8">
        <v>-13.7</v>
      </c>
      <c r="L121" s="8">
        <v>-4.2</v>
      </c>
      <c r="M121" s="8">
        <v>37.9</v>
      </c>
      <c r="N121" s="8">
        <v>69.5</v>
      </c>
      <c r="O121" s="8">
        <v>-1.9</v>
      </c>
      <c r="P121" s="8">
        <v>-50.7</v>
      </c>
      <c r="Q121" s="8">
        <v>-73.09999999999999</v>
      </c>
      <c r="R121" s="8">
        <v>-76.8</v>
      </c>
      <c r="S121" s="8">
        <v>-85.40000000000001</v>
      </c>
      <c r="T121" s="8">
        <v>-35.4</v>
      </c>
      <c r="U121" s="8">
        <v>-87.3</v>
      </c>
      <c r="V121" s="8">
        <v>73.09999999999999</v>
      </c>
      <c r="W121" s="8">
        <v>-62.2</v>
      </c>
      <c r="X121" s="8">
        <v>-83.2</v>
      </c>
      <c r="Y121" s="8">
        <v>-83.5</v>
      </c>
      <c r="Z121" s="8">
        <v>-80.90000000000001</v>
      </c>
      <c r="AA121" s="8">
        <v>-77.09999999999999</v>
      </c>
      <c r="AB121" s="8">
        <v>-82.2</v>
      </c>
      <c r="AC121" s="8">
        <v>-89</v>
      </c>
      <c r="AD121" s="8">
        <v>-75.59999999999999</v>
      </c>
      <c r="AE121" s="8">
        <v>-81.90000000000001</v>
      </c>
      <c r="AF121" s="8">
        <v>-90.8</v>
      </c>
      <c r="AG121" s="8">
        <v>-104.8</v>
      </c>
      <c r="AH121" s="8">
        <v>-104</v>
      </c>
      <c r="AI121" s="8">
        <v>-75.90000000000001</v>
      </c>
      <c r="AJ121" s="8">
        <v>-65</v>
      </c>
      <c r="AK121" s="8">
        <v>83.8</v>
      </c>
      <c r="AL121" s="8">
        <v>-58.3</v>
      </c>
      <c r="AM121" s="8">
        <v>-55.8</v>
      </c>
      <c r="AN121" s="8">
        <v>-51.9</v>
      </c>
      <c r="AO121" s="8">
        <v>-64.40000000000001</v>
      </c>
      <c r="AP121" s="8">
        <v>-107.9</v>
      </c>
      <c r="AQ121" s="8">
        <v>-97.2</v>
      </c>
      <c r="AR121" s="8">
        <v>-97.3</v>
      </c>
      <c r="AS121" s="8">
        <v>-100.7</v>
      </c>
      <c r="AT121" s="8">
        <v>-107.4</v>
      </c>
      <c r="AU121" s="8">
        <v>-109.8</v>
      </c>
      <c r="AV121" s="8">
        <v>-113.5</v>
      </c>
      <c r="AW121" s="8">
        <v>-142.2</v>
      </c>
      <c r="AX121" s="8">
        <v>-163.3</v>
      </c>
      <c r="AY121" s="8">
        <v>-149.8</v>
      </c>
      <c r="AZ121" s="8">
        <v>-28.7</v>
      </c>
      <c r="BA121" s="8">
        <v>21.6</v>
      </c>
      <c r="BB121" s="8">
        <v>-6.3</v>
      </c>
      <c r="BC121" s="8">
        <v>2.7</v>
      </c>
      <c r="BD121" s="8">
        <v>56.9</v>
      </c>
      <c r="BE121" s="8">
        <v>129</v>
      </c>
      <c r="BF121" s="8">
        <v>101.3</v>
      </c>
      <c r="BG121" s="8">
        <v>29.7</v>
      </c>
      <c r="BH121" s="8">
        <v>-13.5</v>
      </c>
      <c r="BI121" s="8">
        <v>-31.4</v>
      </c>
      <c r="BJ121" s="8">
        <v>-69</v>
      </c>
      <c r="BK121" s="8">
        <v>-134.5</v>
      </c>
      <c r="BL121" s="8">
        <v>-33.7</v>
      </c>
      <c r="BM121" s="8">
        <v>-68.5</v>
      </c>
      <c r="BN121" s="8">
        <v>-41.3</v>
      </c>
      <c r="BO121" s="8">
        <v>5.3</v>
      </c>
      <c r="BP121" s="8">
        <v>-34.6</v>
      </c>
      <c r="BQ121" s="8">
        <v>-18.9</v>
      </c>
      <c r="BR121" s="8">
        <v>-0.6</v>
      </c>
      <c r="BS121" s="8">
        <v>8.199999999999999</v>
      </c>
      <c r="BT121" s="8">
        <v>-3.5</v>
      </c>
      <c r="BU121" s="8">
        <v>35.3</v>
      </c>
      <c r="BV121" s="8">
        <v>12</v>
      </c>
      <c r="BW121" s="8">
        <v>16</v>
      </c>
      <c r="BX121" s="8">
        <v>25.8</v>
      </c>
      <c r="BY121" s="8">
        <v>0.3</v>
      </c>
      <c r="BZ121" s="8">
        <v>-8.5</v>
      </c>
      <c r="CA121" s="8">
        <v>7.2</v>
      </c>
      <c r="CB121" s="8">
        <v>1.2</v>
      </c>
      <c r="CC121" s="8">
        <v>-32.6</v>
      </c>
      <c r="CD121" s="8">
        <v>-50.8</v>
      </c>
      <c r="CE121" s="8">
        <v>-76.7</v>
      </c>
      <c r="CF121" s="8">
        <v>-92.2</v>
      </c>
      <c r="CG121" s="8">
        <v>-115.1</v>
      </c>
      <c r="CH121" s="8">
        <v>-80.90000000000001</v>
      </c>
      <c r="CI121" s="8">
        <v>-37.4</v>
      </c>
      <c r="CJ121" s="8">
        <v>-42.6</v>
      </c>
      <c r="CK121" s="8">
        <v>-75.59999999999999</v>
      </c>
      <c r="CL121" s="8">
        <v>-122.8</v>
      </c>
      <c r="CM121" s="8">
        <v>-125.2</v>
      </c>
      <c r="CN121" s="8">
        <v>-83.90000000000001</v>
      </c>
      <c r="CO121" s="8">
        <v>-59.7</v>
      </c>
      <c r="CP121" s="8">
        <v>-10.9</v>
      </c>
      <c r="CQ121" s="8">
        <v>-112.8</v>
      </c>
      <c r="CR121" s="8">
        <v>-117.6</v>
      </c>
      <c r="CS121" s="8">
        <v>-91.3</v>
      </c>
      <c r="CT121" s="8">
        <v>48.1</v>
      </c>
      <c r="CU121" s="8">
        <v>227.6</v>
      </c>
      <c r="CV121" s="8">
        <v>-42.2</v>
      </c>
      <c r="CW121" s="8">
        <v>-1.9</v>
      </c>
      <c r="CX121" s="8">
        <v>-49.5</v>
      </c>
      <c r="CY121" s="8">
        <v>-14.6</v>
      </c>
      <c r="CZ121" s="8">
        <v>-44.2</v>
      </c>
      <c r="DA121" s="8">
        <v>-54.8</v>
      </c>
      <c r="DB121" s="8">
        <v>-48.9</v>
      </c>
      <c r="DC121" s="8">
        <v>37.5</v>
      </c>
      <c r="DD121" s="8">
        <v>-15</v>
      </c>
      <c r="DE121" s="8">
        <v>-90</v>
      </c>
      <c r="DF121" s="8">
        <v>-94.7</v>
      </c>
      <c r="DG121" s="8">
        <v>-102.5</v>
      </c>
      <c r="DH121" s="8">
        <v>-117</v>
      </c>
      <c r="DI121" s="8">
        <v>-112.8</v>
      </c>
      <c r="DJ121" s="8">
        <v>-85</v>
      </c>
      <c r="DK121" s="8">
        <v>-36.3</v>
      </c>
      <c r="DL121" s="8">
        <v>-0.2</v>
      </c>
      <c r="DM121" s="8">
        <v>13.2</v>
      </c>
      <c r="DN121" s="8">
        <v>23.2</v>
      </c>
      <c r="DO121" s="8">
        <v>25.7</v>
      </c>
      <c r="DP121" s="8">
        <v>21.9</v>
      </c>
      <c r="DQ121" s="8">
        <v>16.1</v>
      </c>
      <c r="DR121" s="8">
        <v>-21.4</v>
      </c>
      <c r="DS121" s="8">
        <v>101.3</v>
      </c>
      <c r="DT121" s="8">
        <v>-63.9</v>
      </c>
      <c r="DU121" s="8">
        <v>64.09999999999999</v>
      </c>
      <c r="DV121" s="8">
        <v>256.6</v>
      </c>
      <c r="DW121" s="8">
        <v>365.7</v>
      </c>
      <c r="DX121" s="8">
        <v>487.4</v>
      </c>
      <c r="DY121" s="8">
        <v>256.9</v>
      </c>
      <c r="DZ121" s="8">
        <v>358.3</v>
      </c>
      <c r="EA121" s="8">
        <v>397.8</v>
      </c>
      <c r="EB121" s="8">
        <v>113.2</v>
      </c>
      <c r="EC121" s="8">
        <v>225.1</v>
      </c>
      <c r="ED121" s="8">
        <v>72.3</v>
      </c>
      <c r="EE121" s="8">
        <v>2.3</v>
      </c>
      <c r="EF121" s="8">
        <v>-19.6</v>
      </c>
      <c r="EG121" s="8">
        <v>-124.2</v>
      </c>
      <c r="EH121" s="8">
        <v>137.8</v>
      </c>
      <c r="EI121" s="8">
        <v>63.9</v>
      </c>
      <c r="EJ121" s="8">
        <v>-42.5</v>
      </c>
      <c r="EK121" s="8">
        <v>43.2</v>
      </c>
      <c r="EL121" s="8">
        <v>87.09999999999999</v>
      </c>
      <c r="EM121" s="8">
        <v>88.7</v>
      </c>
      <c r="EN121" s="8">
        <v>-52.6</v>
      </c>
      <c r="EO121" s="8">
        <v>-68.40000000000001</v>
      </c>
      <c r="EP121" s="8">
        <v>-39.2</v>
      </c>
      <c r="EQ121" s="8">
        <v>-69.90000000000001</v>
      </c>
      <c r="ER121" s="8">
        <v>-4.9</v>
      </c>
    </row>
    <row r="122" spans="1:155">
      <c r="A122" s="7">
        <v>36.175</v>
      </c>
      <c r="K122" s="8">
        <v>-30.5</v>
      </c>
      <c r="L122" s="8">
        <v>0.1</v>
      </c>
      <c r="M122" s="8">
        <v>119.1</v>
      </c>
      <c r="N122" s="8">
        <v>25.7</v>
      </c>
      <c r="O122" s="8">
        <v>22</v>
      </c>
      <c r="P122" s="8">
        <v>-2.2</v>
      </c>
      <c r="Q122" s="8">
        <v>-36</v>
      </c>
      <c r="R122" s="8">
        <v>-10.2</v>
      </c>
      <c r="S122" s="8">
        <v>-44.1</v>
      </c>
      <c r="T122" s="8">
        <v>-52.1</v>
      </c>
      <c r="U122" s="8">
        <v>27.3</v>
      </c>
      <c r="V122" s="8">
        <v>-84.2</v>
      </c>
      <c r="W122" s="8">
        <v>120.3</v>
      </c>
      <c r="X122" s="8">
        <v>-66.3</v>
      </c>
      <c r="Y122" s="8">
        <v>-77.7</v>
      </c>
      <c r="Z122" s="8">
        <v>-71.5</v>
      </c>
      <c r="AA122" s="8">
        <v>-70.2</v>
      </c>
      <c r="AB122" s="8">
        <v>-65.5</v>
      </c>
      <c r="AC122" s="8">
        <v>-65.2</v>
      </c>
      <c r="AD122" s="8">
        <v>-61.8</v>
      </c>
      <c r="AE122" s="8">
        <v>-72</v>
      </c>
      <c r="AF122" s="8">
        <v>-75</v>
      </c>
      <c r="AG122" s="8">
        <v>-88.2</v>
      </c>
      <c r="AH122" s="8">
        <v>-74.90000000000001</v>
      </c>
      <c r="AI122" s="8">
        <v>-203.4</v>
      </c>
      <c r="AJ122" s="8">
        <v>-57.6</v>
      </c>
      <c r="AK122" s="8">
        <v>-81.5</v>
      </c>
      <c r="AL122" s="8">
        <v>-36.5</v>
      </c>
      <c r="AM122" s="8">
        <v>-32.6</v>
      </c>
      <c r="AN122" s="8">
        <v>-37.9</v>
      </c>
      <c r="AO122" s="8">
        <v>-44</v>
      </c>
      <c r="AP122" s="8">
        <v>-95.5</v>
      </c>
      <c r="AQ122" s="8">
        <v>-99.59999999999999</v>
      </c>
      <c r="AR122" s="8">
        <v>-91.40000000000001</v>
      </c>
      <c r="AS122" s="8">
        <v>-90.3</v>
      </c>
      <c r="AT122" s="8">
        <v>-91.90000000000001</v>
      </c>
      <c r="AU122" s="8">
        <v>-95</v>
      </c>
      <c r="AV122" s="8">
        <v>-102.2</v>
      </c>
      <c r="AW122" s="8">
        <v>-110.5</v>
      </c>
      <c r="AX122" s="8">
        <v>-132.4</v>
      </c>
      <c r="AY122" s="8">
        <v>-169.8</v>
      </c>
      <c r="AZ122" s="8">
        <v>-155.3</v>
      </c>
      <c r="BA122" s="8">
        <v>-43.5</v>
      </c>
      <c r="BB122" s="8">
        <v>-7.8</v>
      </c>
      <c r="BC122" s="8">
        <v>5.2</v>
      </c>
      <c r="BD122" s="8">
        <v>11.7</v>
      </c>
      <c r="BE122" s="8">
        <v>2.7</v>
      </c>
      <c r="BF122" s="8">
        <v>81.3</v>
      </c>
      <c r="BG122" s="8">
        <v>88.40000000000001</v>
      </c>
      <c r="BH122" s="8">
        <v>-8.1</v>
      </c>
      <c r="BI122" s="8">
        <v>-62.5</v>
      </c>
      <c r="BJ122" s="8">
        <v>126.4</v>
      </c>
      <c r="BK122" s="8">
        <v>-113.6</v>
      </c>
      <c r="BL122" s="8">
        <v>-130.8</v>
      </c>
      <c r="BM122" s="8">
        <v>-106</v>
      </c>
      <c r="BN122" s="8">
        <v>-75.2</v>
      </c>
      <c r="BO122" s="8">
        <v>-75</v>
      </c>
      <c r="BP122" s="8">
        <v>-34.4</v>
      </c>
      <c r="BQ122" s="8">
        <v>-35.2</v>
      </c>
      <c r="BR122" s="8">
        <v>-39.2</v>
      </c>
      <c r="BS122" s="8">
        <v>-23</v>
      </c>
      <c r="BT122" s="8">
        <v>-20.7</v>
      </c>
      <c r="BU122" s="8">
        <v>3.9</v>
      </c>
      <c r="BV122" s="8">
        <v>3.3</v>
      </c>
      <c r="BW122" s="8">
        <v>1.6</v>
      </c>
      <c r="BX122" s="8">
        <v>44.5</v>
      </c>
      <c r="BY122" s="8">
        <v>12.4</v>
      </c>
      <c r="BZ122" s="8">
        <v>-6.1</v>
      </c>
      <c r="CA122" s="8">
        <v>21.2</v>
      </c>
      <c r="CB122" s="8">
        <v>61</v>
      </c>
      <c r="CC122" s="8">
        <v>9</v>
      </c>
      <c r="CD122" s="8">
        <v>-18.8</v>
      </c>
      <c r="CE122" s="8">
        <v>-47.9</v>
      </c>
      <c r="CF122" s="8">
        <v>-78</v>
      </c>
      <c r="CG122" s="8">
        <v>-52.6</v>
      </c>
      <c r="CH122" s="8">
        <v>-91.2</v>
      </c>
      <c r="CI122" s="8">
        <v>-118.6</v>
      </c>
      <c r="CJ122" s="8">
        <v>-19.7</v>
      </c>
      <c r="CK122" s="8">
        <v>-4.4</v>
      </c>
      <c r="CL122" s="8">
        <v>-36.7</v>
      </c>
      <c r="CM122" s="8">
        <v>-112.3</v>
      </c>
      <c r="CN122" s="8">
        <v>-128.8</v>
      </c>
      <c r="CO122" s="8">
        <v>-32.5</v>
      </c>
      <c r="CP122" s="8">
        <v>-55.1</v>
      </c>
      <c r="CQ122" s="8">
        <v>-36.8</v>
      </c>
      <c r="CR122" s="8">
        <v>-42.1</v>
      </c>
      <c r="CS122" s="8">
        <v>-78.40000000000001</v>
      </c>
      <c r="CT122" s="8">
        <v>-123.3</v>
      </c>
      <c r="CU122" s="8">
        <v>-119.3</v>
      </c>
      <c r="CV122" s="8">
        <v>-70.59999999999999</v>
      </c>
      <c r="CW122" s="8">
        <v>-25.6</v>
      </c>
      <c r="CX122" s="8">
        <v>58.6</v>
      </c>
      <c r="CY122" s="8">
        <v>258.2</v>
      </c>
      <c r="CZ122" s="8">
        <v>29.5</v>
      </c>
      <c r="DA122" s="8">
        <v>-12.9</v>
      </c>
      <c r="DB122" s="8">
        <v>-18.8</v>
      </c>
      <c r="DC122" s="8">
        <v>-19.2</v>
      </c>
      <c r="DD122" s="8">
        <v>48.5</v>
      </c>
      <c r="DE122" s="8">
        <v>-32.8</v>
      </c>
      <c r="DF122" s="8">
        <v>-63.8</v>
      </c>
      <c r="DG122" s="8">
        <v>-89.8</v>
      </c>
      <c r="DH122" s="8">
        <v>-114.1</v>
      </c>
      <c r="DI122" s="8">
        <v>-121</v>
      </c>
      <c r="DJ122" s="8">
        <v>-113.8</v>
      </c>
      <c r="DK122" s="8">
        <v>-90</v>
      </c>
      <c r="DL122" s="8">
        <v>-56.2</v>
      </c>
      <c r="DM122" s="8">
        <v>-25</v>
      </c>
      <c r="DN122" s="8">
        <v>-7.5</v>
      </c>
      <c r="DO122" s="8">
        <v>2.1</v>
      </c>
      <c r="DP122" s="8">
        <v>1.2</v>
      </c>
      <c r="DQ122" s="8">
        <v>20.9</v>
      </c>
      <c r="DR122" s="8">
        <v>-42.2</v>
      </c>
      <c r="DS122" s="8">
        <v>-17.6</v>
      </c>
      <c r="DT122" s="8">
        <v>88.90000000000001</v>
      </c>
      <c r="DU122" s="8">
        <v>328.9</v>
      </c>
      <c r="DV122" s="8">
        <v>421.1</v>
      </c>
      <c r="DW122" s="8">
        <v>317.5</v>
      </c>
      <c r="DX122" s="8">
        <v>117.2</v>
      </c>
      <c r="DY122" s="8">
        <v>195</v>
      </c>
      <c r="DZ122" s="8">
        <v>68.59999999999999</v>
      </c>
      <c r="EA122" s="8">
        <v>247</v>
      </c>
      <c r="EB122" s="8">
        <v>259</v>
      </c>
      <c r="EC122" s="8">
        <v>68.09999999999999</v>
      </c>
      <c r="ED122" s="8">
        <v>-76</v>
      </c>
      <c r="EE122" s="8">
        <v>-99.5</v>
      </c>
      <c r="EF122" s="8">
        <v>26.7</v>
      </c>
      <c r="EG122" s="8">
        <v>-101.8</v>
      </c>
      <c r="EH122" s="8">
        <v>-149.6</v>
      </c>
      <c r="EI122" s="8">
        <v>-39.4</v>
      </c>
      <c r="EJ122" s="8">
        <v>-100.6</v>
      </c>
      <c r="EK122" s="8">
        <v>-92.59999999999999</v>
      </c>
      <c r="EL122" s="8">
        <v>-87.5</v>
      </c>
      <c r="EM122" s="8">
        <v>104.4</v>
      </c>
      <c r="EN122" s="8">
        <v>9.4</v>
      </c>
      <c r="EO122" s="8">
        <v>-61.8</v>
      </c>
      <c r="EP122" s="8">
        <v>-76.8</v>
      </c>
      <c r="EQ122" s="8">
        <v>9.199999999999999</v>
      </c>
      <c r="ER122" s="8">
        <v>101.5</v>
      </c>
    </row>
    <row r="123" spans="1:155">
      <c r="A123" s="7">
        <v>36.2</v>
      </c>
      <c r="K123" s="8">
        <v>-54.7</v>
      </c>
      <c r="L123" s="8">
        <v>-16.3</v>
      </c>
      <c r="M123" s="8">
        <v>-8</v>
      </c>
      <c r="N123" s="8">
        <v>7</v>
      </c>
      <c r="O123" s="8">
        <v>53.9</v>
      </c>
      <c r="P123" s="8">
        <v>29.6</v>
      </c>
      <c r="Q123" s="8">
        <v>-7.1</v>
      </c>
      <c r="R123" s="8">
        <v>42.1</v>
      </c>
      <c r="S123" s="8">
        <v>-16.7</v>
      </c>
      <c r="T123" s="8">
        <v>36.9</v>
      </c>
      <c r="U123" s="8">
        <v>-58.2</v>
      </c>
      <c r="V123" s="8">
        <v>-5.1</v>
      </c>
      <c r="W123" s="8">
        <v>-136.4</v>
      </c>
      <c r="X123" s="8">
        <v>-102.1</v>
      </c>
      <c r="Y123" s="8">
        <v>-76.7</v>
      </c>
      <c r="Z123" s="8">
        <v>-73</v>
      </c>
      <c r="AA123" s="8">
        <v>-64.3</v>
      </c>
      <c r="AB123" s="8">
        <v>-62.3</v>
      </c>
      <c r="AC123" s="8">
        <v>-59.4</v>
      </c>
      <c r="AD123" s="8">
        <v>-55.7</v>
      </c>
      <c r="AE123" s="8">
        <v>-79.2</v>
      </c>
      <c r="AF123" s="8">
        <v>-58.9</v>
      </c>
      <c r="AG123" s="8">
        <v>-100.9</v>
      </c>
      <c r="AH123" s="8">
        <v>-79.2</v>
      </c>
      <c r="AI123" s="8">
        <v>-114.3</v>
      </c>
      <c r="AJ123" s="8">
        <v>-96.59999999999999</v>
      </c>
      <c r="AK123" s="8">
        <v>-56.5</v>
      </c>
      <c r="AL123" s="8">
        <v>-79.90000000000001</v>
      </c>
      <c r="AM123" s="8">
        <v>-54.7</v>
      </c>
      <c r="AN123" s="8">
        <v>-24.3</v>
      </c>
      <c r="AO123" s="8">
        <v>-10.2</v>
      </c>
      <c r="AP123" s="8">
        <v>-83.5</v>
      </c>
      <c r="AQ123" s="8">
        <v>-80</v>
      </c>
      <c r="AR123" s="8">
        <v>-80.7</v>
      </c>
      <c r="AS123" s="8">
        <v>-89.2</v>
      </c>
      <c r="AT123" s="8">
        <v>-85.90000000000001</v>
      </c>
      <c r="AU123" s="8">
        <v>-85.5</v>
      </c>
      <c r="AV123" s="8">
        <v>-81.09999999999999</v>
      </c>
      <c r="AW123" s="8">
        <v>-77.40000000000001</v>
      </c>
      <c r="AX123" s="8">
        <v>-91.8</v>
      </c>
      <c r="AY123" s="8">
        <v>-128.5</v>
      </c>
      <c r="AZ123" s="8">
        <v>-184.9</v>
      </c>
      <c r="BA123" s="8">
        <v>-92.3</v>
      </c>
      <c r="BB123" s="8">
        <v>-7.4</v>
      </c>
      <c r="BC123" s="8">
        <v>-16</v>
      </c>
      <c r="BD123" s="8">
        <v>-14</v>
      </c>
      <c r="BE123" s="8">
        <v>-0.2</v>
      </c>
      <c r="BF123" s="8">
        <v>61</v>
      </c>
      <c r="BG123" s="8">
        <v>91.8</v>
      </c>
      <c r="BH123" s="8">
        <v>9.4</v>
      </c>
      <c r="BI123" s="8">
        <v>-44.6</v>
      </c>
      <c r="BJ123" s="8">
        <v>-87.40000000000001</v>
      </c>
      <c r="BK123" s="8">
        <v>-29.6</v>
      </c>
      <c r="BL123" s="8">
        <v>-8.1</v>
      </c>
      <c r="BM123" s="8">
        <v>-51.2</v>
      </c>
      <c r="BN123" s="8">
        <v>-73.59999999999999</v>
      </c>
      <c r="BO123" s="8">
        <v>-101.4</v>
      </c>
      <c r="BP123" s="8">
        <v>-117.1</v>
      </c>
      <c r="BQ123" s="8">
        <v>103.5</v>
      </c>
      <c r="BR123" s="8">
        <v>-51.8</v>
      </c>
      <c r="BS123" s="8">
        <v>-75.7</v>
      </c>
      <c r="BT123" s="8">
        <v>-76.2</v>
      </c>
      <c r="BU123" s="8">
        <v>-29.8</v>
      </c>
      <c r="BV123" s="8">
        <v>-37.5</v>
      </c>
      <c r="BW123" s="8">
        <v>-27</v>
      </c>
      <c r="BX123" s="8">
        <v>1.3</v>
      </c>
      <c r="BY123" s="8">
        <v>14.4</v>
      </c>
      <c r="BZ123" s="8">
        <v>41</v>
      </c>
      <c r="CA123" s="8">
        <v>60.8</v>
      </c>
      <c r="CB123" s="8">
        <v>62.8</v>
      </c>
      <c r="CC123" s="8">
        <v>58.4</v>
      </c>
      <c r="CD123" s="8">
        <v>42</v>
      </c>
      <c r="CE123" s="8">
        <v>-15.9</v>
      </c>
      <c r="CF123" s="8">
        <v>-62.8</v>
      </c>
      <c r="CG123" s="8">
        <v>-177.4</v>
      </c>
      <c r="CH123" s="8">
        <v>-51.5</v>
      </c>
      <c r="CI123" s="8">
        <v>-82.8</v>
      </c>
      <c r="CJ123" s="8">
        <v>-91.7</v>
      </c>
      <c r="CK123" s="8">
        <v>-34.4</v>
      </c>
      <c r="CL123" s="8">
        <v>-20.8</v>
      </c>
      <c r="CM123" s="8">
        <v>-61.1</v>
      </c>
      <c r="CN123" s="8">
        <v>-140.2</v>
      </c>
      <c r="CO123" s="8">
        <v>-15.2</v>
      </c>
      <c r="CP123" s="8">
        <v>-32.7</v>
      </c>
      <c r="CQ123" s="8">
        <v>-35</v>
      </c>
      <c r="CR123" s="8">
        <v>-39.1</v>
      </c>
      <c r="CS123" s="8">
        <v>-60.2</v>
      </c>
      <c r="CT123" s="8">
        <v>-63.9</v>
      </c>
      <c r="CU123" s="8">
        <v>-88.3</v>
      </c>
      <c r="CV123" s="8">
        <v>-113.2</v>
      </c>
      <c r="CW123" s="8">
        <v>-146.6</v>
      </c>
      <c r="CX123" s="8">
        <v>-179.5</v>
      </c>
      <c r="CY123" s="8">
        <v>-90</v>
      </c>
      <c r="CZ123" s="8">
        <v>19.1</v>
      </c>
      <c r="DA123" s="8">
        <v>-15.9</v>
      </c>
      <c r="DB123" s="8">
        <v>24.8</v>
      </c>
      <c r="DC123" s="8">
        <v>24.4</v>
      </c>
      <c r="DD123" s="8">
        <v>57.8</v>
      </c>
      <c r="DE123" s="8">
        <v>49.1</v>
      </c>
      <c r="DF123" s="8">
        <v>-11.3</v>
      </c>
      <c r="DG123" s="8">
        <v>-55.4</v>
      </c>
      <c r="DH123" s="8">
        <v>-102.6</v>
      </c>
      <c r="DI123" s="8">
        <v>-121.2</v>
      </c>
      <c r="DJ123" s="8">
        <v>-124.7</v>
      </c>
      <c r="DK123" s="8">
        <v>-120.5</v>
      </c>
      <c r="DL123" s="8">
        <v>-93.40000000000001</v>
      </c>
      <c r="DM123" s="8">
        <v>-62</v>
      </c>
      <c r="DN123" s="8">
        <v>-31</v>
      </c>
      <c r="DO123" s="8">
        <v>-13.8</v>
      </c>
      <c r="DP123" s="8">
        <v>-8.5</v>
      </c>
      <c r="DQ123" s="8">
        <v>-12.8</v>
      </c>
      <c r="DR123" s="8">
        <v>-81</v>
      </c>
      <c r="DS123" s="8">
        <v>-79.40000000000001</v>
      </c>
      <c r="DT123" s="8">
        <v>-12.5</v>
      </c>
      <c r="DU123" s="8">
        <v>411.3</v>
      </c>
      <c r="DV123" s="8">
        <v>288.7</v>
      </c>
      <c r="DW123" s="8">
        <v>142.3</v>
      </c>
      <c r="DX123" s="8">
        <v>227.4</v>
      </c>
      <c r="DY123" s="8">
        <v>78.09999999999999</v>
      </c>
      <c r="DZ123" s="8">
        <v>-55.8</v>
      </c>
      <c r="EA123" s="8">
        <v>-164.5</v>
      </c>
      <c r="EB123" s="8">
        <v>-95.40000000000001</v>
      </c>
      <c r="EC123" s="8">
        <v>-164.2</v>
      </c>
      <c r="ED123" s="8">
        <v>-116.5</v>
      </c>
      <c r="EE123" s="8">
        <v>-87.09999999999999</v>
      </c>
      <c r="EF123" s="8">
        <v>-190.8</v>
      </c>
      <c r="EG123" s="8">
        <v>-71.59999999999999</v>
      </c>
      <c r="EH123" s="8">
        <v>-97.3</v>
      </c>
      <c r="EI123" s="8">
        <v>-82.2</v>
      </c>
      <c r="EJ123" s="8">
        <v>6.3</v>
      </c>
      <c r="EK123" s="8">
        <v>1.3</v>
      </c>
      <c r="EL123" s="8">
        <v>58.8</v>
      </c>
      <c r="EM123" s="8">
        <v>220.6</v>
      </c>
      <c r="EN123" s="8">
        <v>75.2</v>
      </c>
      <c r="EO123" s="8">
        <v>-37.6</v>
      </c>
      <c r="EP123" s="8">
        <v>-34.6</v>
      </c>
      <c r="EQ123" s="8">
        <v>167.8</v>
      </c>
    </row>
    <row r="124" spans="1:155">
      <c r="A124" s="7">
        <v>36.225</v>
      </c>
      <c r="L124" s="8">
        <v>-121.1</v>
      </c>
      <c r="M124" s="8">
        <v>-55</v>
      </c>
      <c r="N124" s="8">
        <v>10.4</v>
      </c>
      <c r="O124" s="8">
        <v>188.9</v>
      </c>
      <c r="P124" s="8">
        <v>82.90000000000001</v>
      </c>
      <c r="Q124" s="8">
        <v>30.4</v>
      </c>
      <c r="R124" s="8">
        <v>53.9</v>
      </c>
      <c r="S124" s="8">
        <v>-60.2</v>
      </c>
      <c r="T124" s="8">
        <v>9.9</v>
      </c>
      <c r="U124" s="8">
        <v>-90.8</v>
      </c>
      <c r="V124" s="8">
        <v>-85</v>
      </c>
      <c r="W124" s="8">
        <v>-76.5</v>
      </c>
      <c r="X124" s="8">
        <v>-78.09999999999999</v>
      </c>
      <c r="Y124" s="8">
        <v>-69.90000000000001</v>
      </c>
      <c r="Z124" s="8">
        <v>-68.90000000000001</v>
      </c>
      <c r="AA124" s="8">
        <v>-53.4</v>
      </c>
      <c r="AB124" s="8">
        <v>-49.4</v>
      </c>
      <c r="AC124" s="8">
        <v>-44.3</v>
      </c>
      <c r="AD124" s="8">
        <v>-52.1</v>
      </c>
      <c r="AE124" s="8">
        <v>-66.7</v>
      </c>
      <c r="AF124" s="8">
        <v>-81.90000000000001</v>
      </c>
      <c r="AG124" s="8">
        <v>-46.3</v>
      </c>
      <c r="AH124" s="8">
        <v>-77.2</v>
      </c>
      <c r="AI124" s="8">
        <v>-95.59999999999999</v>
      </c>
      <c r="AJ124" s="8">
        <v>-95.7</v>
      </c>
      <c r="AK124" s="8">
        <v>-88.40000000000001</v>
      </c>
      <c r="AL124" s="8">
        <v>-73.90000000000001</v>
      </c>
      <c r="AM124" s="8">
        <v>-68.40000000000001</v>
      </c>
      <c r="AN124" s="8">
        <v>-69.7</v>
      </c>
      <c r="AO124" s="8">
        <v>12.9</v>
      </c>
      <c r="AP124" s="8">
        <v>-45.3</v>
      </c>
      <c r="AQ124" s="8">
        <v>-43.2</v>
      </c>
      <c r="AR124" s="8">
        <v>-70.09999999999999</v>
      </c>
      <c r="AS124" s="8">
        <v>-87.2</v>
      </c>
      <c r="AT124" s="8">
        <v>-98.5</v>
      </c>
      <c r="AU124" s="8">
        <v>-94.90000000000001</v>
      </c>
      <c r="AV124" s="8">
        <v>-86.40000000000001</v>
      </c>
      <c r="AW124" s="8">
        <v>-77.40000000000001</v>
      </c>
      <c r="AX124" s="8">
        <v>-71.2</v>
      </c>
      <c r="AY124" s="8">
        <v>-86.09999999999999</v>
      </c>
      <c r="AZ124" s="8">
        <v>-134.3</v>
      </c>
      <c r="BA124" s="8">
        <v>-189.8</v>
      </c>
      <c r="BB124" s="8">
        <v>-62.5</v>
      </c>
      <c r="BC124" s="8">
        <v>-10.9</v>
      </c>
      <c r="BD124" s="8">
        <v>-3.6</v>
      </c>
      <c r="BE124" s="8">
        <v>-11.8</v>
      </c>
      <c r="BF124" s="8">
        <v>-6</v>
      </c>
      <c r="BG124" s="8">
        <v>-6.6</v>
      </c>
      <c r="BH124" s="8">
        <v>-32</v>
      </c>
      <c r="BI124" s="8">
        <v>-21.1</v>
      </c>
      <c r="BJ124" s="8">
        <v>-50</v>
      </c>
      <c r="BK124" s="8">
        <v>-69.3</v>
      </c>
      <c r="BL124" s="8">
        <v>-53</v>
      </c>
      <c r="BM124" s="8">
        <v>-34.1</v>
      </c>
      <c r="BN124" s="8">
        <v>-26.9</v>
      </c>
      <c r="BO124" s="8">
        <v>-50.9</v>
      </c>
      <c r="BP124" s="8">
        <v>-42</v>
      </c>
      <c r="BQ124" s="8">
        <v>-7.6</v>
      </c>
      <c r="BR124" s="8">
        <v>-62.3</v>
      </c>
      <c r="BS124" s="8">
        <v>-87.8</v>
      </c>
      <c r="BT124" s="8">
        <v>-52.1</v>
      </c>
      <c r="BU124" s="8">
        <v>-101.4</v>
      </c>
      <c r="BV124" s="8">
        <v>-47.7</v>
      </c>
      <c r="BW124" s="8">
        <v>-44.7</v>
      </c>
      <c r="BX124" s="8">
        <v>-17.2</v>
      </c>
      <c r="BY124" s="8">
        <v>-5</v>
      </c>
      <c r="BZ124" s="8">
        <v>34.6</v>
      </c>
      <c r="CA124" s="8">
        <v>44.3</v>
      </c>
      <c r="CB124" s="8">
        <v>12.3</v>
      </c>
      <c r="CC124" s="8">
        <v>-26.9</v>
      </c>
      <c r="CD124" s="8">
        <v>13.7</v>
      </c>
      <c r="CE124" s="8">
        <v>-30.6</v>
      </c>
      <c r="CF124" s="8">
        <v>-57.3</v>
      </c>
      <c r="CG124" s="8">
        <v>-54</v>
      </c>
      <c r="CH124" s="8">
        <v>-80.40000000000001</v>
      </c>
      <c r="CI124" s="8">
        <v>-78.40000000000001</v>
      </c>
      <c r="CJ124" s="8">
        <v>-62.4</v>
      </c>
      <c r="CK124" s="8">
        <v>-111.2</v>
      </c>
      <c r="CL124" s="8">
        <v>-18.6</v>
      </c>
      <c r="CM124" s="8">
        <v>6.6</v>
      </c>
      <c r="CN124" s="8">
        <v>11.6</v>
      </c>
      <c r="CO124" s="8">
        <v>-35.1</v>
      </c>
      <c r="CP124" s="8">
        <v>-55.5</v>
      </c>
      <c r="CQ124" s="8">
        <v>-60.8</v>
      </c>
      <c r="CR124" s="8">
        <v>-62.7</v>
      </c>
      <c r="CS124" s="8">
        <v>-57.1</v>
      </c>
      <c r="CT124" s="8">
        <v>-57.5</v>
      </c>
      <c r="CU124" s="8">
        <v>-21.6</v>
      </c>
      <c r="CV124" s="8">
        <v>-59.1</v>
      </c>
      <c r="CW124" s="8">
        <v>-73.2</v>
      </c>
      <c r="CX124" s="8">
        <v>-55.5</v>
      </c>
      <c r="CY124" s="8">
        <v>-95.40000000000001</v>
      </c>
      <c r="CZ124" s="8">
        <v>-101.9</v>
      </c>
      <c r="DA124" s="8">
        <v>-81.2</v>
      </c>
      <c r="DB124" s="8">
        <v>-68.7</v>
      </c>
      <c r="DC124" s="8">
        <v>7.8</v>
      </c>
      <c r="DD124" s="8">
        <v>122.4</v>
      </c>
      <c r="DE124" s="8">
        <v>83.8</v>
      </c>
      <c r="DF124" s="8">
        <v>5.1</v>
      </c>
      <c r="DG124" s="8">
        <v>-46.9</v>
      </c>
      <c r="DH124" s="8">
        <v>-47.2</v>
      </c>
      <c r="DI124" s="8">
        <v>-128.3</v>
      </c>
      <c r="DJ124" s="8">
        <v>-136.9</v>
      </c>
      <c r="DK124" s="8">
        <v>-133.4</v>
      </c>
      <c r="DL124" s="8">
        <v>-119.1</v>
      </c>
      <c r="DM124" s="8">
        <v>-91.5</v>
      </c>
      <c r="DN124" s="8">
        <v>-54.7</v>
      </c>
      <c r="DO124" s="8">
        <v>-28.1</v>
      </c>
      <c r="DP124" s="8">
        <v>-17.9</v>
      </c>
      <c r="DQ124" s="8">
        <v>-13.8</v>
      </c>
      <c r="DR124" s="8">
        <v>-107.9</v>
      </c>
      <c r="DS124" s="8">
        <v>-36.9</v>
      </c>
      <c r="DT124" s="8">
        <v>75.7</v>
      </c>
      <c r="DU124" s="8">
        <v>-212.4</v>
      </c>
      <c r="DV124" s="8">
        <v>44.6</v>
      </c>
      <c r="DW124" s="8">
        <v>318</v>
      </c>
      <c r="DX124" s="8">
        <v>106</v>
      </c>
      <c r="DY124" s="8">
        <v>196.9</v>
      </c>
      <c r="DZ124" s="8">
        <v>97.7</v>
      </c>
      <c r="EA124" s="8">
        <v>-90.2</v>
      </c>
      <c r="EB124" s="8">
        <v>-131.3</v>
      </c>
      <c r="EC124" s="8">
        <v>-170.1</v>
      </c>
      <c r="ED124" s="8">
        <v>-168.9</v>
      </c>
      <c r="EE124" s="8">
        <v>-102.4</v>
      </c>
      <c r="EF124" s="8">
        <v>-76.90000000000001</v>
      </c>
      <c r="EG124" s="8">
        <v>-79.5</v>
      </c>
      <c r="EH124" s="8">
        <v>-59.9</v>
      </c>
      <c r="EI124" s="8">
        <v>1.5</v>
      </c>
      <c r="EJ124" s="8">
        <v>130.2</v>
      </c>
      <c r="EK124" s="8">
        <v>33.4</v>
      </c>
      <c r="EL124" s="8">
        <v>10.7</v>
      </c>
      <c r="EM124" s="8">
        <v>-39.1</v>
      </c>
      <c r="EN124" s="8">
        <v>-4.7</v>
      </c>
      <c r="EO124" s="8">
        <v>19.8</v>
      </c>
      <c r="EP124" s="8">
        <v>-48.8</v>
      </c>
      <c r="EQ124" s="8">
        <v>112.9</v>
      </c>
      <c r="ER124" s="8">
        <v>203.6</v>
      </c>
    </row>
    <row r="125" spans="1:155">
      <c r="A125" s="7">
        <v>36.25</v>
      </c>
      <c r="L125" s="8">
        <v>-113.3</v>
      </c>
      <c r="M125" s="8">
        <v>-116.9</v>
      </c>
      <c r="N125" s="8">
        <v>-80.8</v>
      </c>
      <c r="O125" s="8">
        <v>-99.3</v>
      </c>
      <c r="P125" s="8">
        <v>217.2</v>
      </c>
      <c r="Q125" s="8">
        <v>177.5</v>
      </c>
      <c r="R125" s="8">
        <v>-51.7</v>
      </c>
      <c r="S125" s="8">
        <v>-75.5</v>
      </c>
      <c r="T125" s="8">
        <v>-89.2</v>
      </c>
      <c r="U125" s="8">
        <v>-78.8</v>
      </c>
      <c r="V125" s="8">
        <v>-95.2</v>
      </c>
      <c r="W125" s="8">
        <v>-71.40000000000001</v>
      </c>
      <c r="X125" s="8">
        <v>-90.2</v>
      </c>
      <c r="Y125" s="8">
        <v>-51.9</v>
      </c>
      <c r="Z125" s="8">
        <v>-55.6</v>
      </c>
      <c r="AA125" s="8">
        <v>-36.4</v>
      </c>
      <c r="AB125" s="8">
        <v>-26.8</v>
      </c>
      <c r="AC125" s="8">
        <v>-12.8</v>
      </c>
      <c r="AD125" s="8">
        <v>0.4</v>
      </c>
      <c r="AE125" s="8">
        <v>-45.9</v>
      </c>
      <c r="AF125" s="8">
        <v>-63.6</v>
      </c>
      <c r="AG125" s="8">
        <v>-66.7</v>
      </c>
      <c r="AH125" s="8">
        <v>-62.5</v>
      </c>
      <c r="AI125" s="8">
        <v>-86.2</v>
      </c>
      <c r="AJ125" s="8">
        <v>-89.2</v>
      </c>
      <c r="AK125" s="8">
        <v>-97.5</v>
      </c>
      <c r="AL125" s="8">
        <v>-90.2</v>
      </c>
      <c r="AM125" s="8">
        <v>-81.2</v>
      </c>
      <c r="AN125" s="8">
        <v>-76.7</v>
      </c>
      <c r="AO125" s="8">
        <v>-8.6</v>
      </c>
      <c r="AP125" s="8">
        <v>-65.90000000000001</v>
      </c>
      <c r="AQ125" s="8">
        <v>-74.5</v>
      </c>
      <c r="AR125" s="8">
        <v>-82.90000000000001</v>
      </c>
      <c r="AS125" s="8">
        <v>-89.09999999999999</v>
      </c>
      <c r="AT125" s="8">
        <v>-87.2</v>
      </c>
      <c r="AU125" s="8">
        <v>-80.40000000000001</v>
      </c>
      <c r="AV125" s="8">
        <v>-76.90000000000001</v>
      </c>
      <c r="AW125" s="8">
        <v>-64.7</v>
      </c>
      <c r="AX125" s="8">
        <v>-64</v>
      </c>
      <c r="AY125" s="8">
        <v>-64</v>
      </c>
      <c r="AZ125" s="8">
        <v>-65.09999999999999</v>
      </c>
      <c r="BA125" s="8">
        <v>-156.6</v>
      </c>
      <c r="BB125" s="8">
        <v>-67.09999999999999</v>
      </c>
      <c r="BC125" s="8">
        <v>-22.7</v>
      </c>
      <c r="BD125" s="8">
        <v>13.9</v>
      </c>
      <c r="BE125" s="8">
        <v>-1.2</v>
      </c>
      <c r="BF125" s="8">
        <v>-59.6</v>
      </c>
      <c r="BG125" s="8">
        <v>-69.40000000000001</v>
      </c>
      <c r="BH125" s="8">
        <v>-21.6</v>
      </c>
      <c r="BI125" s="8">
        <v>-6.2</v>
      </c>
      <c r="BJ125" s="8">
        <v>-2.4</v>
      </c>
      <c r="BK125" s="8">
        <v>-37.4</v>
      </c>
      <c r="BL125" s="8">
        <v>-12.8</v>
      </c>
      <c r="BM125" s="8">
        <v>-27.7</v>
      </c>
      <c r="BN125" s="8">
        <v>-46.8</v>
      </c>
      <c r="BO125" s="8">
        <v>1.5</v>
      </c>
      <c r="BP125" s="8">
        <v>-37.5</v>
      </c>
      <c r="BQ125" s="8">
        <v>-43.7</v>
      </c>
      <c r="BR125" s="8">
        <v>-55</v>
      </c>
      <c r="BS125" s="8">
        <v>-59.4</v>
      </c>
      <c r="BT125" s="8">
        <v>-109.9</v>
      </c>
      <c r="BU125" s="8">
        <v>-102.7</v>
      </c>
      <c r="BV125" s="8">
        <v>-187.3</v>
      </c>
      <c r="BW125" s="8">
        <v>-172</v>
      </c>
      <c r="BX125" s="8">
        <v>-190.1</v>
      </c>
      <c r="BY125" s="8">
        <v>-336.3</v>
      </c>
      <c r="BZ125" s="8">
        <v>-101.3</v>
      </c>
      <c r="CA125" s="8">
        <v>160.2</v>
      </c>
      <c r="CB125" s="8">
        <v>64</v>
      </c>
      <c r="CC125" s="8">
        <v>-69.90000000000001</v>
      </c>
      <c r="CD125" s="8">
        <v>-74</v>
      </c>
      <c r="CE125" s="8">
        <v>-69.8</v>
      </c>
      <c r="CF125" s="8">
        <v>-58.5</v>
      </c>
      <c r="CG125" s="8">
        <v>-57.2</v>
      </c>
      <c r="CH125" s="8">
        <v>-76.8</v>
      </c>
      <c r="CI125" s="8">
        <v>-101.5</v>
      </c>
      <c r="CJ125" s="8">
        <v>-117.6</v>
      </c>
      <c r="CK125" s="8">
        <v>-90.09999999999999</v>
      </c>
      <c r="CL125" s="8">
        <v>-59.4</v>
      </c>
      <c r="CM125" s="8">
        <v>-17.1</v>
      </c>
      <c r="CN125" s="8">
        <v>70.59999999999999</v>
      </c>
      <c r="CO125" s="8">
        <v>-46.1</v>
      </c>
      <c r="CP125" s="8">
        <v>-106.4</v>
      </c>
      <c r="CQ125" s="8">
        <v>-98.3</v>
      </c>
      <c r="CR125" s="8">
        <v>-96.7</v>
      </c>
      <c r="CS125" s="8">
        <v>-114.9</v>
      </c>
      <c r="CT125" s="8">
        <v>-83.90000000000001</v>
      </c>
      <c r="CU125" s="8">
        <v>-80.8</v>
      </c>
      <c r="CV125" s="8">
        <v>-64.59999999999999</v>
      </c>
      <c r="CW125" s="8">
        <v>-58.9</v>
      </c>
      <c r="CX125" s="8">
        <v>-60</v>
      </c>
      <c r="CY125" s="8">
        <v>-57.5</v>
      </c>
      <c r="CZ125" s="8">
        <v>-71.40000000000001</v>
      </c>
      <c r="DA125" s="8">
        <v>-67</v>
      </c>
      <c r="DB125" s="8">
        <v>-39</v>
      </c>
      <c r="DC125" s="8">
        <v>85.8</v>
      </c>
      <c r="DD125" s="8">
        <v>109</v>
      </c>
      <c r="DE125" s="8">
        <v>81</v>
      </c>
      <c r="DF125" s="8">
        <v>-42.6</v>
      </c>
      <c r="DG125" s="8">
        <v>-103.5</v>
      </c>
      <c r="DH125" s="8">
        <v>-134.8</v>
      </c>
      <c r="DI125" s="8">
        <v>-117.4</v>
      </c>
      <c r="DJ125" s="8">
        <v>-121.8</v>
      </c>
      <c r="DK125" s="8">
        <v>-116.7</v>
      </c>
      <c r="DL125" s="8">
        <v>-102.7</v>
      </c>
      <c r="DM125" s="8">
        <v>-73.7</v>
      </c>
      <c r="DN125" s="8">
        <v>-36</v>
      </c>
      <c r="DO125" s="8">
        <v>1.6</v>
      </c>
      <c r="DP125" s="8">
        <v>12.9</v>
      </c>
      <c r="DQ125" s="8">
        <v>208.6</v>
      </c>
      <c r="DR125" s="8">
        <v>24.2</v>
      </c>
      <c r="DS125" s="8">
        <v>-60.3</v>
      </c>
      <c r="DT125" s="8">
        <v>72.90000000000001</v>
      </c>
      <c r="DU125" s="8">
        <v>-156.3</v>
      </c>
      <c r="DV125" s="8">
        <v>-120.6</v>
      </c>
      <c r="DW125" s="8">
        <v>-364.3</v>
      </c>
      <c r="DX125" s="8">
        <v>-147.8</v>
      </c>
      <c r="DY125" s="8">
        <v>47.4</v>
      </c>
      <c r="DZ125" s="8">
        <v>-201.6</v>
      </c>
      <c r="EA125" s="8">
        <v>-201.1</v>
      </c>
      <c r="EB125" s="8">
        <v>-194.3</v>
      </c>
      <c r="EC125" s="8">
        <v>-163.8</v>
      </c>
      <c r="ED125" s="8">
        <v>-105.1</v>
      </c>
      <c r="EE125" s="8">
        <v>4.7</v>
      </c>
      <c r="EF125" s="8">
        <v>110.2</v>
      </c>
      <c r="EG125" s="8">
        <v>21.4</v>
      </c>
      <c r="EH125" s="8">
        <v>27.5</v>
      </c>
      <c r="EI125" s="8">
        <v>50.4</v>
      </c>
      <c r="EJ125" s="8">
        <v>35.5</v>
      </c>
      <c r="EK125" s="8">
        <v>6.5</v>
      </c>
      <c r="EL125" s="8">
        <v>55.6</v>
      </c>
      <c r="EM125" s="8">
        <v>99.5</v>
      </c>
      <c r="EN125" s="8">
        <v>-39</v>
      </c>
      <c r="EO125" s="8">
        <v>9.699999999999999</v>
      </c>
      <c r="EP125" s="8">
        <v>-43.3</v>
      </c>
      <c r="EQ125" s="8">
        <v>142.1</v>
      </c>
    </row>
    <row r="126" spans="1:155">
      <c r="A126" s="7">
        <v>36.275</v>
      </c>
      <c r="V126" s="8">
        <v>-70.40000000000001</v>
      </c>
      <c r="W126" s="8">
        <v>-54.7</v>
      </c>
      <c r="X126" s="8">
        <v>-59</v>
      </c>
      <c r="Y126" s="8">
        <v>-58.6</v>
      </c>
      <c r="Z126" s="8">
        <v>-48.7</v>
      </c>
      <c r="AA126" s="8">
        <v>-25.7</v>
      </c>
      <c r="AB126" s="8">
        <v>-31.8</v>
      </c>
      <c r="AC126" s="8">
        <v>-21.5</v>
      </c>
      <c r="AD126" s="8">
        <v>-53.2</v>
      </c>
      <c r="AE126" s="8">
        <v>-66.40000000000001</v>
      </c>
      <c r="AF126" s="8">
        <v>-79.59999999999999</v>
      </c>
      <c r="AG126" s="8">
        <v>-85.40000000000001</v>
      </c>
      <c r="AH126" s="8">
        <v>-53.9</v>
      </c>
      <c r="AI126" s="8">
        <v>-72.90000000000001</v>
      </c>
      <c r="AJ126" s="8">
        <v>-59.2</v>
      </c>
      <c r="AK126" s="8">
        <v>-79.2</v>
      </c>
      <c r="AL126" s="8">
        <v>-98.7</v>
      </c>
      <c r="AM126" s="8">
        <v>-108.9</v>
      </c>
      <c r="AN126" s="8">
        <v>-112.5</v>
      </c>
      <c r="AO126" s="8">
        <v>-101.2</v>
      </c>
      <c r="AP126" s="8">
        <v>-91.40000000000001</v>
      </c>
      <c r="AQ126" s="8">
        <v>-83</v>
      </c>
      <c r="AR126" s="8">
        <v>-94.90000000000001</v>
      </c>
      <c r="AS126" s="8">
        <v>-82.8</v>
      </c>
      <c r="AT126" s="8">
        <v>-77</v>
      </c>
      <c r="AU126" s="8">
        <v>-69.8</v>
      </c>
      <c r="AV126" s="8">
        <v>-58.8</v>
      </c>
      <c r="AW126" s="8">
        <v>-48.4</v>
      </c>
      <c r="AX126" s="8">
        <v>-57.1</v>
      </c>
      <c r="AY126" s="8">
        <v>-68.8</v>
      </c>
      <c r="AZ126" s="8">
        <v>-73.40000000000001</v>
      </c>
      <c r="BA126" s="8">
        <v>-95.2</v>
      </c>
      <c r="BB126" s="8">
        <v>-119.1</v>
      </c>
      <c r="BC126" s="8">
        <v>-94.3</v>
      </c>
      <c r="BD126" s="8">
        <v>-188</v>
      </c>
      <c r="BE126" s="8">
        <v>-55.1</v>
      </c>
      <c r="BF126" s="8">
        <v>-168.4</v>
      </c>
      <c r="BG126" s="8">
        <v>-74.90000000000001</v>
      </c>
      <c r="BH126" s="8">
        <v>31.2</v>
      </c>
      <c r="BI126" s="8">
        <v>-1</v>
      </c>
      <c r="BJ126" s="8">
        <v>45.1</v>
      </c>
      <c r="BK126" s="8">
        <v>-10.8</v>
      </c>
      <c r="BL126" s="8">
        <v>-31.6</v>
      </c>
      <c r="BM126" s="8">
        <v>-50.7</v>
      </c>
      <c r="BN126" s="8">
        <v>-50.7</v>
      </c>
      <c r="BO126" s="8">
        <v>-52</v>
      </c>
      <c r="BP126" s="8">
        <v>-74.3</v>
      </c>
      <c r="BQ126" s="8">
        <v>-80.09999999999999</v>
      </c>
      <c r="BR126" s="8">
        <v>-78.3</v>
      </c>
      <c r="BS126" s="8">
        <v>-111.5</v>
      </c>
      <c r="BT126" s="8">
        <v>-78</v>
      </c>
      <c r="BU126" s="8">
        <v>-87.3</v>
      </c>
      <c r="BV126" s="8">
        <v>-135</v>
      </c>
      <c r="BW126" s="8">
        <v>-140.2</v>
      </c>
      <c r="BX126" s="8">
        <v>-150.1</v>
      </c>
      <c r="BY126" s="8">
        <v>-278</v>
      </c>
      <c r="BZ126" s="8">
        <v>-214</v>
      </c>
      <c r="CA126" s="8">
        <v>112.9</v>
      </c>
      <c r="CB126" s="8">
        <v>442.2</v>
      </c>
      <c r="CC126" s="8">
        <v>-56.7</v>
      </c>
      <c r="CD126" s="8">
        <v>-50.5</v>
      </c>
      <c r="CE126" s="8">
        <v>-37.2</v>
      </c>
      <c r="CF126" s="8">
        <v>-24.6</v>
      </c>
      <c r="CG126" s="8">
        <v>-44.9</v>
      </c>
      <c r="CH126" s="8">
        <v>-70.3</v>
      </c>
      <c r="CI126" s="8">
        <v>-110.9</v>
      </c>
      <c r="CJ126" s="8">
        <v>-36.6</v>
      </c>
      <c r="CK126" s="8">
        <v>-20</v>
      </c>
      <c r="CL126" s="8">
        <v>-72</v>
      </c>
      <c r="CM126" s="8">
        <v>-62.7</v>
      </c>
      <c r="CN126" s="8">
        <v>-79.40000000000001</v>
      </c>
      <c r="CO126" s="8">
        <v>26</v>
      </c>
      <c r="CP126" s="8">
        <v>-109.2</v>
      </c>
      <c r="CQ126" s="8">
        <v>-132.4</v>
      </c>
      <c r="CR126" s="8">
        <v>-130.8</v>
      </c>
      <c r="CS126" s="8">
        <v>-120.8</v>
      </c>
      <c r="CT126" s="8">
        <v>-97.40000000000001</v>
      </c>
      <c r="CU126" s="8">
        <v>-116.9</v>
      </c>
      <c r="CV126" s="8">
        <v>-108.8</v>
      </c>
      <c r="CW126" s="8">
        <v>-108.4</v>
      </c>
      <c r="CX126" s="8">
        <v>-29.9</v>
      </c>
      <c r="CY126" s="8">
        <v>-71</v>
      </c>
      <c r="CZ126" s="8">
        <v>-81.09999999999999</v>
      </c>
      <c r="DA126" s="8">
        <v>-87.90000000000001</v>
      </c>
      <c r="DB126" s="8">
        <v>-89.5</v>
      </c>
      <c r="DC126" s="8">
        <v>-9.4</v>
      </c>
      <c r="DD126" s="8">
        <v>109.5</v>
      </c>
      <c r="DE126" s="8">
        <v>-20.8</v>
      </c>
      <c r="DF126" s="8">
        <v>-94.2</v>
      </c>
      <c r="DG126" s="8">
        <v>-117.3</v>
      </c>
      <c r="DH126" s="8">
        <v>-132.3</v>
      </c>
      <c r="DI126" s="8">
        <v>-117.3</v>
      </c>
      <c r="DJ126" s="8">
        <v>-125</v>
      </c>
      <c r="DK126" s="8">
        <v>-127.4</v>
      </c>
      <c r="DL126" s="8">
        <v>-112.6</v>
      </c>
      <c r="DM126" s="8">
        <v>-87</v>
      </c>
      <c r="DN126" s="8">
        <v>-48.6</v>
      </c>
      <c r="DO126" s="8">
        <v>-12.5</v>
      </c>
      <c r="DP126" s="8">
        <v>-10.5</v>
      </c>
      <c r="DQ126" s="8">
        <v>-93.90000000000001</v>
      </c>
      <c r="DR126" s="8">
        <v>-77.59999999999999</v>
      </c>
      <c r="DS126" s="8">
        <v>-55.6</v>
      </c>
      <c r="DT126" s="8">
        <v>-64.40000000000001</v>
      </c>
      <c r="DU126" s="8">
        <v>-72.40000000000001</v>
      </c>
      <c r="DV126" s="8">
        <v>-84.3</v>
      </c>
      <c r="DW126" s="8">
        <v>-41.5</v>
      </c>
      <c r="DX126" s="8">
        <v>-94.09999999999999</v>
      </c>
      <c r="DY126" s="8">
        <v>-138.2</v>
      </c>
      <c r="DZ126" s="8">
        <v>-85.59999999999999</v>
      </c>
      <c r="EA126" s="8">
        <v>-83.8</v>
      </c>
      <c r="EB126" s="8">
        <v>-106.7</v>
      </c>
      <c r="EC126" s="8">
        <v>-88.59999999999999</v>
      </c>
      <c r="ED126" s="8">
        <v>-44.6</v>
      </c>
      <c r="EE126" s="8">
        <v>119.9</v>
      </c>
      <c r="EF126" s="8">
        <v>401.3</v>
      </c>
      <c r="EG126" s="8">
        <v>482.8</v>
      </c>
      <c r="EH126" s="8">
        <v>315.3</v>
      </c>
      <c r="EI126" s="8">
        <v>91</v>
      </c>
      <c r="EJ126" s="8">
        <v>47.3</v>
      </c>
      <c r="EK126" s="8">
        <v>88.5</v>
      </c>
      <c r="EL126" s="8">
        <v>-65.59999999999999</v>
      </c>
      <c r="EM126" s="8">
        <v>-34.4</v>
      </c>
      <c r="EN126" s="8">
        <v>-44.2</v>
      </c>
      <c r="EO126" s="8">
        <v>-51.8</v>
      </c>
      <c r="EP126" s="8">
        <v>-49.7</v>
      </c>
      <c r="EQ126" s="8">
        <v>-26.6</v>
      </c>
    </row>
    <row r="127" spans="1:155">
      <c r="A127" s="7">
        <v>36.3</v>
      </c>
      <c r="V127" s="8">
        <v>-94.59999999999999</v>
      </c>
      <c r="W127" s="8">
        <v>-82.90000000000001</v>
      </c>
      <c r="X127" s="8">
        <v>-94.3</v>
      </c>
      <c r="Y127" s="8">
        <v>-37.3</v>
      </c>
      <c r="Z127" s="8">
        <v>-25.2</v>
      </c>
      <c r="AA127" s="8">
        <v>-28.6</v>
      </c>
      <c r="AB127" s="8">
        <v>-32.7</v>
      </c>
      <c r="AC127" s="8">
        <v>-53.2</v>
      </c>
      <c r="AD127" s="8">
        <v>-61.6</v>
      </c>
      <c r="AE127" s="8">
        <v>-63.2</v>
      </c>
      <c r="AF127" s="8">
        <v>-68.40000000000001</v>
      </c>
      <c r="AG127" s="8">
        <v>-69.90000000000001</v>
      </c>
      <c r="AH127" s="8">
        <v>-45.6</v>
      </c>
      <c r="AI127" s="8">
        <v>-66.5</v>
      </c>
      <c r="AJ127" s="8">
        <v>-33.8</v>
      </c>
      <c r="AK127" s="8">
        <v>-63.5</v>
      </c>
      <c r="AL127" s="8">
        <v>-88.5</v>
      </c>
      <c r="AM127" s="8">
        <v>-94.8</v>
      </c>
      <c r="AN127" s="8">
        <v>-99</v>
      </c>
      <c r="AO127" s="8">
        <v>-90.7</v>
      </c>
      <c r="AP127" s="8">
        <v>-95.5</v>
      </c>
      <c r="AQ127" s="8">
        <v>-101.5</v>
      </c>
      <c r="AR127" s="8">
        <v>-100</v>
      </c>
      <c r="AS127" s="8">
        <v>-89.2</v>
      </c>
      <c r="AT127" s="8">
        <v>-77.8</v>
      </c>
      <c r="AU127" s="8">
        <v>-49.4</v>
      </c>
      <c r="AV127" s="8">
        <v>-43.8</v>
      </c>
      <c r="AW127" s="8">
        <v>-37.7</v>
      </c>
      <c r="AX127" s="8">
        <v>-43.2</v>
      </c>
      <c r="AY127" s="8">
        <v>-43.8</v>
      </c>
      <c r="AZ127" s="8">
        <v>-59.7</v>
      </c>
      <c r="BA127" s="8">
        <v>-74.09999999999999</v>
      </c>
      <c r="BB127" s="8">
        <v>-89.7</v>
      </c>
      <c r="BC127" s="8">
        <v>-68.5</v>
      </c>
      <c r="BD127" s="8">
        <v>-96.8</v>
      </c>
      <c r="BE127" s="8">
        <v>-98.7</v>
      </c>
      <c r="BF127" s="8">
        <v>-67.8</v>
      </c>
      <c r="BG127" s="8">
        <v>-20.2</v>
      </c>
      <c r="BH127" s="8">
        <v>26.9</v>
      </c>
      <c r="BI127" s="8">
        <v>32.5</v>
      </c>
      <c r="BJ127" s="8">
        <v>-45.9</v>
      </c>
      <c r="BK127" s="8">
        <v>34</v>
      </c>
      <c r="BL127" s="8">
        <v>22.7</v>
      </c>
      <c r="BM127" s="8">
        <v>-10.6</v>
      </c>
      <c r="BN127" s="8">
        <v>-24.1</v>
      </c>
      <c r="BO127" s="8">
        <v>-17.2</v>
      </c>
      <c r="BP127" s="8">
        <v>-4.5</v>
      </c>
      <c r="BQ127" s="8">
        <v>-13.7</v>
      </c>
      <c r="BR127" s="8">
        <v>-13.7</v>
      </c>
      <c r="BS127" s="8">
        <v>-51.8</v>
      </c>
      <c r="BT127" s="8">
        <v>-95.3</v>
      </c>
      <c r="BU127" s="8">
        <v>-68.8</v>
      </c>
      <c r="BV127" s="8">
        <v>-76.3</v>
      </c>
      <c r="BW127" s="8">
        <v>-88.59999999999999</v>
      </c>
      <c r="BX127" s="8">
        <v>-122.2</v>
      </c>
      <c r="BY127" s="8">
        <v>-186.2</v>
      </c>
      <c r="BZ127" s="8">
        <v>116.9</v>
      </c>
      <c r="CA127" s="8">
        <v>-77</v>
      </c>
      <c r="CB127" s="8">
        <v>-135.4</v>
      </c>
      <c r="CC127" s="8">
        <v>-128.4</v>
      </c>
      <c r="CD127" s="8">
        <v>-11.5</v>
      </c>
      <c r="CE127" s="8">
        <v>-7.2</v>
      </c>
      <c r="CF127" s="8">
        <v>-0.5</v>
      </c>
      <c r="CG127" s="8">
        <v>-18.4</v>
      </c>
      <c r="CH127" s="8">
        <v>-35.8</v>
      </c>
      <c r="CI127" s="8">
        <v>-63.4</v>
      </c>
      <c r="CJ127" s="8">
        <v>-162.7</v>
      </c>
      <c r="CK127" s="8">
        <v>-76.40000000000001</v>
      </c>
      <c r="CL127" s="8">
        <v>-138.3</v>
      </c>
      <c r="CM127" s="8">
        <v>-149.9</v>
      </c>
      <c r="CN127" s="8">
        <v>-94.2</v>
      </c>
      <c r="CO127" s="8">
        <v>-108.2</v>
      </c>
      <c r="CP127" s="8">
        <v>-54</v>
      </c>
      <c r="CQ127" s="8">
        <v>-121.4</v>
      </c>
      <c r="CR127" s="8">
        <v>-131.5</v>
      </c>
      <c r="CS127" s="8">
        <v>-129.2</v>
      </c>
      <c r="CT127" s="8">
        <v>-121</v>
      </c>
      <c r="CU127" s="8">
        <v>-118.1</v>
      </c>
      <c r="CV127" s="8">
        <v>-112.2</v>
      </c>
      <c r="CW127" s="8">
        <v>-83.90000000000001</v>
      </c>
      <c r="CX127" s="8">
        <v>32.8</v>
      </c>
      <c r="CY127" s="8">
        <v>-36.3</v>
      </c>
      <c r="CZ127" s="8">
        <v>-74.2</v>
      </c>
      <c r="DA127" s="8">
        <v>-92.5</v>
      </c>
      <c r="DB127" s="8">
        <v>-124</v>
      </c>
      <c r="DC127" s="8">
        <v>-138.7</v>
      </c>
      <c r="DD127" s="8">
        <v>-103.3</v>
      </c>
      <c r="DE127" s="8">
        <v>-113.7</v>
      </c>
      <c r="DF127" s="8">
        <v>-145</v>
      </c>
      <c r="DG127" s="8">
        <v>-129.6</v>
      </c>
      <c r="DH127" s="8">
        <v>-122.9</v>
      </c>
      <c r="DI127" s="8">
        <v>-122.5</v>
      </c>
      <c r="DJ127" s="8">
        <v>-126.8</v>
      </c>
      <c r="DK127" s="8">
        <v>-126</v>
      </c>
      <c r="DL127" s="8">
        <v>-120.1</v>
      </c>
      <c r="DM127" s="8">
        <v>-100</v>
      </c>
      <c r="DN127" s="8">
        <v>-78.2</v>
      </c>
      <c r="DO127" s="8">
        <v>-45.4</v>
      </c>
      <c r="DP127" s="8">
        <v>-18.4</v>
      </c>
      <c r="DQ127" s="8">
        <v>-18.9</v>
      </c>
      <c r="DR127" s="8">
        <v>-15.2</v>
      </c>
      <c r="DS127" s="8">
        <v>-67.8</v>
      </c>
      <c r="DT127" s="8">
        <v>-49.4</v>
      </c>
      <c r="DU127" s="8">
        <v>-49.4</v>
      </c>
      <c r="DV127" s="8">
        <v>-41.2</v>
      </c>
      <c r="DW127" s="8">
        <v>-20.4</v>
      </c>
      <c r="DX127" s="8">
        <v>13.2</v>
      </c>
      <c r="DY127" s="8">
        <v>50.4</v>
      </c>
      <c r="DZ127" s="8">
        <v>38.6</v>
      </c>
      <c r="EA127" s="8">
        <v>-92.2</v>
      </c>
      <c r="EB127" s="8">
        <v>-8.9</v>
      </c>
      <c r="EC127" s="8">
        <v>-65.59999999999999</v>
      </c>
      <c r="ED127" s="8">
        <v>4.7</v>
      </c>
      <c r="EE127" s="8">
        <v>274.7</v>
      </c>
      <c r="EF127" s="8">
        <v>526.9</v>
      </c>
      <c r="EG127" s="8">
        <v>1062.8</v>
      </c>
      <c r="EH127" s="8">
        <v>525.2</v>
      </c>
      <c r="EI127" s="8">
        <v>180.3</v>
      </c>
      <c r="EJ127" s="8">
        <v>-19.1</v>
      </c>
      <c r="EK127" s="8">
        <v>-42.5</v>
      </c>
      <c r="EL127" s="8">
        <v>-91</v>
      </c>
      <c r="EM127" s="8">
        <v>13.6</v>
      </c>
      <c r="EN127" s="8">
        <v>6.3</v>
      </c>
      <c r="EO127" s="8">
        <v>16.6</v>
      </c>
      <c r="EP127" s="8">
        <v>-6.7</v>
      </c>
      <c r="EQ127" s="8">
        <v>56.1</v>
      </c>
    </row>
    <row r="128" spans="1:155">
      <c r="A128" s="7">
        <v>36.325</v>
      </c>
      <c r="V128" s="8">
        <v>-75.3</v>
      </c>
      <c r="W128" s="8">
        <v>-53</v>
      </c>
      <c r="X128" s="8">
        <v>-57.9</v>
      </c>
      <c r="Y128" s="8">
        <v>-43.5</v>
      </c>
      <c r="Z128" s="8">
        <v>12.9</v>
      </c>
      <c r="AA128" s="8">
        <v>-36.4</v>
      </c>
      <c r="AB128" s="8">
        <v>73.2</v>
      </c>
      <c r="AC128" s="8">
        <v>-55.4</v>
      </c>
      <c r="AD128" s="8">
        <v>-45.6</v>
      </c>
      <c r="AE128" s="8">
        <v>-66.59999999999999</v>
      </c>
      <c r="AF128" s="8">
        <v>-80.90000000000001</v>
      </c>
      <c r="AG128" s="8">
        <v>-81.2</v>
      </c>
      <c r="AH128" s="8">
        <v>-18.7</v>
      </c>
      <c r="AI128" s="8">
        <v>-46.1</v>
      </c>
      <c r="AJ128" s="8">
        <v>8.1</v>
      </c>
      <c r="AK128" s="8">
        <v>-55.5</v>
      </c>
      <c r="AL128" s="8">
        <v>-90.2</v>
      </c>
      <c r="AM128" s="8">
        <v>-96.7</v>
      </c>
      <c r="AN128" s="8">
        <v>-102.5</v>
      </c>
      <c r="AO128" s="8">
        <v>-99.59999999999999</v>
      </c>
      <c r="AP128" s="8">
        <v>-95.8</v>
      </c>
      <c r="AQ128" s="8">
        <v>-80.40000000000001</v>
      </c>
      <c r="AR128" s="8">
        <v>-104.1</v>
      </c>
      <c r="AS128" s="8">
        <v>-89.3</v>
      </c>
      <c r="AT128" s="8">
        <v>-68</v>
      </c>
      <c r="AU128" s="8">
        <v>-37.9</v>
      </c>
      <c r="AV128" s="8">
        <v>-26.5</v>
      </c>
      <c r="AW128" s="8">
        <v>-14.8</v>
      </c>
      <c r="AX128" s="8">
        <v>-20.1</v>
      </c>
      <c r="AY128" s="8">
        <v>-39.1</v>
      </c>
      <c r="AZ128" s="8">
        <v>-62.4</v>
      </c>
      <c r="BA128" s="8">
        <v>-84.90000000000001</v>
      </c>
      <c r="BB128" s="8">
        <v>-59.2</v>
      </c>
      <c r="BC128" s="8">
        <v>-87.40000000000001</v>
      </c>
      <c r="BD128" s="8">
        <v>-102.9</v>
      </c>
      <c r="BE128" s="8">
        <v>-94.8</v>
      </c>
      <c r="BF128" s="8">
        <v>-24.4</v>
      </c>
      <c r="BG128" s="8">
        <v>-11.6</v>
      </c>
      <c r="BH128" s="8">
        <v>29.5</v>
      </c>
      <c r="BI128" s="8">
        <v>104.4</v>
      </c>
      <c r="BJ128" s="8">
        <v>45.1</v>
      </c>
      <c r="BK128" s="8">
        <v>24.1</v>
      </c>
      <c r="BL128" s="8">
        <v>14.3</v>
      </c>
      <c r="BM128" s="8">
        <v>0.2</v>
      </c>
      <c r="BN128" s="8">
        <v>-25.7</v>
      </c>
      <c r="BO128" s="8">
        <v>-52</v>
      </c>
      <c r="BP128" s="8">
        <v>-114.4</v>
      </c>
      <c r="BQ128" s="8">
        <v>14.9</v>
      </c>
      <c r="BR128" s="8">
        <v>-88.59999999999999</v>
      </c>
      <c r="BS128" s="8">
        <v>-84.7</v>
      </c>
      <c r="BT128" s="8">
        <v>-90.2</v>
      </c>
      <c r="BU128" s="8">
        <v>-102.8</v>
      </c>
      <c r="BV128" s="8">
        <v>-77.40000000000001</v>
      </c>
      <c r="BW128" s="8">
        <v>-63.6</v>
      </c>
      <c r="BX128" s="8">
        <v>-52.6</v>
      </c>
      <c r="BY128" s="8">
        <v>-111.2</v>
      </c>
      <c r="BZ128" s="8">
        <v>253</v>
      </c>
      <c r="CA128" s="8">
        <v>-211</v>
      </c>
      <c r="CB128" s="8">
        <v>16.1</v>
      </c>
      <c r="CC128" s="8">
        <v>-62.7</v>
      </c>
      <c r="CD128" s="8">
        <v>-39.1</v>
      </c>
      <c r="CE128" s="8">
        <v>-11</v>
      </c>
      <c r="CF128" s="8">
        <v>19.2</v>
      </c>
      <c r="CG128" s="8">
        <v>1.7</v>
      </c>
      <c r="CH128" s="8">
        <v>-10</v>
      </c>
      <c r="CI128" s="8">
        <v>-47.7</v>
      </c>
      <c r="CJ128" s="8">
        <v>-84.7</v>
      </c>
      <c r="CK128" s="8">
        <v>-158.4</v>
      </c>
      <c r="CL128" s="8">
        <v>-116.8</v>
      </c>
      <c r="CM128" s="8">
        <v>-110.7</v>
      </c>
      <c r="CN128" s="8">
        <v>-147.8</v>
      </c>
      <c r="CO128" s="8">
        <v>-116.9</v>
      </c>
      <c r="CP128" s="8">
        <v>-108.7</v>
      </c>
      <c r="CQ128" s="8">
        <v>-119.6</v>
      </c>
      <c r="CR128" s="8">
        <v>-115.7</v>
      </c>
      <c r="CS128" s="8">
        <v>-112.4</v>
      </c>
      <c r="CT128" s="8">
        <v>-52.1</v>
      </c>
      <c r="CU128" s="8">
        <v>-96.59999999999999</v>
      </c>
      <c r="CV128" s="8">
        <v>-90.8</v>
      </c>
      <c r="CW128" s="8">
        <v>-92.40000000000001</v>
      </c>
      <c r="CX128" s="8">
        <v>-1.6</v>
      </c>
      <c r="CY128" s="8">
        <v>-15.1</v>
      </c>
      <c r="CZ128" s="8">
        <v>-59.4</v>
      </c>
      <c r="DA128" s="8">
        <v>-79.2</v>
      </c>
      <c r="DB128" s="8">
        <v>-78.59999999999999</v>
      </c>
      <c r="DC128" s="8">
        <v>-121.9</v>
      </c>
      <c r="DD128" s="8">
        <v>-140.4</v>
      </c>
      <c r="DE128" s="8">
        <v>-145</v>
      </c>
      <c r="DF128" s="8">
        <v>-139.2</v>
      </c>
      <c r="DG128" s="8">
        <v>-136.4</v>
      </c>
      <c r="DH128" s="8">
        <v>-120.2</v>
      </c>
      <c r="DI128" s="8">
        <v>-126.3</v>
      </c>
      <c r="DJ128" s="8">
        <v>-129.7</v>
      </c>
      <c r="DK128" s="8">
        <v>-132.6</v>
      </c>
      <c r="DL128" s="8">
        <v>-127.7</v>
      </c>
      <c r="DM128" s="8">
        <v>-117</v>
      </c>
      <c r="DN128" s="8">
        <v>-91.2</v>
      </c>
      <c r="DO128" s="8">
        <v>-62.2</v>
      </c>
      <c r="DP128" s="8">
        <v>-51</v>
      </c>
      <c r="DQ128" s="8">
        <v>-35.1</v>
      </c>
      <c r="DR128" s="8">
        <v>-66.3</v>
      </c>
      <c r="DS128" s="8">
        <v>-125.2</v>
      </c>
      <c r="DT128" s="8">
        <v>-90.3</v>
      </c>
      <c r="DU128" s="8">
        <v>-84.40000000000001</v>
      </c>
      <c r="DV128" s="8">
        <v>-54</v>
      </c>
      <c r="DW128" s="8">
        <v>-68.09999999999999</v>
      </c>
      <c r="DX128" s="8">
        <v>-99.09999999999999</v>
      </c>
      <c r="DY128" s="8">
        <v>-76.59999999999999</v>
      </c>
      <c r="DZ128" s="8">
        <v>-126.1</v>
      </c>
      <c r="EA128" s="8">
        <v>-107.6</v>
      </c>
      <c r="EB128" s="8">
        <v>-12.4</v>
      </c>
      <c r="EC128" s="8">
        <v>-58.2</v>
      </c>
      <c r="ED128" s="8">
        <v>47.6</v>
      </c>
      <c r="EE128" s="8">
        <v>-168</v>
      </c>
      <c r="EF128" s="8">
        <v>219.2</v>
      </c>
      <c r="EG128" s="8">
        <v>336.8</v>
      </c>
      <c r="EH128" s="8">
        <v>-100.2</v>
      </c>
      <c r="EI128" s="8">
        <v>0.3</v>
      </c>
      <c r="EJ128" s="8">
        <v>68.2</v>
      </c>
      <c r="EK128" s="8">
        <v>128.2</v>
      </c>
      <c r="EL128" s="8">
        <v>-37</v>
      </c>
      <c r="EM128" s="8">
        <v>93</v>
      </c>
      <c r="EN128" s="8">
        <v>-62.9</v>
      </c>
      <c r="EO128" s="8">
        <v>6.6</v>
      </c>
      <c r="EP128" s="8">
        <v>-98.2</v>
      </c>
      <c r="EQ128" s="8">
        <v>-111.2</v>
      </c>
    </row>
    <row r="129" spans="1:151">
      <c r="A129" s="7">
        <v>36.35</v>
      </c>
      <c r="T129" s="8">
        <v>-92</v>
      </c>
      <c r="U129" s="8">
        <v>-94.59999999999999</v>
      </c>
      <c r="V129" s="8">
        <v>-92.2</v>
      </c>
      <c r="W129" s="8">
        <v>-61</v>
      </c>
      <c r="X129" s="8">
        <v>-68.3</v>
      </c>
      <c r="Y129" s="8">
        <v>-58.4</v>
      </c>
      <c r="Z129" s="8">
        <v>-66.59999999999999</v>
      </c>
      <c r="AA129" s="8">
        <v>-62.3</v>
      </c>
      <c r="AB129" s="8">
        <v>-93.09999999999999</v>
      </c>
      <c r="AC129" s="8">
        <v>-98.09999999999999</v>
      </c>
      <c r="AD129" s="8">
        <v>-81.7</v>
      </c>
      <c r="AE129" s="8">
        <v>-67.7</v>
      </c>
      <c r="AF129" s="8">
        <v>-68.40000000000001</v>
      </c>
      <c r="AG129" s="8">
        <v>-21.3</v>
      </c>
      <c r="AH129" s="8">
        <v>-3.1</v>
      </c>
      <c r="AI129" s="8">
        <v>-60.7</v>
      </c>
      <c r="AJ129" s="8">
        <v>-59.4</v>
      </c>
      <c r="AK129" s="8">
        <v>-44.9</v>
      </c>
      <c r="AL129" s="8">
        <v>-80.09999999999999</v>
      </c>
      <c r="AM129" s="8">
        <v>-84</v>
      </c>
      <c r="AN129" s="8">
        <v>-73.59999999999999</v>
      </c>
      <c r="AO129" s="8">
        <v>-52.6</v>
      </c>
      <c r="AP129" s="8">
        <v>-83.5</v>
      </c>
      <c r="AQ129" s="8">
        <v>-101.1</v>
      </c>
      <c r="AR129" s="8">
        <v>-106.7</v>
      </c>
      <c r="AS129" s="8">
        <v>-101.4</v>
      </c>
      <c r="AT129" s="8">
        <v>-81.90000000000001</v>
      </c>
      <c r="AU129" s="8">
        <v>-43.6</v>
      </c>
      <c r="AV129" s="8">
        <v>-58.3</v>
      </c>
      <c r="AW129" s="8">
        <v>-43.8</v>
      </c>
      <c r="AX129" s="8">
        <v>-46</v>
      </c>
      <c r="AY129" s="8">
        <v>-51.9</v>
      </c>
      <c r="AZ129" s="8">
        <v>-56.8</v>
      </c>
      <c r="BA129" s="8">
        <v>-45.4</v>
      </c>
      <c r="BB129" s="8">
        <v>-108</v>
      </c>
      <c r="BC129" s="8">
        <v>-113.1</v>
      </c>
      <c r="BD129" s="8">
        <v>-104.7</v>
      </c>
      <c r="BE129" s="8">
        <v>-91.8</v>
      </c>
      <c r="BF129" s="8">
        <v>-89</v>
      </c>
      <c r="BG129" s="8">
        <v>-72.59999999999999</v>
      </c>
      <c r="BH129" s="8">
        <v>-13.3</v>
      </c>
      <c r="BI129" s="8">
        <v>-37.8</v>
      </c>
      <c r="BJ129" s="8">
        <v>30.5</v>
      </c>
      <c r="BK129" s="8">
        <v>4.4</v>
      </c>
      <c r="BL129" s="8">
        <v>10.9</v>
      </c>
      <c r="BM129" s="8">
        <v>11.6</v>
      </c>
      <c r="BN129" s="8">
        <v>7.9</v>
      </c>
      <c r="BO129" s="8">
        <v>2</v>
      </c>
      <c r="BP129" s="8">
        <v>-46.3</v>
      </c>
      <c r="BQ129" s="8">
        <v>-62.6</v>
      </c>
      <c r="BR129" s="8">
        <v>-79.3</v>
      </c>
      <c r="BS129" s="8">
        <v>-88.2</v>
      </c>
      <c r="BT129" s="8">
        <v>-48.4</v>
      </c>
      <c r="BU129" s="8">
        <v>-57.6</v>
      </c>
      <c r="BV129" s="8">
        <v>-36.3</v>
      </c>
      <c r="BW129" s="8">
        <v>-39.2</v>
      </c>
      <c r="BX129" s="8">
        <v>-104.6</v>
      </c>
      <c r="BY129" s="8">
        <v>-4.6</v>
      </c>
      <c r="BZ129" s="8">
        <v>-19.2</v>
      </c>
      <c r="CA129" s="8">
        <v>-265.9</v>
      </c>
      <c r="CB129" s="8">
        <v>64.5</v>
      </c>
      <c r="CC129" s="8">
        <v>-96.59999999999999</v>
      </c>
      <c r="CD129" s="8">
        <v>109.5</v>
      </c>
      <c r="CE129" s="8">
        <v>282.1</v>
      </c>
      <c r="CF129" s="8">
        <v>353.8</v>
      </c>
      <c r="CG129" s="8">
        <v>388.1</v>
      </c>
      <c r="CH129" s="8">
        <v>342.8</v>
      </c>
      <c r="CI129" s="8">
        <v>61.5</v>
      </c>
      <c r="CJ129" s="8">
        <v>110.1</v>
      </c>
      <c r="CK129" s="8">
        <v>-78.40000000000001</v>
      </c>
      <c r="CL129" s="8">
        <v>-90.7</v>
      </c>
      <c r="CM129" s="8">
        <v>-192.2</v>
      </c>
      <c r="CN129" s="8">
        <v>-76.09999999999999</v>
      </c>
      <c r="CO129" s="8">
        <v>-122.8</v>
      </c>
      <c r="CP129" s="8">
        <v>-86.2</v>
      </c>
      <c r="CQ129" s="8">
        <v>-84.40000000000001</v>
      </c>
      <c r="CR129" s="8">
        <v>-11.7</v>
      </c>
      <c r="CS129" s="8">
        <v>107.6</v>
      </c>
      <c r="CT129" s="8">
        <v>-107.3</v>
      </c>
      <c r="CU129" s="8">
        <v>-62</v>
      </c>
      <c r="CV129" s="8">
        <v>-69.40000000000001</v>
      </c>
      <c r="CW129" s="8">
        <v>-64.2</v>
      </c>
      <c r="CX129" s="8">
        <v>-78.2</v>
      </c>
      <c r="CY129" s="8">
        <v>53.3</v>
      </c>
      <c r="CZ129" s="8">
        <v>-60.7</v>
      </c>
      <c r="DA129" s="8">
        <v>-77.5</v>
      </c>
      <c r="DB129" s="8">
        <v>-98.3</v>
      </c>
      <c r="DC129" s="8">
        <v>-98.40000000000001</v>
      </c>
      <c r="DD129" s="8">
        <v>-92.3</v>
      </c>
      <c r="DE129" s="8">
        <v>-106.7</v>
      </c>
      <c r="DF129" s="8">
        <v>-120.5</v>
      </c>
      <c r="DG129" s="8">
        <v>-125.2</v>
      </c>
      <c r="DH129" s="8">
        <v>-124.2</v>
      </c>
      <c r="DI129" s="8">
        <v>-132.5</v>
      </c>
      <c r="DJ129" s="8">
        <v>-138.3</v>
      </c>
      <c r="DK129" s="8">
        <v>-140.8</v>
      </c>
      <c r="DL129" s="8">
        <v>-137.7</v>
      </c>
      <c r="DM129" s="8">
        <v>-137.2</v>
      </c>
      <c r="DN129" s="8">
        <v>-128.1</v>
      </c>
      <c r="DO129" s="8">
        <v>-113.4</v>
      </c>
      <c r="DP129" s="8">
        <v>-82</v>
      </c>
      <c r="DQ129" s="8">
        <v>-67.90000000000001</v>
      </c>
      <c r="DR129" s="8">
        <v>-120.9</v>
      </c>
      <c r="DS129" s="8">
        <v>-163.9</v>
      </c>
      <c r="DT129" s="8">
        <v>-152.1</v>
      </c>
      <c r="DU129" s="8">
        <v>-100.9</v>
      </c>
      <c r="DV129" s="8">
        <v>-83.3</v>
      </c>
      <c r="DW129" s="8">
        <v>-164.8</v>
      </c>
      <c r="DX129" s="8">
        <v>-152.6</v>
      </c>
      <c r="DY129" s="8">
        <v>-130.2</v>
      </c>
      <c r="DZ129" s="8">
        <v>-106.2</v>
      </c>
      <c r="EA129" s="8">
        <v>-93.5</v>
      </c>
      <c r="EB129" s="8">
        <v>25.4</v>
      </c>
      <c r="EC129" s="8">
        <v>97</v>
      </c>
      <c r="ED129" s="8">
        <v>115.8</v>
      </c>
      <c r="EE129" s="8">
        <v>-308.5</v>
      </c>
      <c r="EF129" s="8">
        <v>-360.3</v>
      </c>
      <c r="EG129" s="8">
        <v>-311</v>
      </c>
      <c r="EH129" s="8">
        <v>-237.5</v>
      </c>
      <c r="EI129" s="8">
        <v>-307.4</v>
      </c>
      <c r="EJ129" s="8">
        <v>26.1</v>
      </c>
      <c r="EK129" s="8">
        <v>434.4</v>
      </c>
      <c r="EL129" s="8">
        <v>-336.1</v>
      </c>
      <c r="EM129" s="8">
        <v>-36.7</v>
      </c>
      <c r="EN129" s="8">
        <v>-41.2</v>
      </c>
      <c r="EO129" s="8">
        <v>11.2</v>
      </c>
      <c r="EP129" s="8">
        <v>-19.4</v>
      </c>
      <c r="EQ129" s="8">
        <v>-99.2</v>
      </c>
      <c r="ER129" s="8">
        <v>-91</v>
      </c>
    </row>
    <row r="130" spans="1:151">
      <c r="A130" s="7">
        <v>36.375</v>
      </c>
      <c r="T130" s="8">
        <v>-91.5</v>
      </c>
      <c r="U130" s="8">
        <v>-110.3</v>
      </c>
      <c r="V130" s="8">
        <v>-95.3</v>
      </c>
      <c r="W130" s="8">
        <v>-91</v>
      </c>
      <c r="X130" s="8">
        <v>-78.09999999999999</v>
      </c>
      <c r="Y130" s="8">
        <v>-70.3</v>
      </c>
      <c r="Z130" s="8">
        <v>-63</v>
      </c>
      <c r="AA130" s="8">
        <v>-67.3</v>
      </c>
      <c r="AB130" s="8">
        <v>-77.09999999999999</v>
      </c>
      <c r="AC130" s="8">
        <v>-51.5</v>
      </c>
      <c r="AD130" s="8">
        <v>-69.7</v>
      </c>
      <c r="AE130" s="8">
        <v>-102</v>
      </c>
      <c r="AF130" s="8">
        <v>-103.4</v>
      </c>
      <c r="AG130" s="8">
        <v>-128.6</v>
      </c>
      <c r="AH130" s="8">
        <v>-70.8</v>
      </c>
      <c r="AI130" s="8">
        <v>-19.9</v>
      </c>
      <c r="AJ130" s="8">
        <v>-55</v>
      </c>
      <c r="AK130" s="8">
        <v>-67</v>
      </c>
      <c r="AL130" s="8">
        <v>-67.3</v>
      </c>
      <c r="AM130" s="8">
        <v>-74.09999999999999</v>
      </c>
      <c r="AN130" s="8">
        <v>-78.8</v>
      </c>
      <c r="AO130" s="8">
        <v>-94.09999999999999</v>
      </c>
      <c r="AP130" s="8">
        <v>-90.90000000000001</v>
      </c>
      <c r="AQ130" s="8">
        <v>-88.59999999999999</v>
      </c>
      <c r="AR130" s="8">
        <v>-98</v>
      </c>
      <c r="AS130" s="8">
        <v>-100.2</v>
      </c>
      <c r="AT130" s="8">
        <v>-97.8</v>
      </c>
      <c r="AU130" s="8">
        <v>-86.09999999999999</v>
      </c>
      <c r="AV130" s="8">
        <v>-83.40000000000001</v>
      </c>
      <c r="AW130" s="8">
        <v>-84.59999999999999</v>
      </c>
      <c r="AX130" s="8">
        <v>-96.3</v>
      </c>
      <c r="AY130" s="8">
        <v>-115.1</v>
      </c>
      <c r="AZ130" s="8">
        <v>-127.9</v>
      </c>
      <c r="BA130" s="8">
        <v>-120.4</v>
      </c>
      <c r="BB130" s="8">
        <v>-124.1</v>
      </c>
      <c r="BC130" s="8">
        <v>-124.7</v>
      </c>
      <c r="BD130" s="8">
        <v>-115.2</v>
      </c>
      <c r="BE130" s="8">
        <v>-113.2</v>
      </c>
      <c r="BF130" s="8">
        <v>-108.6</v>
      </c>
      <c r="BG130" s="8">
        <v>-110.4</v>
      </c>
      <c r="BH130" s="8">
        <v>-93.09999999999999</v>
      </c>
      <c r="BI130" s="8">
        <v>-73.8</v>
      </c>
      <c r="BJ130" s="8">
        <v>17.6</v>
      </c>
      <c r="BK130" s="8">
        <v>20.1</v>
      </c>
      <c r="BL130" s="8">
        <v>11.7</v>
      </c>
      <c r="BM130" s="8">
        <v>2.8</v>
      </c>
      <c r="BN130" s="8">
        <v>12.5</v>
      </c>
      <c r="BO130" s="8">
        <v>-36.8</v>
      </c>
      <c r="BP130" s="8">
        <v>-52.3</v>
      </c>
      <c r="BQ130" s="8">
        <v>-5.6</v>
      </c>
      <c r="BR130" s="8">
        <v>-21</v>
      </c>
      <c r="BS130" s="8">
        <v>-32.9</v>
      </c>
      <c r="BT130" s="8">
        <v>-6.9</v>
      </c>
      <c r="BU130" s="8">
        <v>-27</v>
      </c>
      <c r="BV130" s="8">
        <v>-39.2</v>
      </c>
      <c r="BW130" s="8">
        <v>3.9</v>
      </c>
      <c r="BX130" s="8">
        <v>-114.9</v>
      </c>
      <c r="BY130" s="8">
        <v>40.7</v>
      </c>
      <c r="BZ130" s="8">
        <v>-61.3</v>
      </c>
      <c r="CA130" s="8">
        <v>79</v>
      </c>
      <c r="CB130" s="8">
        <v>-66.7</v>
      </c>
      <c r="CC130" s="8">
        <v>-230.3</v>
      </c>
      <c r="CD130" s="8">
        <v>-859.7</v>
      </c>
      <c r="CE130" s="8">
        <v>-72.3</v>
      </c>
      <c r="CF130" s="8">
        <v>-26.4</v>
      </c>
      <c r="CG130" s="8">
        <v>-10</v>
      </c>
      <c r="CH130" s="8">
        <v>-9.199999999999999</v>
      </c>
      <c r="CI130" s="8">
        <v>-30.7</v>
      </c>
      <c r="CJ130" s="8">
        <v>-49.2</v>
      </c>
      <c r="CK130" s="8">
        <v>-58.7</v>
      </c>
      <c r="CL130" s="8">
        <v>-68.7</v>
      </c>
      <c r="CM130" s="8">
        <v>-64.59999999999999</v>
      </c>
      <c r="CN130" s="8">
        <v>-94.5</v>
      </c>
      <c r="CO130" s="8">
        <v>-101.8</v>
      </c>
      <c r="CP130" s="8">
        <v>-95.7</v>
      </c>
      <c r="CQ130" s="8">
        <v>-94.09999999999999</v>
      </c>
      <c r="CR130" s="8">
        <v>-158.4</v>
      </c>
      <c r="CS130" s="8">
        <v>-119.1</v>
      </c>
      <c r="CT130" s="8">
        <v>-121.7</v>
      </c>
      <c r="CU130" s="8">
        <v>-121.4</v>
      </c>
      <c r="CV130" s="8">
        <v>4.5</v>
      </c>
      <c r="CW130" s="8">
        <v>31.7</v>
      </c>
      <c r="CX130" s="8">
        <v>20.1</v>
      </c>
      <c r="CY130" s="8">
        <v>-46.1</v>
      </c>
      <c r="CZ130" s="8">
        <v>-66.59999999999999</v>
      </c>
      <c r="DA130" s="8">
        <v>-75.7</v>
      </c>
      <c r="DB130" s="8">
        <v>-78.90000000000001</v>
      </c>
      <c r="DC130" s="8">
        <v>-74.5</v>
      </c>
      <c r="DD130" s="8">
        <v>-73.90000000000001</v>
      </c>
      <c r="DE130" s="8">
        <v>-88.5</v>
      </c>
      <c r="DF130" s="8">
        <v>-103.8</v>
      </c>
      <c r="DG130" s="8">
        <v>-103.7</v>
      </c>
      <c r="DH130" s="8">
        <v>-115.8</v>
      </c>
      <c r="DI130" s="8">
        <v>-127.7</v>
      </c>
      <c r="DJ130" s="8">
        <v>-131.8</v>
      </c>
      <c r="DK130" s="8">
        <v>-134.5</v>
      </c>
      <c r="DL130" s="8">
        <v>-146.4</v>
      </c>
      <c r="DM130" s="8">
        <v>-148.1</v>
      </c>
      <c r="DN130" s="8">
        <v>-143.1</v>
      </c>
      <c r="DO130" s="8">
        <v>-145.8</v>
      </c>
      <c r="DP130" s="8">
        <v>-127.5</v>
      </c>
      <c r="DQ130" s="8">
        <v>-146.7</v>
      </c>
      <c r="DR130" s="8">
        <v>-156.2</v>
      </c>
      <c r="DS130" s="8">
        <v>-184.1</v>
      </c>
      <c r="DT130" s="8">
        <v>-222.6</v>
      </c>
      <c r="DU130" s="8">
        <v>-233.2</v>
      </c>
      <c r="DV130" s="8">
        <v>-140.5</v>
      </c>
      <c r="DW130" s="8">
        <v>-90.2</v>
      </c>
      <c r="DX130" s="8">
        <v>-93</v>
      </c>
      <c r="DY130" s="8">
        <v>-46.7</v>
      </c>
      <c r="DZ130" s="8">
        <v>-86.90000000000001</v>
      </c>
      <c r="EA130" s="8">
        <v>-78.59999999999999</v>
      </c>
      <c r="EB130" s="8">
        <v>16.4</v>
      </c>
      <c r="EC130" s="8">
        <v>-6.2</v>
      </c>
      <c r="ED130" s="8">
        <v>-24.8</v>
      </c>
      <c r="EE130" s="8">
        <v>-50.3</v>
      </c>
      <c r="EF130" s="8">
        <v>-95.8</v>
      </c>
      <c r="EG130" s="8">
        <v>-50.4</v>
      </c>
      <c r="EH130" s="8">
        <v>-49.4</v>
      </c>
      <c r="EI130" s="8">
        <v>-120.6</v>
      </c>
      <c r="EJ130" s="8">
        <v>-385.6</v>
      </c>
      <c r="EK130" s="8">
        <v>-105.3</v>
      </c>
      <c r="EL130" s="8">
        <v>-70.3</v>
      </c>
      <c r="EM130" s="8">
        <v>-38.4</v>
      </c>
      <c r="EN130" s="8">
        <v>-37.4</v>
      </c>
      <c r="EO130" s="8">
        <v>-7.8</v>
      </c>
      <c r="EP130" s="8">
        <v>20.5</v>
      </c>
      <c r="EQ130" s="8">
        <v>-46</v>
      </c>
      <c r="ER130" s="8">
        <v>-0.7</v>
      </c>
    </row>
    <row r="131" spans="1:151">
      <c r="A131" s="7">
        <v>36.4</v>
      </c>
      <c r="U131" s="8">
        <v>-92.40000000000001</v>
      </c>
      <c r="V131" s="8">
        <v>-98.40000000000001</v>
      </c>
      <c r="W131" s="8">
        <v>-86.09999999999999</v>
      </c>
      <c r="X131" s="8">
        <v>-77.59999999999999</v>
      </c>
      <c r="Y131" s="8">
        <v>-28.8</v>
      </c>
      <c r="Z131" s="8">
        <v>-19.1</v>
      </c>
      <c r="AA131" s="8">
        <v>-52.3</v>
      </c>
      <c r="AB131" s="8">
        <v>-84</v>
      </c>
      <c r="AC131" s="8">
        <v>-85.40000000000001</v>
      </c>
      <c r="AD131" s="8">
        <v>-94.90000000000001</v>
      </c>
      <c r="AE131" s="8">
        <v>-137.3</v>
      </c>
      <c r="AF131" s="8">
        <v>-76.5</v>
      </c>
      <c r="AG131" s="8">
        <v>-92.2</v>
      </c>
      <c r="AH131" s="8">
        <v>-85.59999999999999</v>
      </c>
      <c r="AI131" s="8">
        <v>-87.09999999999999</v>
      </c>
      <c r="AJ131" s="8">
        <v>-77.2</v>
      </c>
      <c r="AK131" s="8">
        <v>-73.5</v>
      </c>
      <c r="AL131" s="8">
        <v>-66.90000000000001</v>
      </c>
      <c r="AM131" s="8">
        <v>-65.59999999999999</v>
      </c>
      <c r="AN131" s="8">
        <v>-73.7</v>
      </c>
      <c r="AO131" s="8">
        <v>-93.40000000000001</v>
      </c>
      <c r="AP131" s="8">
        <v>-86.5</v>
      </c>
      <c r="AQ131" s="8">
        <v>-96.5</v>
      </c>
      <c r="AR131" s="8">
        <v>-91.7</v>
      </c>
      <c r="AS131" s="8">
        <v>-102</v>
      </c>
      <c r="AT131" s="8">
        <v>-108.4</v>
      </c>
      <c r="AU131" s="8">
        <v>-97.8</v>
      </c>
      <c r="AV131" s="8">
        <v>-97.2</v>
      </c>
      <c r="AW131" s="8">
        <v>-99.59999999999999</v>
      </c>
      <c r="AX131" s="8">
        <v>-103</v>
      </c>
      <c r="AY131" s="8">
        <v>-105.5</v>
      </c>
      <c r="AZ131" s="8">
        <v>-127</v>
      </c>
      <c r="BA131" s="8">
        <v>-134.4</v>
      </c>
      <c r="BB131" s="8">
        <v>-135.3</v>
      </c>
      <c r="BC131" s="8">
        <v>-132.9</v>
      </c>
      <c r="BD131" s="8">
        <v>-133.7</v>
      </c>
      <c r="BE131" s="8">
        <v>-140.2</v>
      </c>
      <c r="BF131" s="8">
        <v>-127.1</v>
      </c>
      <c r="BG131" s="8">
        <v>-129.4</v>
      </c>
      <c r="BH131" s="8">
        <v>-101.9</v>
      </c>
      <c r="BI131" s="8">
        <v>-73</v>
      </c>
      <c r="BJ131" s="8">
        <v>-70.8</v>
      </c>
      <c r="BK131" s="8">
        <v>10.5</v>
      </c>
      <c r="BL131" s="8">
        <v>15.8</v>
      </c>
      <c r="BM131" s="8">
        <v>29.2</v>
      </c>
      <c r="BN131" s="8">
        <v>-12.4</v>
      </c>
      <c r="BO131" s="8">
        <v>-36.7</v>
      </c>
      <c r="BP131" s="8">
        <v>-24</v>
      </c>
      <c r="BQ131" s="8">
        <v>-29.3</v>
      </c>
      <c r="BR131" s="8">
        <v>-60.2</v>
      </c>
      <c r="BS131" s="8">
        <v>-32.8</v>
      </c>
      <c r="BT131" s="8">
        <v>-5.9</v>
      </c>
      <c r="BU131" s="8">
        <v>18.1</v>
      </c>
      <c r="BV131" s="8">
        <v>-21.4</v>
      </c>
      <c r="BW131" s="8">
        <v>51.2</v>
      </c>
      <c r="BX131" s="8">
        <v>-40.5</v>
      </c>
      <c r="BY131" s="8">
        <v>65.3</v>
      </c>
      <c r="BZ131" s="8">
        <v>48.9</v>
      </c>
      <c r="CA131" s="8">
        <v>-163.2</v>
      </c>
      <c r="CB131" s="8">
        <v>-202.9</v>
      </c>
      <c r="CC131" s="8">
        <v>-129.3</v>
      </c>
      <c r="CD131" s="8">
        <v>-286.6</v>
      </c>
      <c r="CE131" s="8">
        <v>-72.59999999999999</v>
      </c>
      <c r="CF131" s="8">
        <v>-1.4</v>
      </c>
      <c r="CG131" s="8">
        <v>-9.199999999999999</v>
      </c>
      <c r="CH131" s="8">
        <v>-25</v>
      </c>
      <c r="CI131" s="8">
        <v>-35.8</v>
      </c>
      <c r="CJ131" s="8">
        <v>-42.6</v>
      </c>
      <c r="CK131" s="8">
        <v>-43.4</v>
      </c>
      <c r="CL131" s="8">
        <v>-50.1</v>
      </c>
      <c r="CM131" s="8">
        <v>-69.2</v>
      </c>
      <c r="CN131" s="8">
        <v>-68</v>
      </c>
      <c r="CO131" s="8">
        <v>-70</v>
      </c>
      <c r="CP131" s="8">
        <v>-57.7</v>
      </c>
      <c r="CQ131" s="8">
        <v>-30.3</v>
      </c>
      <c r="CR131" s="8">
        <v>-49.9</v>
      </c>
      <c r="CS131" s="8">
        <v>-75.09999999999999</v>
      </c>
      <c r="CT131" s="8">
        <v>-82.90000000000001</v>
      </c>
      <c r="CU131" s="8">
        <v>-93</v>
      </c>
      <c r="CV131" s="8">
        <v>-16.2</v>
      </c>
      <c r="CW131" s="8">
        <v>192.6</v>
      </c>
      <c r="CX131" s="8">
        <v>157</v>
      </c>
      <c r="CY131" s="8">
        <v>31.4</v>
      </c>
      <c r="CZ131" s="8">
        <v>-13.7</v>
      </c>
      <c r="DA131" s="8">
        <v>-40.6</v>
      </c>
      <c r="DB131" s="8">
        <v>-54.3</v>
      </c>
      <c r="DC131" s="8">
        <v>-63</v>
      </c>
      <c r="DD131" s="8">
        <v>-65.2</v>
      </c>
      <c r="DE131" s="8">
        <v>-79.3</v>
      </c>
      <c r="DF131" s="8">
        <v>-90.40000000000001</v>
      </c>
      <c r="DG131" s="8">
        <v>-97.09999999999999</v>
      </c>
      <c r="DH131" s="8">
        <v>-115.6</v>
      </c>
      <c r="DI131" s="8">
        <v>-112.9</v>
      </c>
      <c r="DJ131" s="8">
        <v>-125.3</v>
      </c>
      <c r="DK131" s="8">
        <v>-134.5</v>
      </c>
      <c r="DL131" s="8">
        <v>-140.3</v>
      </c>
      <c r="DM131" s="8">
        <v>-145.2</v>
      </c>
      <c r="DN131" s="8">
        <v>-149.7</v>
      </c>
      <c r="DO131" s="8">
        <v>-153.2</v>
      </c>
      <c r="DP131" s="8">
        <v>-157.5</v>
      </c>
      <c r="DQ131" s="8">
        <v>-162.8</v>
      </c>
      <c r="DR131" s="8">
        <v>-185</v>
      </c>
      <c r="DS131" s="8">
        <v>-193.3</v>
      </c>
      <c r="DT131" s="8">
        <v>-217.3</v>
      </c>
      <c r="DU131" s="8">
        <v>-245.4</v>
      </c>
      <c r="DV131" s="8">
        <v>-134.9</v>
      </c>
      <c r="DW131" s="8">
        <v>-22.3</v>
      </c>
      <c r="DX131" s="8">
        <v>-69.2</v>
      </c>
      <c r="DY131" s="8">
        <v>-62</v>
      </c>
      <c r="DZ131" s="8">
        <v>-51.6</v>
      </c>
      <c r="EA131" s="8">
        <v>-19.5</v>
      </c>
      <c r="EB131" s="8">
        <v>-48</v>
      </c>
      <c r="EC131" s="8">
        <v>45.7</v>
      </c>
      <c r="ED131" s="8">
        <v>54.6</v>
      </c>
      <c r="EE131" s="8">
        <v>78.5</v>
      </c>
      <c r="EF131" s="8">
        <v>233.7</v>
      </c>
      <c r="EG131" s="8">
        <v>81</v>
      </c>
      <c r="EH131" s="8">
        <v>-51.7</v>
      </c>
      <c r="EI131" s="8">
        <v>-105.4</v>
      </c>
      <c r="EJ131" s="8">
        <v>46.7</v>
      </c>
      <c r="EK131" s="8">
        <v>12.3</v>
      </c>
      <c r="EL131" s="8">
        <v>-13.2</v>
      </c>
      <c r="EM131" s="8">
        <v>-19.2</v>
      </c>
      <c r="EN131" s="8">
        <v>-27.2</v>
      </c>
      <c r="EO131" s="8">
        <v>-41.4</v>
      </c>
      <c r="EP131" s="8">
        <v>22.7</v>
      </c>
      <c r="EQ131" s="8">
        <v>154</v>
      </c>
      <c r="ER131" s="8">
        <v>-94.5</v>
      </c>
      <c r="ES131" s="8">
        <v>-62.1</v>
      </c>
    </row>
    <row r="132" spans="1:151">
      <c r="A132" s="7">
        <v>36.425</v>
      </c>
      <c r="T132" s="8">
        <v>-109.2</v>
      </c>
      <c r="U132" s="8">
        <v>-117.6</v>
      </c>
      <c r="V132" s="8">
        <v>-115.1</v>
      </c>
      <c r="W132" s="8">
        <v>-116</v>
      </c>
      <c r="X132" s="8">
        <v>-108.7</v>
      </c>
      <c r="Y132" s="8">
        <v>-76.59999999999999</v>
      </c>
      <c r="Z132" s="8">
        <v>-76.90000000000001</v>
      </c>
      <c r="AA132" s="8">
        <v>-84.7</v>
      </c>
      <c r="AB132" s="8">
        <v>-93</v>
      </c>
      <c r="AC132" s="8">
        <v>-94.59999999999999</v>
      </c>
      <c r="AD132" s="8">
        <v>-71.3</v>
      </c>
      <c r="AE132" s="8">
        <v>-77.90000000000001</v>
      </c>
      <c r="AF132" s="8">
        <v>-90.7</v>
      </c>
      <c r="AG132" s="8">
        <v>-82</v>
      </c>
      <c r="AH132" s="8">
        <v>-71.2</v>
      </c>
      <c r="AI132" s="8">
        <v>-79.8</v>
      </c>
      <c r="AJ132" s="8">
        <v>-53.8</v>
      </c>
      <c r="AK132" s="8">
        <v>-57.3</v>
      </c>
      <c r="AL132" s="8">
        <v>-76.5</v>
      </c>
      <c r="AM132" s="8">
        <v>-62.3</v>
      </c>
      <c r="AN132" s="8">
        <v>-58.6</v>
      </c>
      <c r="AO132" s="8">
        <v>-76.8</v>
      </c>
      <c r="AP132" s="8">
        <v>-77.5</v>
      </c>
      <c r="AQ132" s="8">
        <v>-84.5</v>
      </c>
      <c r="AR132" s="8">
        <v>-98.7</v>
      </c>
      <c r="AS132" s="8">
        <v>-99.5</v>
      </c>
      <c r="AT132" s="8">
        <v>-102.5</v>
      </c>
      <c r="AU132" s="8">
        <v>-86.3</v>
      </c>
      <c r="AV132" s="8">
        <v>-100.3</v>
      </c>
      <c r="AW132" s="8">
        <v>-107.5</v>
      </c>
      <c r="AX132" s="8">
        <v>-110.7</v>
      </c>
      <c r="AY132" s="8">
        <v>-141.4</v>
      </c>
      <c r="AZ132" s="8">
        <v>-137</v>
      </c>
      <c r="BA132" s="8">
        <v>-133.8</v>
      </c>
      <c r="BB132" s="8">
        <v>-133.8</v>
      </c>
      <c r="BC132" s="8">
        <v>-135.9</v>
      </c>
      <c r="BD132" s="8">
        <v>-133.3</v>
      </c>
      <c r="BE132" s="8">
        <v>-136.1</v>
      </c>
      <c r="BF132" s="8">
        <v>-137.9</v>
      </c>
      <c r="BG132" s="8">
        <v>-136.5</v>
      </c>
      <c r="BH132" s="8">
        <v>-126.5</v>
      </c>
      <c r="BI132" s="8">
        <v>-102.2</v>
      </c>
      <c r="BJ132" s="8">
        <v>-73.90000000000001</v>
      </c>
      <c r="BK132" s="8">
        <v>-30</v>
      </c>
      <c r="BL132" s="8">
        <v>-24</v>
      </c>
      <c r="BM132" s="8">
        <v>3</v>
      </c>
      <c r="BN132" s="8">
        <v>-12.3</v>
      </c>
      <c r="BO132" s="8">
        <v>-33.5</v>
      </c>
      <c r="BP132" s="8">
        <v>-34.9</v>
      </c>
      <c r="BQ132" s="8">
        <v>-21.1</v>
      </c>
      <c r="BR132" s="8">
        <v>-44.9</v>
      </c>
      <c r="BS132" s="8">
        <v>-76</v>
      </c>
      <c r="BT132" s="8">
        <v>-57.9</v>
      </c>
      <c r="BU132" s="8">
        <v>13.3</v>
      </c>
      <c r="BV132" s="8">
        <v>-65.59999999999999</v>
      </c>
      <c r="BW132" s="8">
        <v>0.8</v>
      </c>
      <c r="BX132" s="8">
        <v>26.8</v>
      </c>
      <c r="BY132" s="8">
        <v>-26</v>
      </c>
      <c r="BZ132" s="8">
        <v>-113.8</v>
      </c>
      <c r="CA132" s="8">
        <v>-168</v>
      </c>
      <c r="CB132" s="8">
        <v>-116.1</v>
      </c>
      <c r="CC132" s="8">
        <v>-87.8</v>
      </c>
      <c r="CD132" s="8">
        <v>-90.8</v>
      </c>
      <c r="CE132" s="8">
        <v>-83</v>
      </c>
      <c r="CF132" s="8">
        <v>-99.2</v>
      </c>
      <c r="CG132" s="8">
        <v>-140.3</v>
      </c>
      <c r="CH132" s="8">
        <v>-62.6</v>
      </c>
      <c r="CI132" s="8">
        <v>-30</v>
      </c>
      <c r="CJ132" s="8">
        <v>-26</v>
      </c>
      <c r="CK132" s="8">
        <v>-14.5</v>
      </c>
      <c r="CL132" s="8">
        <v>-20.6</v>
      </c>
      <c r="CM132" s="8">
        <v>-24.3</v>
      </c>
      <c r="CN132" s="8">
        <v>-56.4</v>
      </c>
      <c r="CO132" s="8">
        <v>-35.4</v>
      </c>
      <c r="CP132" s="8">
        <v>-38.5</v>
      </c>
      <c r="CQ132" s="8">
        <v>15.7</v>
      </c>
      <c r="CR132" s="8">
        <v>46.7</v>
      </c>
      <c r="CS132" s="8">
        <v>-24.5</v>
      </c>
      <c r="CT132" s="8">
        <v>-72.3</v>
      </c>
      <c r="CU132" s="8">
        <v>-103.4</v>
      </c>
      <c r="CV132" s="8">
        <v>-137.1</v>
      </c>
      <c r="CW132" s="8">
        <v>-47.4</v>
      </c>
      <c r="CX132" s="8">
        <v>46.1</v>
      </c>
      <c r="CY132" s="8">
        <v>32.6</v>
      </c>
      <c r="CZ132" s="8">
        <v>14.1</v>
      </c>
      <c r="DA132" s="8">
        <v>-20.2</v>
      </c>
      <c r="DB132" s="8">
        <v>-31.5</v>
      </c>
      <c r="DC132" s="8">
        <v>-39.6</v>
      </c>
      <c r="DD132" s="8">
        <v>-47.2</v>
      </c>
      <c r="DE132" s="8">
        <v>-53.7</v>
      </c>
      <c r="DF132" s="8">
        <v>-35.1</v>
      </c>
      <c r="DG132" s="8">
        <v>-63.4</v>
      </c>
      <c r="DH132" s="8">
        <v>-72.90000000000001</v>
      </c>
      <c r="DI132" s="8">
        <v>-103.5</v>
      </c>
      <c r="DJ132" s="8">
        <v>-111.5</v>
      </c>
      <c r="DK132" s="8">
        <v>-117.4</v>
      </c>
      <c r="DL132" s="8">
        <v>-125.6</v>
      </c>
      <c r="DM132" s="8">
        <v>-132.3</v>
      </c>
      <c r="DN132" s="8">
        <v>-141.3</v>
      </c>
      <c r="DO132" s="8">
        <v>-143</v>
      </c>
      <c r="DP132" s="8">
        <v>-143.9</v>
      </c>
      <c r="DQ132" s="8">
        <v>-152.4</v>
      </c>
      <c r="DR132" s="8">
        <v>-134.2</v>
      </c>
      <c r="DS132" s="8">
        <v>-163.6</v>
      </c>
      <c r="DT132" s="8">
        <v>-181.2</v>
      </c>
      <c r="DU132" s="8">
        <v>-223.1</v>
      </c>
      <c r="DV132" s="8">
        <v>-219</v>
      </c>
      <c r="DW132" s="8">
        <v>-85.3</v>
      </c>
      <c r="DX132" s="8">
        <v>23.4</v>
      </c>
      <c r="DY132" s="8">
        <v>22.5</v>
      </c>
      <c r="DZ132" s="8">
        <v>60.8</v>
      </c>
      <c r="EA132" s="8">
        <v>147.5</v>
      </c>
      <c r="EB132" s="8">
        <v>58.4</v>
      </c>
      <c r="EC132" s="8">
        <v>7.1</v>
      </c>
      <c r="ED132" s="8">
        <v>-148.1</v>
      </c>
      <c r="EE132" s="8">
        <v>-54.5</v>
      </c>
      <c r="EF132" s="8">
        <v>-5.2</v>
      </c>
      <c r="EG132" s="8">
        <v>12.7</v>
      </c>
      <c r="EH132" s="8">
        <v>65.5</v>
      </c>
      <c r="EI132" s="8">
        <v>-18.2</v>
      </c>
      <c r="EJ132" s="8">
        <v>18</v>
      </c>
      <c r="EK132" s="8">
        <v>11.9</v>
      </c>
      <c r="EL132" s="8">
        <v>-68</v>
      </c>
      <c r="EM132" s="8">
        <v>69.2</v>
      </c>
      <c r="EN132" s="8">
        <v>-44.2</v>
      </c>
      <c r="EO132" s="8">
        <v>-139.1</v>
      </c>
      <c r="EP132" s="8">
        <v>44.7</v>
      </c>
      <c r="EQ132" s="8">
        <v>58.4</v>
      </c>
      <c r="ER132" s="8">
        <v>42.7</v>
      </c>
      <c r="ES132" s="8">
        <v>-16.5</v>
      </c>
    </row>
    <row r="133" spans="1:151">
      <c r="A133" s="7">
        <v>36.45</v>
      </c>
      <c r="U133" s="8">
        <v>-126.2</v>
      </c>
      <c r="V133" s="8">
        <v>-102</v>
      </c>
      <c r="W133" s="8">
        <v>-103.3</v>
      </c>
      <c r="X133" s="8">
        <v>-109</v>
      </c>
      <c r="Y133" s="8">
        <v>-108.1</v>
      </c>
      <c r="Z133" s="8">
        <v>-109</v>
      </c>
      <c r="AA133" s="8">
        <v>-96.90000000000001</v>
      </c>
      <c r="AB133" s="8">
        <v>-56.6</v>
      </c>
      <c r="AC133" s="8">
        <v>-106.5</v>
      </c>
      <c r="AD133" s="8">
        <v>-92.2</v>
      </c>
      <c r="AE133" s="8">
        <v>-93.2</v>
      </c>
      <c r="AF133" s="8">
        <v>-72.40000000000001</v>
      </c>
      <c r="AG133" s="8">
        <v>-79.5</v>
      </c>
      <c r="AH133" s="8">
        <v>-64.2</v>
      </c>
      <c r="AI133" s="8">
        <v>-53</v>
      </c>
      <c r="AJ133" s="8">
        <v>-58.2</v>
      </c>
      <c r="AK133" s="8">
        <v>-47.3</v>
      </c>
      <c r="AL133" s="8">
        <v>-53.4</v>
      </c>
      <c r="AM133" s="8">
        <v>-65.09999999999999</v>
      </c>
      <c r="AN133" s="8">
        <v>-66.7</v>
      </c>
      <c r="AO133" s="8">
        <v>-55.1</v>
      </c>
      <c r="AP133" s="8">
        <v>-77.2</v>
      </c>
      <c r="AQ133" s="8">
        <v>-85.8</v>
      </c>
      <c r="AR133" s="8">
        <v>-91.7</v>
      </c>
      <c r="AS133" s="8">
        <v>-94.40000000000001</v>
      </c>
      <c r="AT133" s="8">
        <v>-93.09999999999999</v>
      </c>
      <c r="AU133" s="8">
        <v>-83.2</v>
      </c>
      <c r="AV133" s="8">
        <v>-97.5</v>
      </c>
      <c r="AW133" s="8">
        <v>-114.5</v>
      </c>
      <c r="AX133" s="8">
        <v>-113.8</v>
      </c>
      <c r="AY133" s="8">
        <v>-120.5</v>
      </c>
      <c r="AZ133" s="8">
        <v>-123.4</v>
      </c>
      <c r="BA133" s="8">
        <v>-121.6</v>
      </c>
      <c r="BB133" s="8">
        <v>-131.3</v>
      </c>
      <c r="BC133" s="8">
        <v>-135.8</v>
      </c>
      <c r="BD133" s="8">
        <v>-133.7</v>
      </c>
      <c r="BE133" s="8">
        <v>-105.3</v>
      </c>
      <c r="BF133" s="8">
        <v>-134.2</v>
      </c>
      <c r="BG133" s="8">
        <v>-136.1</v>
      </c>
      <c r="BH133" s="8">
        <v>-141</v>
      </c>
      <c r="BI133" s="8">
        <v>-134.8</v>
      </c>
      <c r="BJ133" s="8">
        <v>-139.4</v>
      </c>
      <c r="BK133" s="8">
        <v>-87.2</v>
      </c>
      <c r="BL133" s="8">
        <v>-52.2</v>
      </c>
      <c r="BM133" s="8">
        <v>-48.9</v>
      </c>
      <c r="BN133" s="8">
        <v>-35.4</v>
      </c>
      <c r="BO133" s="8">
        <v>-41.9</v>
      </c>
      <c r="BP133" s="8">
        <v>-71.3</v>
      </c>
      <c r="BQ133" s="8">
        <v>-56.6</v>
      </c>
      <c r="BR133" s="8">
        <v>-65.3</v>
      </c>
      <c r="BS133" s="8">
        <v>-84</v>
      </c>
      <c r="BT133" s="8">
        <v>-69.59999999999999</v>
      </c>
      <c r="BU133" s="8">
        <v>3.2</v>
      </c>
      <c r="BV133" s="8">
        <v>-86.5</v>
      </c>
      <c r="BW133" s="8">
        <v>-110.7</v>
      </c>
      <c r="BX133" s="8">
        <v>-275.2</v>
      </c>
      <c r="BY133" s="8">
        <v>-77.09999999999999</v>
      </c>
      <c r="BZ133" s="8">
        <v>-83.8</v>
      </c>
      <c r="CA133" s="8">
        <v>-99.5</v>
      </c>
      <c r="CB133" s="8">
        <v>-82.7</v>
      </c>
      <c r="CC133" s="8">
        <v>-70.59999999999999</v>
      </c>
      <c r="CD133" s="8">
        <v>-51.7</v>
      </c>
      <c r="CE133" s="8">
        <v>-72.5</v>
      </c>
      <c r="CF133" s="8">
        <v>-57.6</v>
      </c>
      <c r="CG133" s="8">
        <v>-36.5</v>
      </c>
      <c r="CH133" s="8">
        <v>-20.1</v>
      </c>
      <c r="CI133" s="8">
        <v>-3.9</v>
      </c>
      <c r="CJ133" s="8">
        <v>37.8</v>
      </c>
      <c r="CK133" s="8">
        <v>-10.5</v>
      </c>
      <c r="CL133" s="8">
        <v>-24.8</v>
      </c>
      <c r="CM133" s="8">
        <v>-16.2</v>
      </c>
      <c r="CN133" s="8">
        <v>-49.3</v>
      </c>
      <c r="CO133" s="8">
        <v>6.8</v>
      </c>
      <c r="CP133" s="8">
        <v>9.1</v>
      </c>
      <c r="CQ133" s="8">
        <v>27.4</v>
      </c>
      <c r="CR133" s="8">
        <v>166.8</v>
      </c>
      <c r="CS133" s="8">
        <v>128.7</v>
      </c>
      <c r="CT133" s="8">
        <v>-53.3</v>
      </c>
      <c r="CU133" s="8">
        <v>-110.2</v>
      </c>
      <c r="CV133" s="8">
        <v>-139.6</v>
      </c>
      <c r="CW133" s="8">
        <v>-141.8</v>
      </c>
      <c r="CX133" s="8">
        <v>4.7</v>
      </c>
      <c r="CY133" s="8">
        <v>54</v>
      </c>
      <c r="CZ133" s="8">
        <v>105.1</v>
      </c>
      <c r="DA133" s="8">
        <v>-17.7</v>
      </c>
      <c r="DB133" s="8">
        <v>-19</v>
      </c>
      <c r="DC133" s="8">
        <v>-28.7</v>
      </c>
      <c r="DD133" s="8">
        <v>-45.2</v>
      </c>
      <c r="DE133" s="8">
        <v>-55.3</v>
      </c>
      <c r="DF133" s="8">
        <v>-69.40000000000001</v>
      </c>
      <c r="DG133" s="8">
        <v>-83.8</v>
      </c>
      <c r="DH133" s="8">
        <v>-85.3</v>
      </c>
      <c r="DI133" s="8">
        <v>-89.5</v>
      </c>
      <c r="DJ133" s="8">
        <v>-98.5</v>
      </c>
      <c r="DK133" s="8">
        <v>-107.3</v>
      </c>
      <c r="DL133" s="8">
        <v>-113.5</v>
      </c>
      <c r="DM133" s="8">
        <v>-125.8</v>
      </c>
      <c r="DN133" s="8">
        <v>-129.6</v>
      </c>
      <c r="DO133" s="8">
        <v>-129.9</v>
      </c>
      <c r="DP133" s="8">
        <v>-130.6</v>
      </c>
      <c r="DQ133" s="8">
        <v>-135.4</v>
      </c>
      <c r="DR133" s="8">
        <v>-137.2</v>
      </c>
      <c r="DS133" s="8">
        <v>-140.5</v>
      </c>
      <c r="DT133" s="8">
        <v>-165.4</v>
      </c>
      <c r="DU133" s="8">
        <v>-191.8</v>
      </c>
      <c r="DV133" s="8">
        <v>-237.5</v>
      </c>
      <c r="DW133" s="8">
        <v>-322.3</v>
      </c>
      <c r="DX133" s="8">
        <v>-306.8</v>
      </c>
      <c r="DY133" s="8">
        <v>-280.5</v>
      </c>
      <c r="DZ133" s="8">
        <v>-190.4</v>
      </c>
      <c r="EA133" s="8">
        <v>-143.1</v>
      </c>
      <c r="EB133" s="8">
        <v>-103.2</v>
      </c>
      <c r="EC133" s="8">
        <v>-6</v>
      </c>
      <c r="ED133" s="8">
        <v>-84.40000000000001</v>
      </c>
      <c r="EE133" s="8">
        <v>-2.5</v>
      </c>
      <c r="EF133" s="8">
        <v>81.5</v>
      </c>
      <c r="EG133" s="8">
        <v>44.5</v>
      </c>
      <c r="EH133" s="8">
        <v>106.3</v>
      </c>
      <c r="EI133" s="8">
        <v>178.4</v>
      </c>
      <c r="EJ133" s="8">
        <v>179</v>
      </c>
      <c r="EK133" s="8">
        <v>78</v>
      </c>
      <c r="EL133" s="8">
        <v>-31.7</v>
      </c>
      <c r="EM133" s="8">
        <v>-64.5</v>
      </c>
      <c r="EN133" s="8">
        <v>-115.8</v>
      </c>
      <c r="EO133" s="8">
        <v>-105.4</v>
      </c>
      <c r="EP133" s="8">
        <v>-54.5</v>
      </c>
      <c r="EQ133" s="8">
        <v>274.2</v>
      </c>
      <c r="ER133" s="8">
        <v>221.7</v>
      </c>
      <c r="ES133" s="8">
        <v>75.90000000000001</v>
      </c>
    </row>
    <row r="134" spans="1:151">
      <c r="A134" s="7">
        <v>36.475</v>
      </c>
      <c r="U134" s="8">
        <v>-105.1</v>
      </c>
      <c r="V134" s="8">
        <v>-64.5</v>
      </c>
      <c r="W134" s="8">
        <v>-73.09999999999999</v>
      </c>
      <c r="X134" s="8">
        <v>-67.40000000000001</v>
      </c>
      <c r="Y134" s="8">
        <v>-77</v>
      </c>
      <c r="Z134" s="8">
        <v>-81.90000000000001</v>
      </c>
      <c r="AA134" s="8">
        <v>-105.2</v>
      </c>
      <c r="AB134" s="8">
        <v>-103.8</v>
      </c>
      <c r="AC134" s="8">
        <v>-89.3</v>
      </c>
      <c r="AD134" s="8">
        <v>-86.8</v>
      </c>
      <c r="AE134" s="8">
        <v>-105.6</v>
      </c>
      <c r="AF134" s="8">
        <v>-96.40000000000001</v>
      </c>
      <c r="AG134" s="8">
        <v>-101.4</v>
      </c>
      <c r="AH134" s="8">
        <v>-92.2</v>
      </c>
      <c r="AI134" s="8">
        <v>-82.40000000000001</v>
      </c>
      <c r="AJ134" s="8">
        <v>-44.2</v>
      </c>
      <c r="AK134" s="8">
        <v>-50.1</v>
      </c>
      <c r="AL134" s="8">
        <v>-48.9</v>
      </c>
      <c r="AM134" s="8">
        <v>-67.3</v>
      </c>
      <c r="AN134" s="8">
        <v>-46</v>
      </c>
      <c r="AO134" s="8">
        <v>-84.8</v>
      </c>
      <c r="AP134" s="8">
        <v>-60</v>
      </c>
      <c r="AQ134" s="8">
        <v>-62.2</v>
      </c>
      <c r="AR134" s="8">
        <v>-85.09999999999999</v>
      </c>
      <c r="AS134" s="8">
        <v>-91.5</v>
      </c>
      <c r="AT134" s="8">
        <v>-84.3</v>
      </c>
      <c r="AU134" s="8">
        <v>-96.40000000000001</v>
      </c>
      <c r="AV134" s="8">
        <v>-107.3</v>
      </c>
      <c r="AW134" s="8">
        <v>-111.1</v>
      </c>
      <c r="AX134" s="8">
        <v>-110.1</v>
      </c>
      <c r="AY134" s="8">
        <v>-104.2</v>
      </c>
      <c r="AZ134" s="8">
        <v>-99.3</v>
      </c>
      <c r="BA134" s="8">
        <v>-113.8</v>
      </c>
      <c r="BB134" s="8">
        <v>-116.1</v>
      </c>
      <c r="BC134" s="8">
        <v>-120.9</v>
      </c>
      <c r="BD134" s="8">
        <v>-104.7</v>
      </c>
      <c r="BE134" s="8">
        <v>-127</v>
      </c>
      <c r="BF134" s="8">
        <v>-128</v>
      </c>
      <c r="BG134" s="8">
        <v>-132.9</v>
      </c>
      <c r="BH134" s="8">
        <v>-131.9</v>
      </c>
      <c r="BI134" s="8">
        <v>-130.3</v>
      </c>
      <c r="BJ134" s="8">
        <v>-113.8</v>
      </c>
      <c r="BK134" s="8">
        <v>-82.7</v>
      </c>
      <c r="BL134" s="8">
        <v>-72.09999999999999</v>
      </c>
      <c r="BM134" s="8">
        <v>-56.8</v>
      </c>
      <c r="BN134" s="8">
        <v>-45.7</v>
      </c>
      <c r="BO134" s="8">
        <v>-41.9</v>
      </c>
      <c r="BP134" s="8">
        <v>-47</v>
      </c>
      <c r="BQ134" s="8">
        <v>-41.5</v>
      </c>
      <c r="BR134" s="8">
        <v>-50.8</v>
      </c>
      <c r="BS134" s="8">
        <v>-76.5</v>
      </c>
      <c r="BT134" s="8">
        <v>-75.2</v>
      </c>
      <c r="BU134" s="8">
        <v>-64.90000000000001</v>
      </c>
      <c r="BV134" s="8">
        <v>-81.5</v>
      </c>
      <c r="BW134" s="8">
        <v>-65.5</v>
      </c>
      <c r="BX134" s="8">
        <v>-97.40000000000001</v>
      </c>
      <c r="BY134" s="8">
        <v>-68.7</v>
      </c>
      <c r="BZ134" s="8">
        <v>-24.5</v>
      </c>
      <c r="CA134" s="8">
        <v>-73.2</v>
      </c>
      <c r="CB134" s="8">
        <v>-66.2</v>
      </c>
      <c r="CC134" s="8">
        <v>-64</v>
      </c>
      <c r="CD134" s="8">
        <v>-104.5</v>
      </c>
      <c r="CE134" s="8">
        <v>-75.5</v>
      </c>
      <c r="CF134" s="8">
        <v>-55.4</v>
      </c>
      <c r="CG134" s="8">
        <v>-49.6</v>
      </c>
      <c r="CH134" s="8">
        <v>-40.8</v>
      </c>
      <c r="CI134" s="8">
        <v>4.9</v>
      </c>
      <c r="CJ134" s="8">
        <v>9</v>
      </c>
      <c r="CK134" s="8">
        <v>-9.1</v>
      </c>
      <c r="CL134" s="8">
        <v>-2</v>
      </c>
      <c r="CM134" s="8">
        <v>-18.5</v>
      </c>
      <c r="CN134" s="8">
        <v>-53.6</v>
      </c>
      <c r="CO134" s="8">
        <v>-41</v>
      </c>
      <c r="CP134" s="8">
        <v>-56</v>
      </c>
      <c r="CQ134" s="8">
        <v>-63.3</v>
      </c>
      <c r="CR134" s="8">
        <v>-123.3</v>
      </c>
      <c r="CS134" s="8">
        <v>-189.3</v>
      </c>
      <c r="CT134" s="8">
        <v>-121.1</v>
      </c>
      <c r="CU134" s="8">
        <v>-114.6</v>
      </c>
      <c r="CV134" s="8">
        <v>-124</v>
      </c>
      <c r="CW134" s="8">
        <v>-126.6</v>
      </c>
      <c r="CX134" s="8">
        <v>-101.7</v>
      </c>
      <c r="CY134" s="8">
        <v>-185.7</v>
      </c>
      <c r="CZ134" s="8">
        <v>-131.7</v>
      </c>
      <c r="DA134" s="8">
        <v>-73.2</v>
      </c>
      <c r="DB134" s="8">
        <v>31.6</v>
      </c>
      <c r="DC134" s="8">
        <v>33.4</v>
      </c>
      <c r="DD134" s="8">
        <v>-45.6</v>
      </c>
      <c r="DE134" s="8">
        <v>-63.9</v>
      </c>
      <c r="DF134" s="8">
        <v>-67.3</v>
      </c>
      <c r="DG134" s="8">
        <v>-73.09999999999999</v>
      </c>
      <c r="DH134" s="8">
        <v>-72.2</v>
      </c>
      <c r="DI134" s="8">
        <v>-79.90000000000001</v>
      </c>
      <c r="DJ134" s="8">
        <v>-89.40000000000001</v>
      </c>
      <c r="DK134" s="8">
        <v>-89.90000000000001</v>
      </c>
      <c r="DL134" s="8">
        <v>-103.3</v>
      </c>
      <c r="DM134" s="8">
        <v>-108.6</v>
      </c>
      <c r="DN134" s="8">
        <v>-111.5</v>
      </c>
      <c r="DO134" s="8">
        <v>-116.9</v>
      </c>
      <c r="DP134" s="8">
        <v>-118.2</v>
      </c>
      <c r="DQ134" s="8">
        <v>-122.1</v>
      </c>
      <c r="DR134" s="8">
        <v>-125.1</v>
      </c>
      <c r="DS134" s="8">
        <v>-128.6</v>
      </c>
      <c r="DT134" s="8">
        <v>-145</v>
      </c>
      <c r="DU134" s="8">
        <v>-155.5</v>
      </c>
      <c r="DV134" s="8">
        <v>-177</v>
      </c>
      <c r="DW134" s="8">
        <v>-214.1</v>
      </c>
      <c r="DX134" s="8">
        <v>-250.4</v>
      </c>
      <c r="DY134" s="8">
        <v>-254.5</v>
      </c>
      <c r="DZ134" s="8">
        <v>-232.6</v>
      </c>
      <c r="EA134" s="8">
        <v>-189.6</v>
      </c>
      <c r="EB134" s="8">
        <v>-228.9</v>
      </c>
      <c r="EC134" s="8">
        <v>-285.2</v>
      </c>
      <c r="ED134" s="8">
        <v>-140.2</v>
      </c>
      <c r="EE134" s="8">
        <v>-69.2</v>
      </c>
      <c r="EF134" s="8">
        <v>101</v>
      </c>
      <c r="EG134" s="8">
        <v>51.7</v>
      </c>
      <c r="EH134" s="8">
        <v>64.59999999999999</v>
      </c>
      <c r="EI134" s="8">
        <v>57.7</v>
      </c>
      <c r="EJ134" s="8">
        <v>90.7</v>
      </c>
      <c r="EK134" s="8">
        <v>24.7</v>
      </c>
      <c r="EL134" s="8">
        <v>123.9</v>
      </c>
      <c r="EM134" s="8">
        <v>-62.7</v>
      </c>
      <c r="EN134" s="8">
        <v>-66.59999999999999</v>
      </c>
      <c r="EO134" s="8">
        <v>-49.4</v>
      </c>
      <c r="EP134" s="8">
        <v>158.5</v>
      </c>
      <c r="EQ134" s="8">
        <v>-34.5</v>
      </c>
      <c r="ER134" s="8">
        <v>-81.09999999999999</v>
      </c>
      <c r="ES134" s="8">
        <v>-237.6</v>
      </c>
      <c r="ET134" s="8">
        <v>-114.8</v>
      </c>
    </row>
    <row r="135" spans="1:151">
      <c r="A135" s="7">
        <v>36.5</v>
      </c>
      <c r="L135" s="8">
        <v>-95.2</v>
      </c>
      <c r="M135" s="8">
        <v>-108.2</v>
      </c>
      <c r="N135" s="8">
        <v>-82.90000000000001</v>
      </c>
      <c r="O135" s="8">
        <v>-35.7</v>
      </c>
      <c r="P135" s="8">
        <v>-52.7</v>
      </c>
      <c r="Q135" s="8">
        <v>20.8</v>
      </c>
      <c r="R135" s="8">
        <v>-68.3</v>
      </c>
      <c r="S135" s="8">
        <v>-72</v>
      </c>
      <c r="T135" s="8">
        <v>-92.3</v>
      </c>
      <c r="U135" s="8">
        <v>-102</v>
      </c>
      <c r="V135" s="8">
        <v>-80.2</v>
      </c>
      <c r="W135" s="8">
        <v>-62.1</v>
      </c>
      <c r="X135" s="8">
        <v>-77.09999999999999</v>
      </c>
      <c r="Y135" s="8">
        <v>-82.3</v>
      </c>
      <c r="Z135" s="8">
        <v>-79.90000000000001</v>
      </c>
      <c r="AA135" s="8">
        <v>-85.2</v>
      </c>
      <c r="AB135" s="8">
        <v>-107.6</v>
      </c>
      <c r="AC135" s="8">
        <v>28.1</v>
      </c>
      <c r="AD135" s="8">
        <v>-44.7</v>
      </c>
      <c r="AE135" s="8">
        <v>-87.40000000000001</v>
      </c>
      <c r="AF135" s="8">
        <v>-81.7</v>
      </c>
      <c r="AG135" s="8">
        <v>-52</v>
      </c>
      <c r="AH135" s="8">
        <v>-50.4</v>
      </c>
      <c r="AI135" s="8">
        <v>-31</v>
      </c>
      <c r="AJ135" s="8">
        <v>12.5</v>
      </c>
      <c r="AK135" s="8">
        <v>-44.5</v>
      </c>
      <c r="AL135" s="8">
        <v>19.4</v>
      </c>
      <c r="AM135" s="8">
        <v>-2.9</v>
      </c>
      <c r="AN135" s="8">
        <v>-46.8</v>
      </c>
      <c r="AO135" s="8">
        <v>-40.3</v>
      </c>
      <c r="AP135" s="8">
        <v>-49.4</v>
      </c>
      <c r="AQ135" s="8">
        <v>-87.59999999999999</v>
      </c>
      <c r="AR135" s="8">
        <v>-97.7</v>
      </c>
      <c r="AS135" s="8">
        <v>-107.5</v>
      </c>
      <c r="AT135" s="8">
        <v>-114.3</v>
      </c>
      <c r="AU135" s="8">
        <v>-109.5</v>
      </c>
      <c r="AV135" s="8">
        <v>-119.2</v>
      </c>
      <c r="AW135" s="8">
        <v>-125.5</v>
      </c>
      <c r="AX135" s="8">
        <v>-132.7</v>
      </c>
      <c r="AY135" s="8">
        <v>-139.7</v>
      </c>
      <c r="AZ135" s="8">
        <v>-144</v>
      </c>
      <c r="BA135" s="8">
        <v>-93.09999999999999</v>
      </c>
      <c r="BB135" s="8">
        <v>-98.2</v>
      </c>
      <c r="BC135" s="8">
        <v>-100.7</v>
      </c>
      <c r="BD135" s="8">
        <v>-110.2</v>
      </c>
      <c r="BE135" s="8">
        <v>-115.3</v>
      </c>
      <c r="BF135" s="8">
        <v>-113.9</v>
      </c>
      <c r="BG135" s="8">
        <v>-119.4</v>
      </c>
      <c r="BH135" s="8">
        <v>-119.4</v>
      </c>
      <c r="BI135" s="8">
        <v>-103.7</v>
      </c>
      <c r="BJ135" s="8">
        <v>-117.5</v>
      </c>
      <c r="BK135" s="8">
        <v>-103.7</v>
      </c>
      <c r="BL135" s="8">
        <v>-67.09999999999999</v>
      </c>
      <c r="BM135" s="8">
        <v>-47</v>
      </c>
      <c r="BN135" s="8">
        <v>-58.7</v>
      </c>
      <c r="BO135" s="8">
        <v>-78.40000000000001</v>
      </c>
      <c r="BP135" s="8">
        <v>-63.3</v>
      </c>
      <c r="BQ135" s="8">
        <v>-54.2</v>
      </c>
      <c r="BR135" s="8">
        <v>-75.59999999999999</v>
      </c>
      <c r="BS135" s="8">
        <v>-114</v>
      </c>
      <c r="BT135" s="8">
        <v>-119.6</v>
      </c>
      <c r="BU135" s="8">
        <v>-133.5</v>
      </c>
      <c r="BV135" s="8">
        <v>-64.7</v>
      </c>
      <c r="BW135" s="8">
        <v>-23.6</v>
      </c>
      <c r="BX135" s="8">
        <v>-129.3</v>
      </c>
      <c r="BY135" s="8">
        <v>-94.8</v>
      </c>
      <c r="BZ135" s="8">
        <v>-26.8</v>
      </c>
      <c r="CA135" s="8">
        <v>-115.2</v>
      </c>
      <c r="CB135" s="8">
        <v>-115.5</v>
      </c>
      <c r="CC135" s="8">
        <v>-93.8</v>
      </c>
      <c r="CD135" s="8">
        <v>-126.9</v>
      </c>
      <c r="CE135" s="8">
        <v>-83.90000000000001</v>
      </c>
      <c r="CF135" s="8">
        <v>-69.90000000000001</v>
      </c>
      <c r="CG135" s="8">
        <v>-76.5</v>
      </c>
      <c r="CH135" s="8">
        <v>1.3</v>
      </c>
      <c r="CI135" s="8">
        <v>49.8</v>
      </c>
      <c r="CJ135" s="8">
        <v>73.8</v>
      </c>
      <c r="CK135" s="8">
        <v>16.5</v>
      </c>
      <c r="CL135" s="8">
        <v>-35.5</v>
      </c>
      <c r="CM135" s="8">
        <v>-57.5</v>
      </c>
      <c r="CN135" s="8">
        <v>-55</v>
      </c>
      <c r="CO135" s="8">
        <v>-22.7</v>
      </c>
      <c r="CP135" s="8">
        <v>-59.5</v>
      </c>
      <c r="CQ135" s="8">
        <v>-90.90000000000001</v>
      </c>
      <c r="CR135" s="8">
        <v>-116.7</v>
      </c>
      <c r="CS135" s="8">
        <v>-124.2</v>
      </c>
      <c r="CT135" s="8">
        <v>-96.7</v>
      </c>
      <c r="CU135" s="8">
        <v>-109</v>
      </c>
      <c r="CV135" s="8">
        <v>-42.3</v>
      </c>
      <c r="CW135" s="8">
        <v>-102.9</v>
      </c>
      <c r="CX135" s="8">
        <v>-136.6</v>
      </c>
      <c r="CY135" s="8">
        <v>-66.2</v>
      </c>
      <c r="CZ135" s="8">
        <v>-42.8</v>
      </c>
      <c r="DA135" s="8">
        <v>-64.2</v>
      </c>
      <c r="DB135" s="8">
        <v>-107.9</v>
      </c>
      <c r="DC135" s="8">
        <v>-164</v>
      </c>
      <c r="DD135" s="8">
        <v>-54.2</v>
      </c>
      <c r="DE135" s="8">
        <v>-61.5</v>
      </c>
      <c r="DF135" s="8">
        <v>-63.4</v>
      </c>
      <c r="DG135" s="8">
        <v>-59.8</v>
      </c>
      <c r="DH135" s="8">
        <v>-55</v>
      </c>
      <c r="DI135" s="8">
        <v>-70</v>
      </c>
      <c r="DJ135" s="8">
        <v>-68.7</v>
      </c>
      <c r="DK135" s="8">
        <v>-92.2</v>
      </c>
      <c r="DL135" s="8">
        <v>-89.7</v>
      </c>
      <c r="DM135" s="8">
        <v>-122.8</v>
      </c>
      <c r="DN135" s="8">
        <v>-98.40000000000001</v>
      </c>
      <c r="DO135" s="8">
        <v>-117.1</v>
      </c>
      <c r="DP135" s="8">
        <v>-98.7</v>
      </c>
      <c r="DQ135" s="8">
        <v>-126.1</v>
      </c>
      <c r="DR135" s="8">
        <v>-93.40000000000001</v>
      </c>
      <c r="DS135" s="8">
        <v>-115.1</v>
      </c>
      <c r="DT135" s="8">
        <v>-106.5</v>
      </c>
      <c r="DU135" s="8">
        <v>-99.7</v>
      </c>
      <c r="DV135" s="8">
        <v>-69.2</v>
      </c>
      <c r="DW135" s="8">
        <v>-53.8</v>
      </c>
      <c r="DX135" s="8">
        <v>-1.1</v>
      </c>
      <c r="DY135" s="8">
        <v>-134.7</v>
      </c>
      <c r="DZ135" s="8">
        <v>-160.8</v>
      </c>
      <c r="EA135" s="8">
        <v>-186.2</v>
      </c>
      <c r="EB135" s="8">
        <v>-179.8</v>
      </c>
      <c r="EC135" s="8">
        <v>-209.1</v>
      </c>
      <c r="ED135" s="8">
        <v>-123.5</v>
      </c>
      <c r="EE135" s="8">
        <v>-23.4</v>
      </c>
      <c r="EF135" s="8">
        <v>47.5</v>
      </c>
      <c r="EG135" s="8">
        <v>26.4</v>
      </c>
      <c r="EH135" s="8">
        <v>84.09999999999999</v>
      </c>
      <c r="EI135" s="8">
        <v>59</v>
      </c>
      <c r="EJ135" s="8">
        <v>99.2</v>
      </c>
      <c r="EK135" s="8">
        <v>3.9</v>
      </c>
      <c r="EL135" s="8">
        <v>-78.8</v>
      </c>
      <c r="EM135" s="8">
        <v>-101.6</v>
      </c>
      <c r="EN135" s="8">
        <v>-96.7</v>
      </c>
      <c r="EO135" s="8">
        <v>-154.4</v>
      </c>
      <c r="EP135" s="8">
        <v>-101.1</v>
      </c>
      <c r="EQ135" s="8">
        <v>-134</v>
      </c>
      <c r="ER135" s="8">
        <v>-95.5</v>
      </c>
      <c r="ES135" s="8">
        <v>-145.1</v>
      </c>
      <c r="ET135" s="8">
        <v>-233.1</v>
      </c>
    </row>
    <row r="136" spans="1:151">
      <c r="A136" s="7">
        <v>36.525</v>
      </c>
      <c r="L136" s="8">
        <v>-46.9</v>
      </c>
      <c r="M136" s="8">
        <v>-75.90000000000001</v>
      </c>
      <c r="N136" s="8">
        <v>-114.8</v>
      </c>
      <c r="O136" s="8">
        <v>-134.2</v>
      </c>
      <c r="P136" s="8">
        <v>-65.2</v>
      </c>
      <c r="Q136" s="8">
        <v>2.1</v>
      </c>
      <c r="R136" s="8">
        <v>55</v>
      </c>
      <c r="S136" s="8">
        <v>-53.2</v>
      </c>
      <c r="T136" s="8">
        <v>-75.7</v>
      </c>
      <c r="U136" s="8">
        <v>-83</v>
      </c>
      <c r="V136" s="8">
        <v>-110.6</v>
      </c>
      <c r="W136" s="8">
        <v>-62.6</v>
      </c>
      <c r="X136" s="8">
        <v>-63.7</v>
      </c>
      <c r="Y136" s="8">
        <v>-75.90000000000001</v>
      </c>
      <c r="Z136" s="8">
        <v>-79.09999999999999</v>
      </c>
      <c r="AA136" s="8">
        <v>-96.90000000000001</v>
      </c>
      <c r="AB136" s="8">
        <v>55.8</v>
      </c>
      <c r="AC136" s="8">
        <v>-29.2</v>
      </c>
      <c r="AD136" s="8">
        <v>-46</v>
      </c>
      <c r="AE136" s="8">
        <v>-96.40000000000001</v>
      </c>
      <c r="AF136" s="8">
        <v>-125.9</v>
      </c>
      <c r="AG136" s="8">
        <v>-119.7</v>
      </c>
      <c r="AH136" s="8">
        <v>-124.6</v>
      </c>
      <c r="AI136" s="8">
        <v>-74.90000000000001</v>
      </c>
      <c r="AJ136" s="8">
        <v>-28.1</v>
      </c>
      <c r="AK136" s="8">
        <v>-128.4</v>
      </c>
      <c r="AL136" s="8">
        <v>-53.8</v>
      </c>
      <c r="AM136" s="8">
        <v>-20.2</v>
      </c>
      <c r="AN136" s="8">
        <v>6.3</v>
      </c>
      <c r="AO136" s="8">
        <v>-9.199999999999999</v>
      </c>
      <c r="AP136" s="8">
        <v>-29.6</v>
      </c>
      <c r="AQ136" s="8">
        <v>-52.7</v>
      </c>
      <c r="AR136" s="8">
        <v>-77.8</v>
      </c>
      <c r="AS136" s="8">
        <v>-82.90000000000001</v>
      </c>
      <c r="AT136" s="8">
        <v>-99.3</v>
      </c>
      <c r="AU136" s="8">
        <v>-90.2</v>
      </c>
      <c r="AV136" s="8">
        <v>-92.8</v>
      </c>
      <c r="AW136" s="8">
        <v>-92.40000000000001</v>
      </c>
      <c r="AX136" s="8">
        <v>-91.59999999999999</v>
      </c>
      <c r="AY136" s="8">
        <v>-89.59999999999999</v>
      </c>
      <c r="AZ136" s="8">
        <v>-99.90000000000001</v>
      </c>
      <c r="BA136" s="8">
        <v>-94.59999999999999</v>
      </c>
      <c r="BB136" s="8">
        <v>-87.09999999999999</v>
      </c>
      <c r="BC136" s="8">
        <v>-85.2</v>
      </c>
      <c r="BD136" s="8">
        <v>-85.40000000000001</v>
      </c>
      <c r="BE136" s="8">
        <v>-79.40000000000001</v>
      </c>
      <c r="BF136" s="8">
        <v>-89</v>
      </c>
      <c r="BG136" s="8">
        <v>-94.8</v>
      </c>
      <c r="BH136" s="8">
        <v>-105.6</v>
      </c>
      <c r="BI136" s="8">
        <v>-89.59999999999999</v>
      </c>
      <c r="BJ136" s="8">
        <v>-74</v>
      </c>
      <c r="BK136" s="8">
        <v>-78</v>
      </c>
      <c r="BL136" s="8">
        <v>-39.5</v>
      </c>
      <c r="BM136" s="8">
        <v>10.9</v>
      </c>
      <c r="BN136" s="8">
        <v>-46</v>
      </c>
      <c r="BO136" s="8">
        <v>-117.1</v>
      </c>
      <c r="BP136" s="8">
        <v>-107.9</v>
      </c>
      <c r="BQ136" s="8">
        <v>-98.3</v>
      </c>
      <c r="BR136" s="8">
        <v>-108.2</v>
      </c>
      <c r="BS136" s="8">
        <v>-146.1</v>
      </c>
      <c r="BT136" s="8">
        <v>-165.2</v>
      </c>
      <c r="BU136" s="8">
        <v>-82.90000000000001</v>
      </c>
      <c r="BV136" s="8">
        <v>-107.9</v>
      </c>
      <c r="BW136" s="8">
        <v>-84</v>
      </c>
      <c r="BX136" s="8">
        <v>-72.59999999999999</v>
      </c>
      <c r="BY136" s="8">
        <v>-154.2</v>
      </c>
      <c r="BZ136" s="8">
        <v>18.4</v>
      </c>
      <c r="CA136" s="8">
        <v>0.4</v>
      </c>
      <c r="CB136" s="8">
        <v>-6.1</v>
      </c>
      <c r="CC136" s="8">
        <v>-67.8</v>
      </c>
      <c r="CD136" s="8">
        <v>-70.5</v>
      </c>
      <c r="CE136" s="8">
        <v>-55</v>
      </c>
      <c r="CF136" s="8">
        <v>-66.3</v>
      </c>
      <c r="CG136" s="8">
        <v>-79.3</v>
      </c>
      <c r="CH136" s="8">
        <v>-36.4</v>
      </c>
      <c r="CI136" s="8">
        <v>-15.1</v>
      </c>
      <c r="CJ136" s="8">
        <v>-4.8</v>
      </c>
      <c r="CK136" s="8">
        <v>-4.5</v>
      </c>
      <c r="CL136" s="8">
        <v>-12.1</v>
      </c>
      <c r="CM136" s="8">
        <v>-39.1</v>
      </c>
      <c r="CN136" s="8">
        <v>-45.7</v>
      </c>
      <c r="CO136" s="8">
        <v>-49.8</v>
      </c>
      <c r="CP136" s="8">
        <v>-55.1</v>
      </c>
      <c r="CQ136" s="8">
        <v>-75.7</v>
      </c>
      <c r="CR136" s="8">
        <v>-98.3</v>
      </c>
      <c r="CS136" s="8">
        <v>-88.5</v>
      </c>
      <c r="CT136" s="8">
        <v>-84.3</v>
      </c>
      <c r="CU136" s="8">
        <v>-99.2</v>
      </c>
      <c r="CV136" s="8">
        <v>-73</v>
      </c>
      <c r="CW136" s="8">
        <v>-87.7</v>
      </c>
      <c r="CX136" s="8">
        <v>-20.2</v>
      </c>
      <c r="CY136" s="8">
        <v>-19.7</v>
      </c>
      <c r="CZ136" s="8">
        <v>-22.5</v>
      </c>
      <c r="DA136" s="8">
        <v>-52.1</v>
      </c>
      <c r="DB136" s="8">
        <v>-66</v>
      </c>
      <c r="DC136" s="8">
        <v>-41.6</v>
      </c>
      <c r="DD136" s="8">
        <v>24.2</v>
      </c>
      <c r="DE136" s="8">
        <v>-23.6</v>
      </c>
      <c r="DF136" s="8">
        <v>-50</v>
      </c>
      <c r="DG136" s="8">
        <v>-124.3</v>
      </c>
      <c r="DH136" s="8">
        <v>-16.2</v>
      </c>
      <c r="DI136" s="8">
        <v>-87.3</v>
      </c>
      <c r="DJ136" s="8">
        <v>-99.59999999999999</v>
      </c>
      <c r="DK136" s="8">
        <v>-103.5</v>
      </c>
      <c r="DL136" s="8">
        <v>-116.3</v>
      </c>
      <c r="DM136" s="8">
        <v>-119.6</v>
      </c>
      <c r="DN136" s="8">
        <v>-113.8</v>
      </c>
      <c r="DO136" s="8">
        <v>-92.8</v>
      </c>
      <c r="DP136" s="8">
        <v>-33.7</v>
      </c>
      <c r="DQ136" s="8">
        <v>50.2</v>
      </c>
      <c r="DR136" s="8">
        <v>-7.2</v>
      </c>
      <c r="DS136" s="8">
        <v>-93.90000000000001</v>
      </c>
      <c r="DT136" s="8">
        <v>-84.90000000000001</v>
      </c>
      <c r="DU136" s="8">
        <v>-24.3</v>
      </c>
      <c r="DV136" s="8">
        <v>11.4</v>
      </c>
      <c r="DW136" s="8">
        <v>-7.4</v>
      </c>
      <c r="DX136" s="8">
        <v>-78.5</v>
      </c>
      <c r="DY136" s="8">
        <v>-129.9</v>
      </c>
      <c r="DZ136" s="8">
        <v>-154</v>
      </c>
      <c r="EA136" s="8">
        <v>-156.1</v>
      </c>
      <c r="EB136" s="8">
        <v>-209.7</v>
      </c>
      <c r="EC136" s="8">
        <v>-208.8</v>
      </c>
      <c r="ED136" s="8">
        <v>-134.4</v>
      </c>
      <c r="EE136" s="8">
        <v>-120.6</v>
      </c>
      <c r="EF136" s="8">
        <v>-39.4</v>
      </c>
      <c r="EG136" s="8">
        <v>-45.5</v>
      </c>
      <c r="EH136" s="8">
        <v>1.2</v>
      </c>
      <c r="EI136" s="8">
        <v>-25.6</v>
      </c>
      <c r="EJ136" s="8">
        <v>59.8</v>
      </c>
      <c r="EK136" s="8">
        <v>-111.5</v>
      </c>
      <c r="EL136" s="8">
        <v>-136</v>
      </c>
      <c r="EM136" s="8">
        <v>-101.9</v>
      </c>
      <c r="EN136" s="8">
        <v>-126.2</v>
      </c>
      <c r="EO136" s="8">
        <v>-108.8</v>
      </c>
      <c r="EP136" s="8">
        <v>-118.6</v>
      </c>
      <c r="EQ136" s="8">
        <v>-178.9</v>
      </c>
      <c r="ER136" s="8">
        <v>-152.1</v>
      </c>
      <c r="ES136" s="8">
        <v>-223.2</v>
      </c>
      <c r="ET136" s="8">
        <v>-218.5</v>
      </c>
    </row>
    <row r="137" spans="1:151">
      <c r="A137" s="7">
        <v>36.55</v>
      </c>
      <c r="L137" s="8">
        <v>-95.40000000000001</v>
      </c>
      <c r="M137" s="8">
        <v>-96.7</v>
      </c>
      <c r="N137" s="8">
        <v>-103.1</v>
      </c>
      <c r="O137" s="8">
        <v>-101.7</v>
      </c>
      <c r="P137" s="8">
        <v>-98.40000000000001</v>
      </c>
      <c r="Q137" s="8">
        <v>-77.40000000000001</v>
      </c>
      <c r="R137" s="8">
        <v>-1.2</v>
      </c>
      <c r="S137" s="8">
        <v>-4.9</v>
      </c>
      <c r="T137" s="8">
        <v>-19.1</v>
      </c>
      <c r="U137" s="8">
        <v>-37.5</v>
      </c>
      <c r="V137" s="8">
        <v>-145</v>
      </c>
      <c r="W137" s="8">
        <v>-44.5</v>
      </c>
      <c r="X137" s="8">
        <v>-62.2</v>
      </c>
      <c r="Y137" s="8">
        <v>-73.5</v>
      </c>
      <c r="Z137" s="8">
        <v>-88</v>
      </c>
      <c r="AA137" s="8">
        <v>-139.4</v>
      </c>
      <c r="AB137" s="8">
        <v>74.2</v>
      </c>
      <c r="AC137" s="8">
        <v>-82.5</v>
      </c>
      <c r="AD137" s="8">
        <v>-72.8</v>
      </c>
      <c r="AE137" s="8">
        <v>-95.59999999999999</v>
      </c>
      <c r="AF137" s="8">
        <v>-98.5</v>
      </c>
      <c r="AG137" s="8">
        <v>-111.4</v>
      </c>
      <c r="AH137" s="8">
        <v>-99</v>
      </c>
      <c r="AI137" s="8">
        <v>-101.8</v>
      </c>
      <c r="AJ137" s="8">
        <v>-62.1</v>
      </c>
      <c r="AK137" s="8">
        <v>-47.5</v>
      </c>
      <c r="AL137" s="8">
        <v>-80.40000000000001</v>
      </c>
      <c r="AM137" s="8">
        <v>-87.8</v>
      </c>
      <c r="AN137" s="8">
        <v>-4.1</v>
      </c>
      <c r="AO137" s="8">
        <v>24.9</v>
      </c>
      <c r="AP137" s="8">
        <v>29.2</v>
      </c>
      <c r="AQ137" s="8">
        <v>-25.9</v>
      </c>
      <c r="AR137" s="8">
        <v>-77.2</v>
      </c>
      <c r="AS137" s="8">
        <v>-80.40000000000001</v>
      </c>
      <c r="AT137" s="8">
        <v>-91</v>
      </c>
      <c r="AU137" s="8">
        <v>-82</v>
      </c>
      <c r="AV137" s="8">
        <v>-78.09999999999999</v>
      </c>
      <c r="AW137" s="8">
        <v>-73.59999999999999</v>
      </c>
      <c r="AX137" s="8">
        <v>-65.90000000000001</v>
      </c>
      <c r="AY137" s="8">
        <v>-62.2</v>
      </c>
      <c r="AZ137" s="8">
        <v>-58.5</v>
      </c>
      <c r="BA137" s="8">
        <v>-100.6</v>
      </c>
      <c r="BB137" s="8">
        <v>-92.40000000000001</v>
      </c>
      <c r="BC137" s="8">
        <v>-88.59999999999999</v>
      </c>
      <c r="BD137" s="8">
        <v>-90.3</v>
      </c>
      <c r="BE137" s="8">
        <v>-92.09999999999999</v>
      </c>
      <c r="BF137" s="8">
        <v>-92.09999999999999</v>
      </c>
      <c r="BG137" s="8">
        <v>-98.5</v>
      </c>
      <c r="BH137" s="8">
        <v>-103.1</v>
      </c>
      <c r="BI137" s="8">
        <v>-105.5</v>
      </c>
      <c r="BJ137" s="8">
        <v>-134.7</v>
      </c>
      <c r="BK137" s="8">
        <v>-113</v>
      </c>
      <c r="BL137" s="8">
        <v>-126.4</v>
      </c>
      <c r="BM137" s="8">
        <v>-84.2</v>
      </c>
      <c r="BN137" s="8">
        <v>-41.7</v>
      </c>
      <c r="BO137" s="8">
        <v>-76.3</v>
      </c>
      <c r="BP137" s="8">
        <v>-104.1</v>
      </c>
      <c r="BQ137" s="8">
        <v>-95</v>
      </c>
      <c r="BR137" s="8">
        <v>-113.7</v>
      </c>
      <c r="BS137" s="8">
        <v>-115.9</v>
      </c>
      <c r="BT137" s="8">
        <v>-35.9</v>
      </c>
      <c r="BU137" s="8">
        <v>-65.40000000000001</v>
      </c>
      <c r="BV137" s="8">
        <v>-62.8</v>
      </c>
      <c r="BW137" s="8">
        <v>-98.90000000000001</v>
      </c>
      <c r="BX137" s="8">
        <v>-92.5</v>
      </c>
      <c r="BY137" s="8">
        <v>-141.7</v>
      </c>
      <c r="BZ137" s="8">
        <v>-173.3</v>
      </c>
      <c r="CA137" s="8">
        <v>211.3</v>
      </c>
      <c r="CB137" s="8">
        <v>313.2</v>
      </c>
      <c r="CC137" s="8">
        <v>61.7</v>
      </c>
      <c r="CD137" s="8">
        <v>54.7</v>
      </c>
      <c r="CE137" s="8">
        <v>-64.8</v>
      </c>
      <c r="CF137" s="8">
        <v>-48</v>
      </c>
      <c r="CG137" s="8">
        <v>-41.7</v>
      </c>
      <c r="CH137" s="8">
        <v>-35.9</v>
      </c>
      <c r="CI137" s="8">
        <v>-0.7</v>
      </c>
      <c r="CJ137" s="8">
        <v>-29.9</v>
      </c>
      <c r="CK137" s="8">
        <v>-55.2</v>
      </c>
      <c r="CL137" s="8">
        <v>42.8</v>
      </c>
      <c r="CM137" s="8">
        <v>-19</v>
      </c>
      <c r="CN137" s="8">
        <v>-37</v>
      </c>
      <c r="CO137" s="8">
        <v>-42.3</v>
      </c>
      <c r="CP137" s="8">
        <v>-78.7</v>
      </c>
      <c r="CQ137" s="8">
        <v>-88</v>
      </c>
      <c r="CR137" s="8">
        <v>-70.90000000000001</v>
      </c>
      <c r="CS137" s="8">
        <v>-65.2</v>
      </c>
      <c r="CT137" s="8">
        <v>-60.9</v>
      </c>
      <c r="CU137" s="8">
        <v>-66.90000000000001</v>
      </c>
      <c r="CV137" s="8">
        <v>-70.09999999999999</v>
      </c>
      <c r="CW137" s="8">
        <v>-60.4</v>
      </c>
      <c r="CX137" s="8">
        <v>-63.7</v>
      </c>
      <c r="CY137" s="8">
        <v>-12.9</v>
      </c>
      <c r="CZ137" s="8">
        <v>29.8</v>
      </c>
      <c r="DA137" s="8">
        <v>-11.1</v>
      </c>
      <c r="DB137" s="8">
        <v>-23.3</v>
      </c>
      <c r="DC137" s="8">
        <v>-31.4</v>
      </c>
      <c r="DD137" s="8">
        <v>-56.4</v>
      </c>
      <c r="DE137" s="8">
        <v>-55.5</v>
      </c>
      <c r="DF137" s="8">
        <v>-43.6</v>
      </c>
      <c r="DG137" s="8">
        <v>-29.3</v>
      </c>
      <c r="DH137" s="8">
        <v>-63.8</v>
      </c>
      <c r="DI137" s="8">
        <v>-49.1</v>
      </c>
      <c r="DJ137" s="8">
        <v>-79.09999999999999</v>
      </c>
      <c r="DK137" s="8">
        <v>-73.7</v>
      </c>
      <c r="DL137" s="8">
        <v>-98.7</v>
      </c>
      <c r="DM137" s="8">
        <v>-86</v>
      </c>
      <c r="DN137" s="8">
        <v>-20.5</v>
      </c>
      <c r="DO137" s="8">
        <v>61.5</v>
      </c>
      <c r="DP137" s="8">
        <v>73.3</v>
      </c>
      <c r="DQ137" s="8">
        <v>23.7</v>
      </c>
      <c r="DR137" s="8">
        <v>-2.2</v>
      </c>
      <c r="DS137" s="8">
        <v>3.6</v>
      </c>
      <c r="DT137" s="8">
        <v>68.7</v>
      </c>
      <c r="DU137" s="8">
        <v>64.09999999999999</v>
      </c>
      <c r="DV137" s="8">
        <v>21.8</v>
      </c>
      <c r="DW137" s="8">
        <v>1.5</v>
      </c>
      <c r="DX137" s="8">
        <v>87.09999999999999</v>
      </c>
      <c r="DY137" s="8">
        <v>-122.8</v>
      </c>
      <c r="DZ137" s="8">
        <v>-154.2</v>
      </c>
      <c r="EA137" s="8">
        <v>-166.9</v>
      </c>
      <c r="EB137" s="8">
        <v>-246.5</v>
      </c>
      <c r="EC137" s="8">
        <v>-207.6</v>
      </c>
      <c r="ED137" s="8">
        <v>-122.1</v>
      </c>
      <c r="EE137" s="8">
        <v>-170.9</v>
      </c>
      <c r="EF137" s="8">
        <v>-113.3</v>
      </c>
      <c r="EG137" s="8">
        <v>-76.2</v>
      </c>
      <c r="EH137" s="8">
        <v>-67</v>
      </c>
      <c r="EI137" s="8">
        <v>-74.40000000000001</v>
      </c>
      <c r="EJ137" s="8">
        <v>-69.5</v>
      </c>
      <c r="EK137" s="8">
        <v>-116.4</v>
      </c>
      <c r="EL137" s="8">
        <v>-163.5</v>
      </c>
      <c r="EM137" s="8">
        <v>-165.3</v>
      </c>
      <c r="EN137" s="8">
        <v>-187</v>
      </c>
      <c r="EO137" s="8">
        <v>-167.4</v>
      </c>
      <c r="EP137" s="8">
        <v>-132.8</v>
      </c>
      <c r="EQ137" s="8">
        <v>-79.8</v>
      </c>
      <c r="ER137" s="8">
        <v>-158</v>
      </c>
      <c r="ES137" s="8">
        <v>-175</v>
      </c>
      <c r="ET137" s="8">
        <v>-203.6</v>
      </c>
    </row>
    <row r="138" spans="1:151">
      <c r="A138" s="7">
        <v>36.575</v>
      </c>
      <c r="L138" s="8">
        <v>-97.90000000000001</v>
      </c>
      <c r="M138" s="8">
        <v>-84.90000000000001</v>
      </c>
      <c r="N138" s="8">
        <v>-82.7</v>
      </c>
      <c r="O138" s="8">
        <v>-79.09999999999999</v>
      </c>
      <c r="P138" s="8">
        <v>-102.2</v>
      </c>
      <c r="Q138" s="8">
        <v>-76.7</v>
      </c>
      <c r="R138" s="8">
        <v>-12.8</v>
      </c>
      <c r="S138" s="8">
        <v>-52.2</v>
      </c>
      <c r="T138" s="8">
        <v>-38.7</v>
      </c>
      <c r="U138" s="8">
        <v>4.7</v>
      </c>
      <c r="V138" s="8">
        <v>-168.9</v>
      </c>
      <c r="W138" s="8">
        <v>-22.2</v>
      </c>
      <c r="X138" s="8">
        <v>-55.9</v>
      </c>
      <c r="Y138" s="8">
        <v>-66.3</v>
      </c>
      <c r="Z138" s="8">
        <v>-89.8</v>
      </c>
      <c r="AA138" s="8">
        <v>-105.6</v>
      </c>
      <c r="AB138" s="8">
        <v>191.5</v>
      </c>
      <c r="AC138" s="8">
        <v>-61.9</v>
      </c>
      <c r="AD138" s="8">
        <v>48.2</v>
      </c>
      <c r="AE138" s="8">
        <v>-64.5</v>
      </c>
      <c r="AF138" s="8">
        <v>-66.2</v>
      </c>
      <c r="AG138" s="8">
        <v>-84</v>
      </c>
      <c r="AH138" s="8">
        <v>-96.40000000000001</v>
      </c>
      <c r="AI138" s="8">
        <v>-68.59999999999999</v>
      </c>
      <c r="AJ138" s="8">
        <v>5.9</v>
      </c>
      <c r="AK138" s="8">
        <v>-46.6</v>
      </c>
      <c r="AL138" s="8">
        <v>-34.9</v>
      </c>
      <c r="AM138" s="8">
        <v>-76.09999999999999</v>
      </c>
      <c r="AN138" s="8">
        <v>-34</v>
      </c>
      <c r="AO138" s="8">
        <v>17.8</v>
      </c>
      <c r="AP138" s="8">
        <v>35.2</v>
      </c>
      <c r="AQ138" s="8">
        <v>82.40000000000001</v>
      </c>
      <c r="AR138" s="8">
        <v>-55.8</v>
      </c>
      <c r="AS138" s="8">
        <v>-80.90000000000001</v>
      </c>
      <c r="AT138" s="8">
        <v>-83.59999999999999</v>
      </c>
      <c r="AU138" s="8">
        <v>-94.5</v>
      </c>
      <c r="AV138" s="8">
        <v>-79.90000000000001</v>
      </c>
      <c r="AW138" s="8">
        <v>-73</v>
      </c>
      <c r="AX138" s="8">
        <v>-62.3</v>
      </c>
      <c r="AY138" s="8">
        <v>-75</v>
      </c>
      <c r="AZ138" s="8">
        <v>-65</v>
      </c>
      <c r="BA138" s="8">
        <v>-86.90000000000001</v>
      </c>
      <c r="BB138" s="8">
        <v>-98.40000000000001</v>
      </c>
      <c r="BC138" s="8">
        <v>-99.3</v>
      </c>
      <c r="BD138" s="8">
        <v>-105.2</v>
      </c>
      <c r="BE138" s="8">
        <v>-108</v>
      </c>
      <c r="BF138" s="8">
        <v>-106.8</v>
      </c>
      <c r="BG138" s="8">
        <v>-106</v>
      </c>
      <c r="BH138" s="8">
        <v>-108</v>
      </c>
      <c r="BI138" s="8">
        <v>-108.1</v>
      </c>
      <c r="BJ138" s="8">
        <v>-48.4</v>
      </c>
      <c r="BK138" s="8">
        <v>-125.5</v>
      </c>
      <c r="BL138" s="8">
        <v>-106.1</v>
      </c>
      <c r="BM138" s="8">
        <v>-95.40000000000001</v>
      </c>
      <c r="BN138" s="8">
        <v>-124.9</v>
      </c>
      <c r="BO138" s="8">
        <v>-93.40000000000001</v>
      </c>
      <c r="BP138" s="8">
        <v>-71.2</v>
      </c>
      <c r="BQ138" s="8">
        <v>-117.5</v>
      </c>
      <c r="BR138" s="8">
        <v>-120.2</v>
      </c>
      <c r="BS138" s="8">
        <v>-102.1</v>
      </c>
      <c r="BT138" s="8">
        <v>-83.40000000000001</v>
      </c>
      <c r="BU138" s="8">
        <v>-63.2</v>
      </c>
      <c r="BV138" s="8">
        <v>-57.2</v>
      </c>
      <c r="BW138" s="8">
        <v>-62.8</v>
      </c>
      <c r="BX138" s="8">
        <v>-91.2</v>
      </c>
      <c r="BY138" s="8">
        <v>-115.4</v>
      </c>
      <c r="BZ138" s="8">
        <v>-139.4</v>
      </c>
      <c r="CA138" s="8">
        <v>-200.6</v>
      </c>
      <c r="CB138" s="8">
        <v>-149.7</v>
      </c>
      <c r="CC138" s="8">
        <v>151.1</v>
      </c>
      <c r="CD138" s="8">
        <v>217.2</v>
      </c>
      <c r="CE138" s="8">
        <v>1.3</v>
      </c>
      <c r="CF138" s="8">
        <v>-1.4</v>
      </c>
      <c r="CG138" s="8">
        <v>-40.3</v>
      </c>
      <c r="CH138" s="8">
        <v>-42.7</v>
      </c>
      <c r="CI138" s="8">
        <v>-41.5</v>
      </c>
      <c r="CJ138" s="8">
        <v>-32.7</v>
      </c>
      <c r="CK138" s="8">
        <v>-49.9</v>
      </c>
      <c r="CL138" s="8">
        <v>25.5</v>
      </c>
      <c r="CM138" s="8">
        <v>-7</v>
      </c>
      <c r="CN138" s="8">
        <v>-19.8</v>
      </c>
      <c r="CO138" s="8">
        <v>-76.90000000000001</v>
      </c>
      <c r="CP138" s="8">
        <v>-80.3</v>
      </c>
      <c r="CQ138" s="8">
        <v>-77.7</v>
      </c>
      <c r="CR138" s="8">
        <v>-63</v>
      </c>
      <c r="CS138" s="8">
        <v>-32.4</v>
      </c>
      <c r="CT138" s="8">
        <v>-24.9</v>
      </c>
      <c r="CU138" s="8">
        <v>-42.4</v>
      </c>
      <c r="CV138" s="8">
        <v>-42.7</v>
      </c>
      <c r="CW138" s="8">
        <v>-48</v>
      </c>
      <c r="CX138" s="8">
        <v>-58.5</v>
      </c>
      <c r="CY138" s="8">
        <v>5.5</v>
      </c>
      <c r="CZ138" s="8">
        <v>38.1</v>
      </c>
      <c r="DA138" s="8">
        <v>21.8</v>
      </c>
      <c r="DB138" s="8">
        <v>38.2</v>
      </c>
      <c r="DC138" s="8">
        <v>16.2</v>
      </c>
      <c r="DD138" s="8">
        <v>-20.9</v>
      </c>
      <c r="DE138" s="8">
        <v>-28.7</v>
      </c>
      <c r="DF138" s="8">
        <v>-32.3</v>
      </c>
      <c r="DG138" s="8">
        <v>-15.2</v>
      </c>
      <c r="DH138" s="8">
        <v>-29.8</v>
      </c>
      <c r="DI138" s="8">
        <v>-58.3</v>
      </c>
      <c r="DJ138" s="8">
        <v>-78.09999999999999</v>
      </c>
      <c r="DK138" s="8">
        <v>-77.09999999999999</v>
      </c>
      <c r="DL138" s="8">
        <v>-76.59999999999999</v>
      </c>
      <c r="DM138" s="8">
        <v>-14.6</v>
      </c>
      <c r="DN138" s="8">
        <v>-7.4</v>
      </c>
      <c r="DO138" s="8">
        <v>-12.7</v>
      </c>
      <c r="DP138" s="8">
        <v>-10.7</v>
      </c>
      <c r="DQ138" s="8">
        <v>-47.5</v>
      </c>
      <c r="DR138" s="8">
        <v>-34.6</v>
      </c>
      <c r="DS138" s="8">
        <v>106.3</v>
      </c>
      <c r="DT138" s="8">
        <v>130.9</v>
      </c>
      <c r="DU138" s="8">
        <v>105.3</v>
      </c>
      <c r="DV138" s="8">
        <v>42.5</v>
      </c>
      <c r="DW138" s="8">
        <v>12.9</v>
      </c>
      <c r="DX138" s="8">
        <v>53.3</v>
      </c>
      <c r="DY138" s="8">
        <v>29.2</v>
      </c>
      <c r="DZ138" s="8">
        <v>-153.8</v>
      </c>
      <c r="EA138" s="8">
        <v>-181.6</v>
      </c>
      <c r="EB138" s="8">
        <v>-227.8</v>
      </c>
      <c r="EC138" s="8">
        <v>-270.6</v>
      </c>
      <c r="ED138" s="8">
        <v>-209</v>
      </c>
      <c r="EE138" s="8">
        <v>-238.1</v>
      </c>
      <c r="EF138" s="8">
        <v>-224.6</v>
      </c>
      <c r="EG138" s="8">
        <v>-134.7</v>
      </c>
      <c r="EH138" s="8">
        <v>-95.90000000000001</v>
      </c>
      <c r="EI138" s="8">
        <v>-15.7</v>
      </c>
      <c r="EJ138" s="8">
        <v>-162.6</v>
      </c>
      <c r="EK138" s="8">
        <v>-211.4</v>
      </c>
      <c r="EL138" s="8">
        <v>-222.1</v>
      </c>
      <c r="EM138" s="8">
        <v>-154.7</v>
      </c>
      <c r="EN138" s="8">
        <v>-145.2</v>
      </c>
      <c r="EO138" s="8">
        <v>-95.40000000000001</v>
      </c>
      <c r="EP138" s="8">
        <v>35.6</v>
      </c>
      <c r="EQ138" s="8">
        <v>113.5</v>
      </c>
      <c r="ER138" s="8">
        <v>4.1</v>
      </c>
    </row>
    <row r="139" spans="1:151">
      <c r="A139" s="7">
        <v>36.6</v>
      </c>
      <c r="L139" s="8">
        <v>-60.8</v>
      </c>
      <c r="M139" s="8">
        <v>-83</v>
      </c>
      <c r="N139" s="8">
        <v>-37.5</v>
      </c>
      <c r="O139" s="8">
        <v>-44.6</v>
      </c>
      <c r="P139" s="8">
        <v>-47</v>
      </c>
      <c r="Q139" s="8">
        <v>-6.4</v>
      </c>
      <c r="R139" s="8">
        <v>-37.9</v>
      </c>
      <c r="S139" s="8">
        <v>-10.6</v>
      </c>
      <c r="T139" s="8">
        <v>39.5</v>
      </c>
      <c r="U139" s="8">
        <v>-9.6</v>
      </c>
      <c r="V139" s="8">
        <v>53</v>
      </c>
      <c r="W139" s="8">
        <v>21.8</v>
      </c>
      <c r="X139" s="8">
        <v>1.7</v>
      </c>
      <c r="Y139" s="8">
        <v>-10.7</v>
      </c>
      <c r="Z139" s="8">
        <v>-63.4</v>
      </c>
      <c r="AA139" s="8">
        <v>-188.8</v>
      </c>
      <c r="AB139" s="8">
        <v>114.5</v>
      </c>
      <c r="AC139" s="8">
        <v>-94.40000000000001</v>
      </c>
      <c r="AD139" s="8">
        <v>235.9</v>
      </c>
      <c r="AE139" s="8">
        <v>276.9</v>
      </c>
      <c r="AF139" s="8">
        <v>276.2</v>
      </c>
      <c r="AG139" s="8">
        <v>48.8</v>
      </c>
      <c r="AH139" s="8">
        <v>-43.3</v>
      </c>
      <c r="AI139" s="8">
        <v>-69.8</v>
      </c>
      <c r="AJ139" s="8">
        <v>-56.4</v>
      </c>
      <c r="AK139" s="8">
        <v>5.5</v>
      </c>
      <c r="AL139" s="8">
        <v>-43</v>
      </c>
      <c r="AM139" s="8">
        <v>-5.7</v>
      </c>
      <c r="AN139" s="8">
        <v>-27.1</v>
      </c>
      <c r="AO139" s="8">
        <v>3.8</v>
      </c>
      <c r="AP139" s="8">
        <v>74.40000000000001</v>
      </c>
      <c r="AQ139" s="8">
        <v>-6.2</v>
      </c>
      <c r="AR139" s="8">
        <v>-76.40000000000001</v>
      </c>
      <c r="AS139" s="8">
        <v>-118.7</v>
      </c>
      <c r="AT139" s="8">
        <v>-124.4</v>
      </c>
      <c r="AU139" s="8">
        <v>-125.3</v>
      </c>
      <c r="AV139" s="8">
        <v>-117.2</v>
      </c>
      <c r="AW139" s="8">
        <v>-106.5</v>
      </c>
      <c r="AX139" s="8">
        <v>-91.5</v>
      </c>
      <c r="AY139" s="8">
        <v>17.2</v>
      </c>
      <c r="AZ139" s="8">
        <v>-104.3</v>
      </c>
      <c r="BA139" s="8">
        <v>-94.59999999999999</v>
      </c>
      <c r="BB139" s="8">
        <v>-96.5</v>
      </c>
      <c r="BC139" s="8">
        <v>-102.3</v>
      </c>
      <c r="BD139" s="8">
        <v>-105.2</v>
      </c>
      <c r="BE139" s="8">
        <v>-109.1</v>
      </c>
      <c r="BF139" s="8">
        <v>-115.4</v>
      </c>
      <c r="BG139" s="8">
        <v>-108</v>
      </c>
      <c r="BH139" s="8">
        <v>-111.6</v>
      </c>
      <c r="BI139" s="8">
        <v>-120.3</v>
      </c>
      <c r="BJ139" s="8">
        <v>-121.3</v>
      </c>
      <c r="BK139" s="8">
        <v>-133.2</v>
      </c>
      <c r="BL139" s="8">
        <v>-98.3</v>
      </c>
      <c r="BM139" s="8">
        <v>-96.7</v>
      </c>
      <c r="BN139" s="8">
        <v>-67.5</v>
      </c>
      <c r="BO139" s="8">
        <v>-110.8</v>
      </c>
      <c r="BP139" s="8">
        <v>-121.6</v>
      </c>
      <c r="BQ139" s="8">
        <v>-102.3</v>
      </c>
      <c r="BR139" s="8">
        <v>-98.7</v>
      </c>
      <c r="BS139" s="8">
        <v>-90.5</v>
      </c>
      <c r="BT139" s="8">
        <v>-94.2</v>
      </c>
      <c r="BU139" s="8">
        <v>-69.40000000000001</v>
      </c>
      <c r="BV139" s="8">
        <v>-62.6</v>
      </c>
      <c r="BW139" s="8">
        <v>-54.9</v>
      </c>
      <c r="BX139" s="8">
        <v>-73.8</v>
      </c>
      <c r="BY139" s="8">
        <v>-99</v>
      </c>
      <c r="BZ139" s="8">
        <v>-135</v>
      </c>
      <c r="CA139" s="8">
        <v>-108</v>
      </c>
      <c r="CB139" s="8">
        <v>-67.59999999999999</v>
      </c>
      <c r="CC139" s="8">
        <v>-309.2</v>
      </c>
      <c r="CD139" s="8">
        <v>9.6</v>
      </c>
      <c r="CE139" s="8">
        <v>-10.8</v>
      </c>
      <c r="CF139" s="8">
        <v>-22.7</v>
      </c>
      <c r="CG139" s="8">
        <v>-22</v>
      </c>
      <c r="CH139" s="8">
        <v>-26.7</v>
      </c>
      <c r="CI139" s="8">
        <v>-8.9</v>
      </c>
      <c r="CJ139" s="8">
        <v>-38.7</v>
      </c>
      <c r="CK139" s="8">
        <v>-37.8</v>
      </c>
      <c r="CL139" s="8">
        <v>-46.5</v>
      </c>
      <c r="CM139" s="8">
        <v>-7.6</v>
      </c>
      <c r="CN139" s="8">
        <v>-89.7</v>
      </c>
      <c r="CO139" s="8">
        <v>-73.09999999999999</v>
      </c>
      <c r="CP139" s="8">
        <v>-62.7</v>
      </c>
      <c r="CQ139" s="8">
        <v>-65</v>
      </c>
      <c r="CR139" s="8">
        <v>-60.3</v>
      </c>
      <c r="CS139" s="8">
        <v>-38</v>
      </c>
      <c r="CT139" s="8">
        <v>-11.8</v>
      </c>
      <c r="CU139" s="8">
        <v>-15.6</v>
      </c>
      <c r="CV139" s="8">
        <v>-47</v>
      </c>
      <c r="CW139" s="8">
        <v>-49.7</v>
      </c>
      <c r="CX139" s="8">
        <v>-60.7</v>
      </c>
      <c r="CY139" s="8">
        <v>-2.4</v>
      </c>
      <c r="CZ139" s="8">
        <v>61.1</v>
      </c>
      <c r="DA139" s="8">
        <v>-14.9</v>
      </c>
      <c r="DB139" s="8">
        <v>-6.9</v>
      </c>
      <c r="DC139" s="8">
        <v>-7.1</v>
      </c>
      <c r="DD139" s="8">
        <v>-17.8</v>
      </c>
      <c r="DE139" s="8">
        <v>-10.6</v>
      </c>
      <c r="DF139" s="8">
        <v>33.3</v>
      </c>
      <c r="DG139" s="8">
        <v>146.8</v>
      </c>
      <c r="DH139" s="8">
        <v>40.2</v>
      </c>
      <c r="DI139" s="8">
        <v>-43.1</v>
      </c>
      <c r="DJ139" s="8">
        <v>-68</v>
      </c>
      <c r="DK139" s="8">
        <v>-87.2</v>
      </c>
      <c r="DL139" s="8">
        <v>-122.1</v>
      </c>
      <c r="DM139" s="8">
        <v>-156.6</v>
      </c>
      <c r="DN139" s="8">
        <v>-188.2</v>
      </c>
      <c r="DO139" s="8">
        <v>-142.4</v>
      </c>
      <c r="DP139" s="8">
        <v>-8.699999999999999</v>
      </c>
      <c r="DQ139" s="8">
        <v>-65.8</v>
      </c>
      <c r="DR139" s="8">
        <v>60.5</v>
      </c>
      <c r="DS139" s="8">
        <v>145.2</v>
      </c>
      <c r="DT139" s="8">
        <v>202.4</v>
      </c>
      <c r="DU139" s="8">
        <v>11.7</v>
      </c>
      <c r="DV139" s="8">
        <v>122.6</v>
      </c>
      <c r="DW139" s="8">
        <v>-25.9</v>
      </c>
      <c r="DX139" s="8">
        <v>18.5</v>
      </c>
      <c r="DY139" s="8">
        <v>-158.1</v>
      </c>
      <c r="DZ139" s="8">
        <v>-202.1</v>
      </c>
      <c r="EA139" s="8">
        <v>-181.7</v>
      </c>
      <c r="EB139" s="8">
        <v>-225.6</v>
      </c>
      <c r="EC139" s="8">
        <v>-233.7</v>
      </c>
      <c r="ED139" s="8">
        <v>-165.2</v>
      </c>
      <c r="EE139" s="8">
        <v>-190</v>
      </c>
      <c r="EF139" s="8">
        <v>-164.4</v>
      </c>
      <c r="EG139" s="8">
        <v>-171.1</v>
      </c>
      <c r="EH139" s="8">
        <v>-152</v>
      </c>
      <c r="EI139" s="8">
        <v>-151.4</v>
      </c>
      <c r="EJ139" s="8">
        <v>-51.8</v>
      </c>
      <c r="EK139" s="8">
        <v>-51.3</v>
      </c>
      <c r="EL139" s="8">
        <v>-150.9</v>
      </c>
      <c r="EM139" s="8">
        <v>-124.6</v>
      </c>
      <c r="EN139" s="8">
        <v>-130.9</v>
      </c>
      <c r="EO139" s="8">
        <v>-109.2</v>
      </c>
      <c r="EP139" s="8">
        <v>80.59999999999999</v>
      </c>
      <c r="EQ139" s="8">
        <v>51.2</v>
      </c>
      <c r="ER139" s="8">
        <v>46.2</v>
      </c>
    </row>
    <row r="140" spans="1:151">
      <c r="A140" s="7">
        <v>36.625</v>
      </c>
      <c r="L140" s="8">
        <v>-59.3</v>
      </c>
      <c r="M140" s="8">
        <v>-105.4</v>
      </c>
      <c r="N140" s="8">
        <v>-103.1</v>
      </c>
      <c r="O140" s="8">
        <v>-27</v>
      </c>
      <c r="P140" s="8">
        <v>1.7</v>
      </c>
      <c r="Q140" s="8">
        <v>-43.6</v>
      </c>
      <c r="R140" s="8">
        <v>-12.6</v>
      </c>
      <c r="S140" s="8">
        <v>-31.8</v>
      </c>
      <c r="T140" s="8">
        <v>18.1</v>
      </c>
      <c r="U140" s="8">
        <v>12.9</v>
      </c>
      <c r="V140" s="8">
        <v>6.7</v>
      </c>
      <c r="W140" s="8">
        <v>192.4</v>
      </c>
      <c r="X140" s="8">
        <v>51.7</v>
      </c>
      <c r="Y140" s="8">
        <v>-8.199999999999999</v>
      </c>
      <c r="Z140" s="8">
        <v>-40.2</v>
      </c>
      <c r="AA140" s="8">
        <v>-76.90000000000001</v>
      </c>
      <c r="AB140" s="8">
        <v>-114</v>
      </c>
      <c r="AC140" s="8">
        <v>76.5</v>
      </c>
      <c r="AD140" s="8">
        <v>85.40000000000001</v>
      </c>
      <c r="AE140" s="8">
        <v>152.7</v>
      </c>
      <c r="AF140" s="8">
        <v>90.5</v>
      </c>
      <c r="AG140" s="8">
        <v>59.3</v>
      </c>
      <c r="AH140" s="8">
        <v>-84.90000000000001</v>
      </c>
      <c r="AI140" s="8">
        <v>-153.4</v>
      </c>
      <c r="AJ140" s="8">
        <v>-166.4</v>
      </c>
      <c r="AK140" s="8">
        <v>-146</v>
      </c>
      <c r="AL140" s="8">
        <v>-118.2</v>
      </c>
      <c r="AM140" s="8">
        <v>-49.7</v>
      </c>
      <c r="AN140" s="8">
        <v>-10.8</v>
      </c>
      <c r="AO140" s="8">
        <v>-77.59999999999999</v>
      </c>
      <c r="AP140" s="8">
        <v>-35.1</v>
      </c>
      <c r="AQ140" s="8">
        <v>-62.3</v>
      </c>
      <c r="AR140" s="8">
        <v>-119.2</v>
      </c>
      <c r="AS140" s="8">
        <v>-140.9</v>
      </c>
      <c r="AT140" s="8">
        <v>-143.8</v>
      </c>
      <c r="AU140" s="8">
        <v>-148.3</v>
      </c>
      <c r="AV140" s="8">
        <v>-140.4</v>
      </c>
      <c r="AW140" s="8">
        <v>-111.5</v>
      </c>
      <c r="AX140" s="8">
        <v>-78.8</v>
      </c>
      <c r="AY140" s="8">
        <v>78.40000000000001</v>
      </c>
      <c r="AZ140" s="8">
        <v>-754</v>
      </c>
      <c r="BA140" s="8">
        <v>-38.3</v>
      </c>
      <c r="BB140" s="8">
        <v>-73.5</v>
      </c>
      <c r="BC140" s="8">
        <v>-89.59999999999999</v>
      </c>
      <c r="BD140" s="8">
        <v>-101</v>
      </c>
      <c r="BE140" s="8">
        <v>-108.3</v>
      </c>
      <c r="BF140" s="8">
        <v>-115.4</v>
      </c>
      <c r="BG140" s="8">
        <v>-116</v>
      </c>
      <c r="BH140" s="8">
        <v>-125.1</v>
      </c>
      <c r="BI140" s="8">
        <v>-134.6</v>
      </c>
      <c r="BJ140" s="8">
        <v>-154.5</v>
      </c>
      <c r="BK140" s="8">
        <v>-159.7</v>
      </c>
      <c r="BL140" s="8">
        <v>-158.7</v>
      </c>
      <c r="BM140" s="8">
        <v>-140.2</v>
      </c>
      <c r="BN140" s="8">
        <v>-112.8</v>
      </c>
      <c r="BO140" s="8">
        <v>-83.09999999999999</v>
      </c>
      <c r="BP140" s="8">
        <v>-94.59999999999999</v>
      </c>
      <c r="BQ140" s="8">
        <v>-111.2</v>
      </c>
      <c r="BR140" s="8">
        <v>-111.7</v>
      </c>
      <c r="BS140" s="8">
        <v>-110.3</v>
      </c>
      <c r="BT140" s="8">
        <v>-104.1</v>
      </c>
      <c r="BU140" s="8">
        <v>-102.3</v>
      </c>
      <c r="BV140" s="8">
        <v>-94.7</v>
      </c>
      <c r="BW140" s="8">
        <v>-88.8</v>
      </c>
      <c r="BX140" s="8">
        <v>-68.59999999999999</v>
      </c>
      <c r="BY140" s="8">
        <v>-86.40000000000001</v>
      </c>
      <c r="BZ140" s="8">
        <v>-88.59999999999999</v>
      </c>
      <c r="CA140" s="8">
        <v>-122.7</v>
      </c>
      <c r="CB140" s="8">
        <v>-129.8</v>
      </c>
      <c r="CC140" s="8">
        <v>161.1</v>
      </c>
      <c r="CD140" s="8">
        <v>-351.4</v>
      </c>
      <c r="CE140" s="8">
        <v>-16</v>
      </c>
      <c r="CF140" s="8">
        <v>-77.3</v>
      </c>
      <c r="CG140" s="8">
        <v>-12.9</v>
      </c>
      <c r="CH140" s="8">
        <v>-19.7</v>
      </c>
      <c r="CI140" s="8">
        <v>-19.3</v>
      </c>
      <c r="CJ140" s="8">
        <v>-11.7</v>
      </c>
      <c r="CK140" s="8">
        <v>-26.1</v>
      </c>
      <c r="CL140" s="8">
        <v>-61.4</v>
      </c>
      <c r="CM140" s="8">
        <v>-19.3</v>
      </c>
      <c r="CN140" s="8">
        <v>79.40000000000001</v>
      </c>
      <c r="CO140" s="8">
        <v>-9.4</v>
      </c>
      <c r="CP140" s="8">
        <v>-33.9</v>
      </c>
      <c r="CQ140" s="8">
        <v>-42.5</v>
      </c>
      <c r="CR140" s="8">
        <v>-47.3</v>
      </c>
      <c r="CS140" s="8">
        <v>-48.3</v>
      </c>
      <c r="CT140" s="8">
        <v>-62.3</v>
      </c>
      <c r="CU140" s="8">
        <v>-24.2</v>
      </c>
      <c r="CV140" s="8">
        <v>-40.4</v>
      </c>
      <c r="CW140" s="8">
        <v>-44.2</v>
      </c>
      <c r="CX140" s="8">
        <v>-54.5</v>
      </c>
      <c r="CY140" s="8">
        <v>-3.4</v>
      </c>
      <c r="CZ140" s="8">
        <v>-8.5</v>
      </c>
      <c r="DA140" s="8">
        <v>-9.5</v>
      </c>
      <c r="DB140" s="8">
        <v>0.1</v>
      </c>
      <c r="DC140" s="8">
        <v>-4.2</v>
      </c>
      <c r="DD140" s="8">
        <v>-28.8</v>
      </c>
      <c r="DE140" s="8">
        <v>-44.8</v>
      </c>
      <c r="DF140" s="8">
        <v>-59.2</v>
      </c>
      <c r="DG140" s="8">
        <v>-89.90000000000001</v>
      </c>
      <c r="DH140" s="8">
        <v>33.1</v>
      </c>
      <c r="DI140" s="8">
        <v>-20.5</v>
      </c>
      <c r="DJ140" s="8">
        <v>-24.3</v>
      </c>
      <c r="DK140" s="8">
        <v>-54.8</v>
      </c>
      <c r="DL140" s="8">
        <v>-70</v>
      </c>
      <c r="DM140" s="8">
        <v>-77.90000000000001</v>
      </c>
      <c r="DN140" s="8">
        <v>-100.5</v>
      </c>
      <c r="DO140" s="8">
        <v>-177.2</v>
      </c>
      <c r="DP140" s="8">
        <v>86.40000000000001</v>
      </c>
      <c r="DQ140" s="8">
        <v>59.3</v>
      </c>
      <c r="DR140" s="8">
        <v>108</v>
      </c>
      <c r="DS140" s="8">
        <v>135.8</v>
      </c>
      <c r="DT140" s="8">
        <v>131.8</v>
      </c>
      <c r="DU140" s="8">
        <v>124.1</v>
      </c>
      <c r="DV140" s="8">
        <v>-9.6</v>
      </c>
      <c r="DW140" s="8">
        <v>106.5</v>
      </c>
      <c r="DX140" s="8">
        <v>29.6</v>
      </c>
      <c r="DY140" s="8">
        <v>-185.8</v>
      </c>
      <c r="DZ140" s="8">
        <v>-181.4</v>
      </c>
      <c r="EA140" s="8">
        <v>-177.7</v>
      </c>
      <c r="EB140" s="8">
        <v>-129.8</v>
      </c>
      <c r="EC140" s="8">
        <v>-224.3</v>
      </c>
      <c r="ED140" s="8">
        <v>-184.2</v>
      </c>
      <c r="EE140" s="8">
        <v>-185.9</v>
      </c>
      <c r="EF140" s="8">
        <v>-149.2</v>
      </c>
      <c r="EG140" s="8">
        <v>-129.2</v>
      </c>
      <c r="EH140" s="8">
        <v>-74.09999999999999</v>
      </c>
      <c r="EI140" s="8">
        <v>-89.3</v>
      </c>
      <c r="EJ140" s="8">
        <v>-151.7</v>
      </c>
      <c r="EK140" s="8">
        <v>-86.59999999999999</v>
      </c>
      <c r="EL140" s="8">
        <v>-127.9</v>
      </c>
      <c r="EM140" s="8">
        <v>-176.5</v>
      </c>
      <c r="EN140" s="8">
        <v>-147.3</v>
      </c>
      <c r="EO140" s="8">
        <v>-18</v>
      </c>
      <c r="EP140" s="8">
        <v>14.4</v>
      </c>
      <c r="EQ140" s="8">
        <v>84.7</v>
      </c>
      <c r="ER140" s="8">
        <v>1.3</v>
      </c>
      <c r="ES140" s="8">
        <v>-85.5</v>
      </c>
    </row>
    <row r="141" spans="1:151">
      <c r="A141" s="7">
        <v>36.65</v>
      </c>
      <c r="L141" s="8">
        <v>-107.3</v>
      </c>
      <c r="M141" s="8">
        <v>-104.9</v>
      </c>
      <c r="N141" s="8">
        <v>-30.7</v>
      </c>
      <c r="O141" s="8">
        <v>-32.9</v>
      </c>
      <c r="P141" s="8">
        <v>-104.5</v>
      </c>
      <c r="Q141" s="8">
        <v>-41.3</v>
      </c>
      <c r="R141" s="8">
        <v>-11.7</v>
      </c>
      <c r="S141" s="8">
        <v>-40.3</v>
      </c>
      <c r="T141" s="8">
        <v>-74.09999999999999</v>
      </c>
      <c r="U141" s="8">
        <v>-80.40000000000001</v>
      </c>
      <c r="V141" s="8">
        <v>-98.5</v>
      </c>
      <c r="W141" s="8">
        <v>-35.7</v>
      </c>
      <c r="X141" s="8">
        <v>77.09999999999999</v>
      </c>
      <c r="Y141" s="8">
        <v>87.2</v>
      </c>
      <c r="Z141" s="8">
        <v>15.2</v>
      </c>
      <c r="AA141" s="8">
        <v>-55.3</v>
      </c>
      <c r="AB141" s="8">
        <v>-113.1</v>
      </c>
      <c r="AC141" s="8">
        <v>54.7</v>
      </c>
      <c r="AD141" s="8">
        <v>47.9</v>
      </c>
      <c r="AE141" s="8">
        <v>74.3</v>
      </c>
      <c r="AF141" s="8">
        <v>123.9</v>
      </c>
      <c r="AG141" s="8">
        <v>228.5</v>
      </c>
      <c r="AH141" s="8">
        <v>-62.3</v>
      </c>
      <c r="AI141" s="8">
        <v>-127.2</v>
      </c>
      <c r="AJ141" s="8">
        <v>-83.09999999999999</v>
      </c>
      <c r="AK141" s="8">
        <v>-101.9</v>
      </c>
      <c r="AL141" s="8">
        <v>-138.8</v>
      </c>
      <c r="AM141" s="8">
        <v>-108.1</v>
      </c>
      <c r="AN141" s="8">
        <v>-38.6</v>
      </c>
      <c r="AO141" s="8">
        <v>-118.1</v>
      </c>
      <c r="AP141" s="8">
        <v>5.7</v>
      </c>
      <c r="AQ141" s="8">
        <v>-87.40000000000001</v>
      </c>
      <c r="AR141" s="8">
        <v>-114.7</v>
      </c>
      <c r="AS141" s="8">
        <v>-127.6</v>
      </c>
      <c r="AT141" s="8">
        <v>-114.1</v>
      </c>
      <c r="AU141" s="8">
        <v>-103.3</v>
      </c>
      <c r="AV141" s="8">
        <v>-105.8</v>
      </c>
      <c r="AW141" s="8">
        <v>-97.40000000000001</v>
      </c>
      <c r="AX141" s="8">
        <v>-93.8</v>
      </c>
      <c r="AY141" s="8">
        <v>-85.3</v>
      </c>
      <c r="AZ141" s="8">
        <v>-95.2</v>
      </c>
      <c r="BA141" s="8">
        <v>-98.5</v>
      </c>
      <c r="BB141" s="8">
        <v>-91.3</v>
      </c>
      <c r="BC141" s="8">
        <v>-108</v>
      </c>
      <c r="BD141" s="8">
        <v>-104.1</v>
      </c>
      <c r="BE141" s="8">
        <v>-112.9</v>
      </c>
      <c r="BF141" s="8">
        <v>-118</v>
      </c>
      <c r="BG141" s="8">
        <v>-115.3</v>
      </c>
      <c r="BH141" s="8">
        <v>-93.5</v>
      </c>
      <c r="BI141" s="8">
        <v>-109.5</v>
      </c>
      <c r="BJ141" s="8">
        <v>-153.2</v>
      </c>
      <c r="BK141" s="8">
        <v>-144.7</v>
      </c>
      <c r="BL141" s="8">
        <v>-157.4</v>
      </c>
      <c r="BM141" s="8">
        <v>-179.7</v>
      </c>
      <c r="BN141" s="8">
        <v>-147</v>
      </c>
      <c r="BO141" s="8">
        <v>-113.9</v>
      </c>
      <c r="BP141" s="8">
        <v>-67.2</v>
      </c>
      <c r="BQ141" s="8">
        <v>-79.40000000000001</v>
      </c>
      <c r="BR141" s="8">
        <v>-56.5</v>
      </c>
      <c r="BS141" s="8">
        <v>-86.8</v>
      </c>
      <c r="BT141" s="8">
        <v>-116</v>
      </c>
      <c r="BU141" s="8">
        <v>-93.2</v>
      </c>
      <c r="BV141" s="8">
        <v>-78</v>
      </c>
      <c r="BW141" s="8">
        <v>-72.2</v>
      </c>
      <c r="BX141" s="8">
        <v>-61</v>
      </c>
      <c r="BY141" s="8">
        <v>-66.8</v>
      </c>
      <c r="BZ141" s="8">
        <v>-62.7</v>
      </c>
      <c r="CA141" s="8">
        <v>-76.09999999999999</v>
      </c>
      <c r="CB141" s="8">
        <v>-104.7</v>
      </c>
      <c r="CC141" s="8">
        <v>-113.2</v>
      </c>
      <c r="CD141" s="8">
        <v>-96.2</v>
      </c>
      <c r="CE141" s="8">
        <v>-80.8</v>
      </c>
      <c r="CF141" s="8">
        <v>-50.5</v>
      </c>
      <c r="CG141" s="8">
        <v>-42.4</v>
      </c>
      <c r="CH141" s="8">
        <v>-32.1</v>
      </c>
      <c r="CI141" s="8">
        <v>-38.8</v>
      </c>
      <c r="CJ141" s="8">
        <v>-25.6</v>
      </c>
      <c r="CK141" s="8">
        <v>-25.6</v>
      </c>
      <c r="CL141" s="8">
        <v>-43</v>
      </c>
      <c r="CM141" s="8">
        <v>-56.8</v>
      </c>
      <c r="CN141" s="8">
        <v>-36.2</v>
      </c>
      <c r="CO141" s="8">
        <v>-56.9</v>
      </c>
      <c r="CP141" s="8">
        <v>36.3</v>
      </c>
      <c r="CQ141" s="8">
        <v>6.9</v>
      </c>
      <c r="CR141" s="8">
        <v>19.8</v>
      </c>
      <c r="CS141" s="8">
        <v>-48.5</v>
      </c>
      <c r="CT141" s="8">
        <v>-60.5</v>
      </c>
      <c r="CU141" s="8">
        <v>-14.3</v>
      </c>
      <c r="CV141" s="8">
        <v>36.6</v>
      </c>
      <c r="CW141" s="8">
        <v>-33.9</v>
      </c>
      <c r="CX141" s="8">
        <v>-13.1</v>
      </c>
      <c r="CY141" s="8">
        <v>39.6</v>
      </c>
      <c r="CZ141" s="8">
        <v>45.6</v>
      </c>
      <c r="DA141" s="8">
        <v>17.6</v>
      </c>
      <c r="DB141" s="8">
        <v>20.9</v>
      </c>
      <c r="DC141" s="8">
        <v>14.5</v>
      </c>
      <c r="DD141" s="8">
        <v>-6.6</v>
      </c>
      <c r="DE141" s="8">
        <v>-16.2</v>
      </c>
      <c r="DF141" s="8">
        <v>-21.5</v>
      </c>
      <c r="DG141" s="8">
        <v>-38.7</v>
      </c>
      <c r="DH141" s="8">
        <v>-81.09999999999999</v>
      </c>
      <c r="DI141" s="8">
        <v>-17</v>
      </c>
      <c r="DJ141" s="8">
        <v>33</v>
      </c>
      <c r="DK141" s="8">
        <v>-30</v>
      </c>
      <c r="DL141" s="8">
        <v>-50.7</v>
      </c>
      <c r="DM141" s="8">
        <v>-50</v>
      </c>
      <c r="DN141" s="8">
        <v>-61</v>
      </c>
      <c r="DO141" s="8">
        <v>-101.8</v>
      </c>
      <c r="DP141" s="8">
        <v>-52.5</v>
      </c>
      <c r="DQ141" s="8">
        <v>160.1</v>
      </c>
      <c r="DR141" s="8">
        <v>198.3</v>
      </c>
      <c r="DS141" s="8">
        <v>146.9</v>
      </c>
      <c r="DT141" s="8">
        <v>77.2</v>
      </c>
      <c r="DU141" s="8">
        <v>96</v>
      </c>
      <c r="DV141" s="8">
        <v>-35.9</v>
      </c>
      <c r="DW141" s="8">
        <v>255.3</v>
      </c>
      <c r="DX141" s="8">
        <v>-221.8</v>
      </c>
      <c r="DY141" s="8">
        <v>-209.9</v>
      </c>
      <c r="DZ141" s="8">
        <v>-148.9</v>
      </c>
      <c r="EA141" s="8">
        <v>-125.6</v>
      </c>
      <c r="EB141" s="8">
        <v>-169.3</v>
      </c>
      <c r="EC141" s="8">
        <v>-176</v>
      </c>
      <c r="ED141" s="8">
        <v>-179</v>
      </c>
      <c r="EE141" s="8">
        <v>-180.2</v>
      </c>
      <c r="EF141" s="8">
        <v>-122.5</v>
      </c>
      <c r="EG141" s="8">
        <v>-155.5</v>
      </c>
      <c r="EH141" s="8">
        <v>-127.6</v>
      </c>
      <c r="EI141" s="8">
        <v>-71.5</v>
      </c>
      <c r="EJ141" s="8">
        <v>-98</v>
      </c>
      <c r="EK141" s="8">
        <v>-74.8</v>
      </c>
      <c r="EL141" s="8">
        <v>-195.1</v>
      </c>
      <c r="EM141" s="8">
        <v>-45.1</v>
      </c>
      <c r="EN141" s="8">
        <v>-10.8</v>
      </c>
      <c r="EO141" s="8">
        <v>10.4</v>
      </c>
      <c r="EP141" s="8">
        <v>-28.1</v>
      </c>
      <c r="EQ141" s="8">
        <v>40.7</v>
      </c>
      <c r="ER141" s="8">
        <v>32.5</v>
      </c>
      <c r="ES141" s="8">
        <v>-99.90000000000001</v>
      </c>
    </row>
    <row r="142" spans="1:151">
      <c r="A142" s="7">
        <v>36.675</v>
      </c>
      <c r="L142" s="8">
        <v>-56.9</v>
      </c>
      <c r="M142" s="8">
        <v>-51.7</v>
      </c>
      <c r="N142" s="8">
        <v>0.8</v>
      </c>
      <c r="O142" s="8">
        <v>-57</v>
      </c>
      <c r="P142" s="8">
        <v>-77.3</v>
      </c>
      <c r="Q142" s="8">
        <v>-11.1</v>
      </c>
      <c r="R142" s="8">
        <v>-36</v>
      </c>
      <c r="S142" s="8">
        <v>-38.4</v>
      </c>
      <c r="T142" s="8">
        <v>-13.1</v>
      </c>
      <c r="U142" s="8">
        <v>-98.59999999999999</v>
      </c>
      <c r="V142" s="8">
        <v>-47.8</v>
      </c>
      <c r="W142" s="8">
        <v>-86.3</v>
      </c>
      <c r="X142" s="8">
        <v>12.1</v>
      </c>
      <c r="Y142" s="8">
        <v>55</v>
      </c>
      <c r="Z142" s="8">
        <v>87.09999999999999</v>
      </c>
      <c r="AA142" s="8">
        <v>34</v>
      </c>
      <c r="AB142" s="8">
        <v>-112</v>
      </c>
      <c r="AC142" s="8">
        <v>46.4</v>
      </c>
      <c r="AD142" s="8">
        <v>-5.1</v>
      </c>
      <c r="AE142" s="8">
        <v>10.3</v>
      </c>
      <c r="AF142" s="8">
        <v>-25</v>
      </c>
      <c r="AG142" s="8">
        <v>13.9</v>
      </c>
      <c r="AH142" s="8">
        <v>-34.2</v>
      </c>
      <c r="AI142" s="8">
        <v>-111.8</v>
      </c>
      <c r="AJ142" s="8">
        <v>-128.2</v>
      </c>
      <c r="AK142" s="8">
        <v>41.5</v>
      </c>
      <c r="AL142" s="8">
        <v>-99.8</v>
      </c>
      <c r="AM142" s="8">
        <v>-113.9</v>
      </c>
      <c r="AN142" s="8">
        <v>-86.90000000000001</v>
      </c>
      <c r="AO142" s="8">
        <v>-49.9</v>
      </c>
      <c r="AP142" s="8">
        <v>-173.8</v>
      </c>
      <c r="AQ142" s="8">
        <v>-151.6</v>
      </c>
      <c r="AR142" s="8">
        <v>-129</v>
      </c>
      <c r="AS142" s="8">
        <v>-109.6</v>
      </c>
      <c r="AT142" s="8">
        <v>-79.3</v>
      </c>
      <c r="AU142" s="8">
        <v>-83</v>
      </c>
      <c r="AV142" s="8">
        <v>-90.3</v>
      </c>
      <c r="AW142" s="8">
        <v>-89.7</v>
      </c>
      <c r="AX142" s="8">
        <v>-97.3</v>
      </c>
      <c r="AY142" s="8">
        <v>-86.5</v>
      </c>
      <c r="AZ142" s="8">
        <v>-95</v>
      </c>
      <c r="BA142" s="8">
        <v>-101.1</v>
      </c>
      <c r="BB142" s="8">
        <v>-91.2</v>
      </c>
      <c r="BC142" s="8">
        <v>-88.90000000000001</v>
      </c>
      <c r="BD142" s="8">
        <v>-87.8</v>
      </c>
      <c r="BE142" s="8">
        <v>-99.8</v>
      </c>
      <c r="BF142" s="8">
        <v>-91.3</v>
      </c>
      <c r="BG142" s="8">
        <v>-81</v>
      </c>
      <c r="BH142" s="8">
        <v>-58.1</v>
      </c>
      <c r="BI142" s="8">
        <v>-134.1</v>
      </c>
      <c r="BJ142" s="8">
        <v>-109.1</v>
      </c>
      <c r="BK142" s="8">
        <v>-116.5</v>
      </c>
      <c r="BL142" s="8">
        <v>-139</v>
      </c>
      <c r="BM142" s="8">
        <v>-144.7</v>
      </c>
      <c r="BN142" s="8">
        <v>-158.8</v>
      </c>
      <c r="BO142" s="8">
        <v>-146.2</v>
      </c>
      <c r="BP142" s="8">
        <v>-109.7</v>
      </c>
      <c r="BQ142" s="8">
        <v>-82.40000000000001</v>
      </c>
      <c r="BR142" s="8">
        <v>-66.40000000000001</v>
      </c>
      <c r="BS142" s="8">
        <v>-72.40000000000001</v>
      </c>
      <c r="BT142" s="8">
        <v>-44.4</v>
      </c>
      <c r="BU142" s="8">
        <v>-73.2</v>
      </c>
      <c r="BV142" s="8">
        <v>-82.40000000000001</v>
      </c>
      <c r="BW142" s="8">
        <v>-80.90000000000001</v>
      </c>
      <c r="BX142" s="8">
        <v>-71.3</v>
      </c>
      <c r="BY142" s="8">
        <v>-78.3</v>
      </c>
      <c r="BZ142" s="8">
        <v>-57.6</v>
      </c>
      <c r="CA142" s="8">
        <v>-74.7</v>
      </c>
      <c r="CB142" s="8">
        <v>-88.8</v>
      </c>
      <c r="CC142" s="8">
        <v>-90.2</v>
      </c>
      <c r="CD142" s="8">
        <v>-48</v>
      </c>
      <c r="CE142" s="8">
        <v>-72.09999999999999</v>
      </c>
      <c r="CF142" s="8">
        <v>-79</v>
      </c>
      <c r="CG142" s="8">
        <v>-54.7</v>
      </c>
      <c r="CH142" s="8">
        <v>-47.4</v>
      </c>
      <c r="CI142" s="8">
        <v>-30.2</v>
      </c>
      <c r="CJ142" s="8">
        <v>-50.1</v>
      </c>
      <c r="CK142" s="8">
        <v>-53.5</v>
      </c>
      <c r="CL142" s="8">
        <v>-38.2</v>
      </c>
      <c r="CM142" s="8">
        <v>-30.9</v>
      </c>
      <c r="CN142" s="8">
        <v>52</v>
      </c>
      <c r="CO142" s="8">
        <v>-50</v>
      </c>
      <c r="CP142" s="8">
        <v>-17.4</v>
      </c>
      <c r="CQ142" s="8">
        <v>-52.1</v>
      </c>
      <c r="CR142" s="8">
        <v>-6.3</v>
      </c>
      <c r="CS142" s="8">
        <v>-11.5</v>
      </c>
      <c r="CT142" s="8">
        <v>-20.6</v>
      </c>
      <c r="CU142" s="8">
        <v>24</v>
      </c>
      <c r="CV142" s="8">
        <v>50.5</v>
      </c>
      <c r="CW142" s="8">
        <v>60.6</v>
      </c>
      <c r="CX142" s="8">
        <v>14</v>
      </c>
      <c r="CY142" s="8">
        <v>12</v>
      </c>
      <c r="CZ142" s="8">
        <v>20.3</v>
      </c>
      <c r="DA142" s="8">
        <v>31.3</v>
      </c>
      <c r="DB142" s="8">
        <v>34.5</v>
      </c>
      <c r="DC142" s="8">
        <v>46.3</v>
      </c>
      <c r="DD142" s="8">
        <v>11.9</v>
      </c>
      <c r="DE142" s="8">
        <v>-6.6</v>
      </c>
      <c r="DF142" s="8">
        <v>-5.1</v>
      </c>
      <c r="DG142" s="8">
        <v>0.8</v>
      </c>
      <c r="DH142" s="8">
        <v>-45.5</v>
      </c>
      <c r="DI142" s="8">
        <v>-73.3</v>
      </c>
      <c r="DJ142" s="8">
        <v>-74.59999999999999</v>
      </c>
      <c r="DK142" s="8">
        <v>59.9</v>
      </c>
      <c r="DL142" s="8">
        <v>-7.2</v>
      </c>
      <c r="DM142" s="8">
        <v>-33.9</v>
      </c>
      <c r="DN142" s="8">
        <v>-63.1</v>
      </c>
      <c r="DO142" s="8">
        <v>-93.3</v>
      </c>
      <c r="DP142" s="8">
        <v>-184.5</v>
      </c>
      <c r="DQ142" s="8">
        <v>52.8</v>
      </c>
      <c r="DR142" s="8">
        <v>121.5</v>
      </c>
      <c r="DS142" s="8">
        <v>41.9</v>
      </c>
      <c r="DT142" s="8">
        <v>10.7</v>
      </c>
      <c r="DU142" s="8">
        <v>-11.2</v>
      </c>
      <c r="DV142" s="8">
        <v>-10</v>
      </c>
      <c r="DW142" s="8">
        <v>-184.9</v>
      </c>
      <c r="DX142" s="8">
        <v>-145.6</v>
      </c>
      <c r="DY142" s="8">
        <v>-137.6</v>
      </c>
      <c r="DZ142" s="8">
        <v>-128.4</v>
      </c>
      <c r="EA142" s="8">
        <v>-121.8</v>
      </c>
      <c r="EB142" s="8">
        <v>-202.1</v>
      </c>
      <c r="EC142" s="8">
        <v>-158.5</v>
      </c>
      <c r="ED142" s="8">
        <v>-184.9</v>
      </c>
      <c r="EE142" s="8">
        <v>-194.7</v>
      </c>
      <c r="EF142" s="8">
        <v>-119.8</v>
      </c>
      <c r="EG142" s="8">
        <v>-189.9</v>
      </c>
      <c r="EH142" s="8">
        <v>-147.3</v>
      </c>
      <c r="EI142" s="8">
        <v>-154.1</v>
      </c>
      <c r="EJ142" s="8">
        <v>-212.5</v>
      </c>
      <c r="EK142" s="8">
        <v>-215.6</v>
      </c>
      <c r="EL142" s="8">
        <v>-113.1</v>
      </c>
      <c r="EM142" s="8">
        <v>187.9</v>
      </c>
      <c r="EN142" s="8">
        <v>139.8</v>
      </c>
      <c r="EO142" s="8">
        <v>-109.3</v>
      </c>
      <c r="EP142" s="8">
        <v>-64.8</v>
      </c>
      <c r="EQ142" s="8">
        <v>-33.2</v>
      </c>
      <c r="ER142" s="8">
        <v>71.8</v>
      </c>
      <c r="ES142" s="8">
        <v>-95.59999999999999</v>
      </c>
      <c r="ET142" s="8">
        <v>-147.4</v>
      </c>
      <c r="EU142" s="8">
        <v>-123.8</v>
      </c>
    </row>
    <row r="143" spans="1:151">
      <c r="A143" s="7">
        <v>36.7</v>
      </c>
      <c r="L143" s="8">
        <v>85.90000000000001</v>
      </c>
      <c r="M143" s="8">
        <v>-11.5</v>
      </c>
      <c r="N143" s="8">
        <v>5.3</v>
      </c>
      <c r="O143" s="8">
        <v>12.4</v>
      </c>
      <c r="P143" s="8">
        <v>-68.09999999999999</v>
      </c>
      <c r="Q143" s="8">
        <v>-85.5</v>
      </c>
      <c r="R143" s="8">
        <v>-42.1</v>
      </c>
      <c r="S143" s="8">
        <v>-102.7</v>
      </c>
      <c r="T143" s="8">
        <v>-124.1</v>
      </c>
      <c r="U143" s="8">
        <v>-119.9</v>
      </c>
      <c r="V143" s="8">
        <v>45.2</v>
      </c>
      <c r="W143" s="8">
        <v>-98.09999999999999</v>
      </c>
      <c r="X143" s="8">
        <v>-147</v>
      </c>
      <c r="Y143" s="8">
        <v>7.2</v>
      </c>
      <c r="Z143" s="8">
        <v>94.5</v>
      </c>
      <c r="AA143" s="8">
        <v>111.6</v>
      </c>
      <c r="AB143" s="8">
        <v>-29.7</v>
      </c>
      <c r="AC143" s="8">
        <v>-108.8</v>
      </c>
      <c r="AD143" s="8">
        <v>-15.1</v>
      </c>
      <c r="AE143" s="8">
        <v>-17.7</v>
      </c>
      <c r="AF143" s="8">
        <v>-3.6</v>
      </c>
      <c r="AG143" s="8">
        <v>13.2</v>
      </c>
      <c r="AH143" s="8">
        <v>-26.5</v>
      </c>
      <c r="AI143" s="8">
        <v>-135</v>
      </c>
      <c r="AJ143" s="8">
        <v>-139</v>
      </c>
      <c r="AK143" s="8">
        <v>-149</v>
      </c>
      <c r="AL143" s="8">
        <v>-156.7</v>
      </c>
      <c r="AM143" s="8">
        <v>-150.5</v>
      </c>
      <c r="AN143" s="8">
        <v>-83.40000000000001</v>
      </c>
      <c r="AO143" s="8">
        <v>-122.2</v>
      </c>
      <c r="AP143" s="8">
        <v>-174.1</v>
      </c>
      <c r="AQ143" s="8">
        <v>-134</v>
      </c>
      <c r="AR143" s="8">
        <v>-113.8</v>
      </c>
      <c r="AS143" s="8">
        <v>-107.5</v>
      </c>
      <c r="AT143" s="8">
        <v>-98.40000000000001</v>
      </c>
      <c r="AU143" s="8">
        <v>-91.09999999999999</v>
      </c>
      <c r="AV143" s="8">
        <v>-80.3</v>
      </c>
      <c r="AW143" s="8">
        <v>-74.09999999999999</v>
      </c>
      <c r="AX143" s="8">
        <v>-66.8</v>
      </c>
      <c r="AY143" s="8">
        <v>-89.40000000000001</v>
      </c>
      <c r="AZ143" s="8">
        <v>-84.59999999999999</v>
      </c>
      <c r="BA143" s="8">
        <v>-88.3</v>
      </c>
      <c r="BB143" s="8">
        <v>-75.8</v>
      </c>
      <c r="BC143" s="8">
        <v>-34.2</v>
      </c>
      <c r="BD143" s="8">
        <v>-97.8</v>
      </c>
      <c r="BE143" s="8">
        <v>-42.3</v>
      </c>
      <c r="BF143" s="8">
        <v>-101.6</v>
      </c>
      <c r="BG143" s="8">
        <v>-70.7</v>
      </c>
      <c r="BH143" s="8">
        <v>-68.59999999999999</v>
      </c>
      <c r="BI143" s="8">
        <v>-131.5</v>
      </c>
      <c r="BJ143" s="8">
        <v>-107.2</v>
      </c>
      <c r="BK143" s="8">
        <v>-116.1</v>
      </c>
      <c r="BL143" s="8">
        <v>-119.3</v>
      </c>
      <c r="BM143" s="8">
        <v>-124.9</v>
      </c>
      <c r="BN143" s="8">
        <v>-128.5</v>
      </c>
      <c r="BO143" s="8">
        <v>-147.6</v>
      </c>
      <c r="BP143" s="8">
        <v>-154.9</v>
      </c>
      <c r="BQ143" s="8">
        <v>-126.9</v>
      </c>
      <c r="BR143" s="8">
        <v>-106.2</v>
      </c>
      <c r="BS143" s="8">
        <v>-80.3</v>
      </c>
      <c r="BT143" s="8">
        <v>-38.5</v>
      </c>
      <c r="BU143" s="8">
        <v>-29.1</v>
      </c>
      <c r="BV143" s="8">
        <v>-69.3</v>
      </c>
      <c r="BW143" s="8">
        <v>-75.8</v>
      </c>
      <c r="BX143" s="8">
        <v>-78.3</v>
      </c>
      <c r="BY143" s="8">
        <v>-74.8</v>
      </c>
      <c r="BZ143" s="8">
        <v>-83.90000000000001</v>
      </c>
      <c r="CA143" s="8">
        <v>-82.2</v>
      </c>
      <c r="CB143" s="8">
        <v>-95</v>
      </c>
      <c r="CC143" s="8">
        <v>-100.1</v>
      </c>
      <c r="CD143" s="8">
        <v>-46.8</v>
      </c>
      <c r="CE143" s="8">
        <v>28</v>
      </c>
      <c r="CF143" s="8">
        <v>-29.2</v>
      </c>
      <c r="CG143" s="8">
        <v>-52.4</v>
      </c>
      <c r="CH143" s="8">
        <v>-52.1</v>
      </c>
      <c r="CI143" s="8">
        <v>-42.5</v>
      </c>
      <c r="CJ143" s="8">
        <v>-46</v>
      </c>
      <c r="CK143" s="8">
        <v>-44.3</v>
      </c>
      <c r="CL143" s="8">
        <v>-50.7</v>
      </c>
      <c r="CM143" s="8">
        <v>-55.1</v>
      </c>
      <c r="CN143" s="8">
        <v>-35.3</v>
      </c>
      <c r="CO143" s="8">
        <v>-34.4</v>
      </c>
      <c r="CP143" s="8">
        <v>59.8</v>
      </c>
      <c r="CQ143" s="8">
        <v>125.6</v>
      </c>
      <c r="CR143" s="8">
        <v>-51.3</v>
      </c>
      <c r="CS143" s="8">
        <v>-16.2</v>
      </c>
      <c r="CT143" s="8">
        <v>-19.5</v>
      </c>
      <c r="CU143" s="8">
        <v>-24.5</v>
      </c>
      <c r="CV143" s="8">
        <v>109.3</v>
      </c>
      <c r="CW143" s="8">
        <v>-36.7</v>
      </c>
      <c r="CX143" s="8">
        <v>41.2</v>
      </c>
      <c r="CY143" s="8">
        <v>122.3</v>
      </c>
      <c r="CZ143" s="8">
        <v>51.9</v>
      </c>
      <c r="DA143" s="8">
        <v>-1.9</v>
      </c>
      <c r="DB143" s="8">
        <v>7.1</v>
      </c>
      <c r="DC143" s="8">
        <v>37</v>
      </c>
      <c r="DD143" s="8">
        <v>29.9</v>
      </c>
      <c r="DE143" s="8">
        <v>38.7</v>
      </c>
      <c r="DF143" s="8">
        <v>31.7</v>
      </c>
      <c r="DG143" s="8">
        <v>28.6</v>
      </c>
      <c r="DH143" s="8">
        <v>-14.1</v>
      </c>
      <c r="DI143" s="8">
        <v>-44</v>
      </c>
      <c r="DJ143" s="8">
        <v>-69.8</v>
      </c>
      <c r="DK143" s="8">
        <v>-80.2</v>
      </c>
      <c r="DL143" s="8">
        <v>-41.5</v>
      </c>
      <c r="DM143" s="8">
        <v>79</v>
      </c>
      <c r="DN143" s="8">
        <v>-39.8</v>
      </c>
      <c r="DO143" s="8">
        <v>-110.1</v>
      </c>
      <c r="DP143" s="8">
        <v>-130.3</v>
      </c>
      <c r="DQ143" s="8">
        <v>-109.3</v>
      </c>
      <c r="DR143" s="8">
        <v>30.7</v>
      </c>
      <c r="DS143" s="8">
        <v>-27.9</v>
      </c>
      <c r="DT143" s="8">
        <v>-53.7</v>
      </c>
      <c r="DU143" s="8">
        <v>-13.6</v>
      </c>
      <c r="DV143" s="8">
        <v>61</v>
      </c>
      <c r="DW143" s="8">
        <v>-81.90000000000001</v>
      </c>
      <c r="DX143" s="8">
        <v>-105</v>
      </c>
      <c r="DY143" s="8">
        <v>-87.40000000000001</v>
      </c>
      <c r="DZ143" s="8">
        <v>-75.40000000000001</v>
      </c>
      <c r="EA143" s="8">
        <v>-109.4</v>
      </c>
      <c r="EB143" s="8">
        <v>-173.2</v>
      </c>
      <c r="EC143" s="8">
        <v>-170.1</v>
      </c>
      <c r="ED143" s="8">
        <v>-158.9</v>
      </c>
      <c r="EE143" s="8">
        <v>-145.7</v>
      </c>
      <c r="EF143" s="8">
        <v>-172.3</v>
      </c>
      <c r="EG143" s="8">
        <v>-175.7</v>
      </c>
      <c r="EH143" s="8">
        <v>-182.4</v>
      </c>
      <c r="EI143" s="8">
        <v>-194.9</v>
      </c>
      <c r="EJ143" s="8">
        <v>-103.7</v>
      </c>
      <c r="EK143" s="8">
        <v>-170.5</v>
      </c>
      <c r="EL143" s="8">
        <v>-34.3</v>
      </c>
      <c r="EM143" s="8">
        <v>-201.5</v>
      </c>
      <c r="EN143" s="8">
        <v>-133.1</v>
      </c>
      <c r="EO143" s="8">
        <v>-136.7</v>
      </c>
      <c r="EP143" s="8">
        <v>-69.40000000000001</v>
      </c>
      <c r="EQ143" s="8">
        <v>-84.09999999999999</v>
      </c>
      <c r="ER143" s="8">
        <v>-204</v>
      </c>
      <c r="ES143" s="8">
        <v>-116.8</v>
      </c>
      <c r="ET143" s="8">
        <v>-179.9</v>
      </c>
      <c r="EU143" s="8">
        <v>-133.1</v>
      </c>
    </row>
    <row r="144" spans="1:151">
      <c r="A144" s="7">
        <v>36.725</v>
      </c>
      <c r="L144" s="8">
        <v>102.1</v>
      </c>
      <c r="M144" s="8">
        <v>19.4</v>
      </c>
      <c r="N144" s="8">
        <v>-65.8</v>
      </c>
      <c r="O144" s="8">
        <v>-118.5</v>
      </c>
      <c r="P144" s="8">
        <v>-58.1</v>
      </c>
      <c r="Q144" s="8">
        <v>-9.4</v>
      </c>
      <c r="R144" s="8">
        <v>-105.5</v>
      </c>
      <c r="S144" s="8">
        <v>-106.2</v>
      </c>
      <c r="T144" s="8">
        <v>-109.3</v>
      </c>
      <c r="U144" s="8">
        <v>-117</v>
      </c>
      <c r="V144" s="8">
        <v>-35.4</v>
      </c>
      <c r="W144" s="8">
        <v>-95.09999999999999</v>
      </c>
      <c r="X144" s="8">
        <v>-146.3</v>
      </c>
      <c r="Y144" s="8">
        <v>-134.3</v>
      </c>
      <c r="Z144" s="8">
        <v>-63.9</v>
      </c>
      <c r="AA144" s="8">
        <v>-105.7</v>
      </c>
      <c r="AB144" s="8">
        <v>48.4</v>
      </c>
      <c r="AC144" s="8">
        <v>55.3</v>
      </c>
      <c r="AD144" s="8">
        <v>90</v>
      </c>
      <c r="AE144" s="8">
        <v>-1</v>
      </c>
      <c r="AF144" s="8">
        <v>5.7</v>
      </c>
      <c r="AG144" s="8">
        <v>60.8</v>
      </c>
      <c r="AH144" s="8">
        <v>-20.5</v>
      </c>
      <c r="AI144" s="8">
        <v>-92.5</v>
      </c>
      <c r="AJ144" s="8">
        <v>-110.5</v>
      </c>
      <c r="AK144" s="8">
        <v>-107</v>
      </c>
      <c r="AL144" s="8">
        <v>-113</v>
      </c>
      <c r="AM144" s="8">
        <v>-123.7</v>
      </c>
      <c r="AN144" s="8">
        <v>-94.7</v>
      </c>
      <c r="AO144" s="8">
        <v>-82.2</v>
      </c>
      <c r="AP144" s="8">
        <v>-139.1</v>
      </c>
      <c r="AQ144" s="8">
        <v>-124.7</v>
      </c>
      <c r="AR144" s="8">
        <v>-84.40000000000001</v>
      </c>
      <c r="AS144" s="8">
        <v>-84.90000000000001</v>
      </c>
      <c r="AT144" s="8">
        <v>-84.09999999999999</v>
      </c>
      <c r="AU144" s="8">
        <v>-76.3</v>
      </c>
      <c r="AV144" s="8">
        <v>-45.4</v>
      </c>
      <c r="AW144" s="8">
        <v>-50.7</v>
      </c>
      <c r="AX144" s="8">
        <v>-61</v>
      </c>
      <c r="AY144" s="8">
        <v>-73.40000000000001</v>
      </c>
      <c r="AZ144" s="8">
        <v>-61.3</v>
      </c>
      <c r="BA144" s="8">
        <v>-93.3</v>
      </c>
      <c r="BB144" s="8">
        <v>-27.9</v>
      </c>
      <c r="BC144" s="8">
        <v>-128.5</v>
      </c>
      <c r="BD144" s="8">
        <v>-120.6</v>
      </c>
      <c r="BE144" s="8">
        <v>-117.1</v>
      </c>
      <c r="BF144" s="8">
        <v>-125.4</v>
      </c>
      <c r="BG144" s="8">
        <v>-137.2</v>
      </c>
      <c r="BH144" s="8">
        <v>-138.3</v>
      </c>
      <c r="BI144" s="8">
        <v>-127.9</v>
      </c>
      <c r="BJ144" s="8">
        <v>-113.1</v>
      </c>
      <c r="BK144" s="8">
        <v>-111.1</v>
      </c>
      <c r="BL144" s="8">
        <v>-106.2</v>
      </c>
      <c r="BM144" s="8">
        <v>-108.3</v>
      </c>
      <c r="BN144" s="8">
        <v>-118.1</v>
      </c>
      <c r="BO144" s="8">
        <v>-130.1</v>
      </c>
      <c r="BP144" s="8">
        <v>-151.8</v>
      </c>
      <c r="BQ144" s="8">
        <v>-174.4</v>
      </c>
      <c r="BR144" s="8">
        <v>-158.1</v>
      </c>
      <c r="BS144" s="8">
        <v>-147.3</v>
      </c>
      <c r="BT144" s="8">
        <v>-111.1</v>
      </c>
      <c r="BU144" s="8">
        <v>-89.7</v>
      </c>
      <c r="BV144" s="8">
        <v>-44.3</v>
      </c>
      <c r="BW144" s="8">
        <v>-57.8</v>
      </c>
      <c r="BX144" s="8">
        <v>-68.3</v>
      </c>
      <c r="BY144" s="8">
        <v>-102.5</v>
      </c>
      <c r="BZ144" s="8">
        <v>-106.6</v>
      </c>
      <c r="CA144" s="8">
        <v>-111.4</v>
      </c>
      <c r="CB144" s="8">
        <v>-102.6</v>
      </c>
      <c r="CC144" s="8">
        <v>-108.3</v>
      </c>
      <c r="CD144" s="8">
        <v>-125.6</v>
      </c>
      <c r="CE144" s="8">
        <v>-84.2</v>
      </c>
      <c r="CF144" s="8">
        <v>-47.9</v>
      </c>
      <c r="CG144" s="8">
        <v>21.7</v>
      </c>
      <c r="CH144" s="8">
        <v>-32.1</v>
      </c>
      <c r="CI144" s="8">
        <v>-44.4</v>
      </c>
      <c r="CJ144" s="8">
        <v>-34.3</v>
      </c>
      <c r="CK144" s="8">
        <v>-32.6</v>
      </c>
      <c r="CL144" s="8">
        <v>-46.3</v>
      </c>
      <c r="CM144" s="8">
        <v>-54.4</v>
      </c>
      <c r="CN144" s="8">
        <v>-48.7</v>
      </c>
      <c r="CO144" s="8">
        <v>18.6</v>
      </c>
      <c r="CP144" s="8">
        <v>14.1</v>
      </c>
      <c r="CQ144" s="8">
        <v>-27.9</v>
      </c>
      <c r="CR144" s="8">
        <v>-29.6</v>
      </c>
      <c r="CS144" s="8">
        <v>-12.8</v>
      </c>
      <c r="CT144" s="8">
        <v>-11.5</v>
      </c>
      <c r="CU144" s="8">
        <v>10.8</v>
      </c>
      <c r="CV144" s="8">
        <v>-28.1</v>
      </c>
      <c r="CW144" s="8">
        <v>23.9</v>
      </c>
      <c r="CX144" s="8">
        <v>28.7</v>
      </c>
      <c r="CY144" s="8">
        <v>44.7</v>
      </c>
      <c r="CZ144" s="8">
        <v>49.9</v>
      </c>
      <c r="DA144" s="8">
        <v>5.5</v>
      </c>
      <c r="DB144" s="8">
        <v>6.9</v>
      </c>
      <c r="DC144" s="8">
        <v>11.5</v>
      </c>
      <c r="DD144" s="8">
        <v>23</v>
      </c>
      <c r="DE144" s="8">
        <v>25.6</v>
      </c>
      <c r="DF144" s="8">
        <v>34.8</v>
      </c>
      <c r="DG144" s="8">
        <v>45.7</v>
      </c>
      <c r="DH144" s="8">
        <v>4.1</v>
      </c>
      <c r="DI144" s="8">
        <v>-30.5</v>
      </c>
      <c r="DJ144" s="8">
        <v>-51.1</v>
      </c>
      <c r="DK144" s="8">
        <v>-69.59999999999999</v>
      </c>
      <c r="DL144" s="8">
        <v>-93.09999999999999</v>
      </c>
      <c r="DM144" s="8">
        <v>-83.2</v>
      </c>
      <c r="DN144" s="8">
        <v>-87.2</v>
      </c>
      <c r="DO144" s="8">
        <v>-98</v>
      </c>
      <c r="DP144" s="8">
        <v>-168.1</v>
      </c>
      <c r="DQ144" s="8">
        <v>-122.9</v>
      </c>
      <c r="DR144" s="8">
        <v>-93.2</v>
      </c>
      <c r="DS144" s="8">
        <v>-24.2</v>
      </c>
      <c r="DT144" s="8">
        <v>-28</v>
      </c>
      <c r="DU144" s="8">
        <v>-57</v>
      </c>
      <c r="DV144" s="8">
        <v>-13.2</v>
      </c>
      <c r="DW144" s="8">
        <v>-76.40000000000001</v>
      </c>
      <c r="DX144" s="8">
        <v>-115.3</v>
      </c>
      <c r="DY144" s="8">
        <v>-76.09999999999999</v>
      </c>
      <c r="DZ144" s="8">
        <v>-77.40000000000001</v>
      </c>
      <c r="EA144" s="8">
        <v>-61.6</v>
      </c>
      <c r="EB144" s="8">
        <v>-137.8</v>
      </c>
      <c r="EC144" s="8">
        <v>-128.3</v>
      </c>
      <c r="ED144" s="8">
        <v>-110.7</v>
      </c>
      <c r="EE144" s="8">
        <v>-99.90000000000001</v>
      </c>
      <c r="EF144" s="8">
        <v>-86.7</v>
      </c>
      <c r="EG144" s="8">
        <v>-84.5</v>
      </c>
      <c r="EH144" s="8">
        <v>-127.8</v>
      </c>
      <c r="EI144" s="8">
        <v>-136.7</v>
      </c>
      <c r="EJ144" s="8">
        <v>-178.9</v>
      </c>
      <c r="EK144" s="8">
        <v>-300.5</v>
      </c>
      <c r="EL144" s="8">
        <v>-232.8</v>
      </c>
      <c r="EM144" s="8">
        <v>-270.5</v>
      </c>
      <c r="EN144" s="8">
        <v>-144.6</v>
      </c>
      <c r="EO144" s="8">
        <v>-190</v>
      </c>
      <c r="EP144" s="8">
        <v>-281.1</v>
      </c>
      <c r="EQ144" s="8">
        <v>-299.5</v>
      </c>
      <c r="ER144" s="8">
        <v>-264.6</v>
      </c>
      <c r="ES144" s="8">
        <v>-174.8</v>
      </c>
      <c r="ET144" s="8">
        <v>-162.6</v>
      </c>
      <c r="EU144" s="8">
        <v>-121.4</v>
      </c>
    </row>
    <row r="145" spans="1:152">
      <c r="A145" s="7">
        <v>36.75</v>
      </c>
      <c r="L145" s="8">
        <v>-175.7</v>
      </c>
      <c r="M145" s="8">
        <v>-211.7</v>
      </c>
      <c r="N145" s="8">
        <v>-184.7</v>
      </c>
      <c r="O145" s="8">
        <v>-115.9</v>
      </c>
      <c r="P145" s="8">
        <v>-116.4</v>
      </c>
      <c r="Q145" s="8">
        <v>-55.8</v>
      </c>
      <c r="R145" s="8">
        <v>-121</v>
      </c>
      <c r="S145" s="8">
        <v>-47.3</v>
      </c>
      <c r="T145" s="8">
        <v>-112.4</v>
      </c>
      <c r="U145" s="8">
        <v>-137.5</v>
      </c>
      <c r="V145" s="8">
        <v>-103.1</v>
      </c>
      <c r="W145" s="8">
        <v>-151.1</v>
      </c>
      <c r="X145" s="8">
        <v>-169.5</v>
      </c>
      <c r="Y145" s="8">
        <v>-147.4</v>
      </c>
      <c r="Z145" s="8">
        <v>-228.7</v>
      </c>
      <c r="AA145" s="8">
        <v>-120.4</v>
      </c>
      <c r="AB145" s="8">
        <v>-94.5</v>
      </c>
      <c r="AC145" s="8">
        <v>-35.9</v>
      </c>
      <c r="AD145" s="8">
        <v>49.6</v>
      </c>
      <c r="AE145" s="8">
        <v>7.5</v>
      </c>
      <c r="AF145" s="8">
        <v>11.5</v>
      </c>
      <c r="AG145" s="8">
        <v>-1.7</v>
      </c>
      <c r="AH145" s="8">
        <v>-57.1</v>
      </c>
      <c r="AI145" s="8">
        <v>-83.09999999999999</v>
      </c>
      <c r="AJ145" s="8">
        <v>-97.2</v>
      </c>
      <c r="AK145" s="8">
        <v>-89</v>
      </c>
      <c r="AL145" s="8">
        <v>-68.09999999999999</v>
      </c>
      <c r="AM145" s="8">
        <v>-62.4</v>
      </c>
      <c r="AN145" s="8">
        <v>-56.1</v>
      </c>
      <c r="AO145" s="8">
        <v>-38</v>
      </c>
      <c r="AP145" s="8">
        <v>-55.5</v>
      </c>
      <c r="AQ145" s="8">
        <v>-69</v>
      </c>
      <c r="AR145" s="8">
        <v>-76.90000000000001</v>
      </c>
      <c r="AS145" s="8">
        <v>-76.2</v>
      </c>
      <c r="AT145" s="8">
        <v>-85</v>
      </c>
      <c r="AU145" s="8">
        <v>-77.8</v>
      </c>
      <c r="AV145" s="8">
        <v>-64.7</v>
      </c>
      <c r="AW145" s="8">
        <v>-56.1</v>
      </c>
      <c r="AX145" s="8">
        <v>7.7</v>
      </c>
      <c r="AY145" s="8">
        <v>-14.5</v>
      </c>
      <c r="AZ145" s="8">
        <v>-59.6</v>
      </c>
      <c r="BA145" s="8">
        <v>-100.2</v>
      </c>
      <c r="BB145" s="8">
        <v>-80.8</v>
      </c>
      <c r="BC145" s="8">
        <v>-77.90000000000001</v>
      </c>
      <c r="BD145" s="8">
        <v>-62.1</v>
      </c>
      <c r="BE145" s="8">
        <v>-103.8</v>
      </c>
      <c r="BF145" s="8">
        <v>-70</v>
      </c>
      <c r="BG145" s="8">
        <v>-82</v>
      </c>
      <c r="BH145" s="8">
        <v>-85.5</v>
      </c>
      <c r="BI145" s="8">
        <v>-102.8</v>
      </c>
      <c r="BJ145" s="8">
        <v>-127.4</v>
      </c>
      <c r="BK145" s="8">
        <v>-67.2</v>
      </c>
      <c r="BL145" s="8">
        <v>-77.5</v>
      </c>
      <c r="BM145" s="8">
        <v>-73.90000000000001</v>
      </c>
      <c r="BN145" s="8">
        <v>-97.90000000000001</v>
      </c>
      <c r="BO145" s="8">
        <v>-99.90000000000001</v>
      </c>
      <c r="BP145" s="8">
        <v>-92.5</v>
      </c>
      <c r="BQ145" s="8">
        <v>-101.1</v>
      </c>
      <c r="BR145" s="8">
        <v>-120.5</v>
      </c>
      <c r="BS145" s="8">
        <v>-150.9</v>
      </c>
      <c r="BT145" s="8">
        <v>-174.1</v>
      </c>
      <c r="BU145" s="8">
        <v>-154.9</v>
      </c>
      <c r="BV145" s="8">
        <v>-106.5</v>
      </c>
      <c r="BW145" s="8">
        <v>-74.40000000000001</v>
      </c>
      <c r="BX145" s="8">
        <v>-83.90000000000001</v>
      </c>
      <c r="BY145" s="8">
        <v>-92.2</v>
      </c>
      <c r="BZ145" s="8">
        <v>-107.8</v>
      </c>
      <c r="CA145" s="8">
        <v>-131.1</v>
      </c>
      <c r="CB145" s="8">
        <v>-81.59999999999999</v>
      </c>
      <c r="CC145" s="8">
        <v>-99.09999999999999</v>
      </c>
      <c r="CD145" s="8">
        <v>-66.7</v>
      </c>
      <c r="CE145" s="8">
        <v>-4.9</v>
      </c>
      <c r="CF145" s="8">
        <v>18.8</v>
      </c>
      <c r="CG145" s="8">
        <v>100.6</v>
      </c>
      <c r="CH145" s="8">
        <v>9</v>
      </c>
      <c r="CI145" s="8">
        <v>-51.3</v>
      </c>
      <c r="CJ145" s="8">
        <v>-27</v>
      </c>
      <c r="CK145" s="8">
        <v>-5</v>
      </c>
      <c r="CL145" s="8">
        <v>47.7</v>
      </c>
      <c r="CM145" s="8">
        <v>-29.9</v>
      </c>
      <c r="CN145" s="8">
        <v>-27</v>
      </c>
      <c r="CO145" s="8">
        <v>0.8</v>
      </c>
      <c r="CP145" s="8">
        <v>0.9</v>
      </c>
      <c r="CQ145" s="8">
        <v>0.7</v>
      </c>
      <c r="CR145" s="8">
        <v>10.9</v>
      </c>
      <c r="CS145" s="8">
        <v>-0.1</v>
      </c>
      <c r="CT145" s="8">
        <v>8.699999999999999</v>
      </c>
      <c r="CU145" s="8">
        <v>9.800000000000001</v>
      </c>
      <c r="CV145" s="8">
        <v>61.5</v>
      </c>
      <c r="CW145" s="8">
        <v>29.1</v>
      </c>
      <c r="CX145" s="8">
        <v>-8.199999999999999</v>
      </c>
      <c r="CY145" s="8">
        <v>64.8</v>
      </c>
      <c r="CZ145" s="8">
        <v>62.1</v>
      </c>
      <c r="DA145" s="8">
        <v>12.4</v>
      </c>
      <c r="DB145" s="8">
        <v>-9.699999999999999</v>
      </c>
      <c r="DC145" s="8">
        <v>0.9</v>
      </c>
      <c r="DD145" s="8">
        <v>-18.9</v>
      </c>
      <c r="DE145" s="8">
        <v>22.4</v>
      </c>
      <c r="DF145" s="8">
        <v>6.6</v>
      </c>
      <c r="DG145" s="8">
        <v>60.9</v>
      </c>
      <c r="DH145" s="8">
        <v>17.7</v>
      </c>
      <c r="DI145" s="8">
        <v>-27.2</v>
      </c>
      <c r="DJ145" s="8">
        <v>-69.09999999999999</v>
      </c>
      <c r="DK145" s="8">
        <v>-61</v>
      </c>
      <c r="DL145" s="8">
        <v>-84.3</v>
      </c>
      <c r="DM145" s="8">
        <v>-93.09999999999999</v>
      </c>
      <c r="DN145" s="8">
        <v>-82.8</v>
      </c>
      <c r="DO145" s="8">
        <v>-96.59999999999999</v>
      </c>
      <c r="DP145" s="8">
        <v>-151.4</v>
      </c>
      <c r="DQ145" s="8">
        <v>-213.3</v>
      </c>
      <c r="DR145" s="8">
        <v>-177.5</v>
      </c>
      <c r="DS145" s="8">
        <v>-12.3</v>
      </c>
      <c r="DT145" s="8">
        <v>-9.699999999999999</v>
      </c>
      <c r="DU145" s="8">
        <v>-72.2</v>
      </c>
      <c r="DV145" s="8">
        <v>-27.7</v>
      </c>
      <c r="DW145" s="8">
        <v>-84.59999999999999</v>
      </c>
      <c r="DX145" s="8">
        <v>-98.09999999999999</v>
      </c>
      <c r="DY145" s="8">
        <v>-81.3</v>
      </c>
      <c r="DZ145" s="8">
        <v>-122.1</v>
      </c>
      <c r="EA145" s="8">
        <v>-63.7</v>
      </c>
      <c r="EB145" s="8">
        <v>-105.3</v>
      </c>
      <c r="EC145" s="8">
        <v>-73.90000000000001</v>
      </c>
      <c r="ED145" s="8">
        <v>-48.6</v>
      </c>
      <c r="EE145" s="8">
        <v>-25.2</v>
      </c>
      <c r="EF145" s="8">
        <v>-46.5</v>
      </c>
      <c r="EG145" s="8">
        <v>-73</v>
      </c>
      <c r="EH145" s="8">
        <v>-214.4</v>
      </c>
      <c r="EI145" s="8">
        <v>-273.1</v>
      </c>
      <c r="EJ145" s="8">
        <v>-217.1</v>
      </c>
      <c r="EK145" s="8">
        <v>-181</v>
      </c>
      <c r="EL145" s="8">
        <v>-206</v>
      </c>
      <c r="EM145" s="8">
        <v>-298</v>
      </c>
      <c r="EN145" s="8">
        <v>-331.4</v>
      </c>
      <c r="EO145" s="8">
        <v>-271</v>
      </c>
      <c r="EP145" s="8">
        <v>-259.1</v>
      </c>
      <c r="EQ145" s="8">
        <v>-261.7</v>
      </c>
      <c r="ER145" s="8">
        <v>-239.2</v>
      </c>
      <c r="ES145" s="8">
        <v>-185.8</v>
      </c>
      <c r="ET145" s="8">
        <v>-154.3</v>
      </c>
      <c r="EU145" s="8">
        <v>-88.5</v>
      </c>
    </row>
    <row r="146" spans="1:152">
      <c r="A146" s="7">
        <v>36.775</v>
      </c>
      <c r="L146" s="8">
        <v>-147.4</v>
      </c>
      <c r="M146" s="8">
        <v>-158.8</v>
      </c>
      <c r="N146" s="8">
        <v>-81.90000000000001</v>
      </c>
      <c r="O146" s="8">
        <v>-102.8</v>
      </c>
      <c r="P146" s="8">
        <v>-114.9</v>
      </c>
      <c r="Q146" s="8">
        <v>-106.8</v>
      </c>
      <c r="R146" s="8">
        <v>-102.2</v>
      </c>
      <c r="S146" s="8">
        <v>-77.90000000000001</v>
      </c>
      <c r="T146" s="8">
        <v>-98.5</v>
      </c>
      <c r="U146" s="8">
        <v>-120.1</v>
      </c>
      <c r="V146" s="8">
        <v>-158.6</v>
      </c>
      <c r="W146" s="8">
        <v>-103.8</v>
      </c>
      <c r="X146" s="8">
        <v>-165.9</v>
      </c>
      <c r="Y146" s="8">
        <v>-161.5</v>
      </c>
      <c r="Z146" s="8">
        <v>-196.1</v>
      </c>
      <c r="AA146" s="8">
        <v>-136.4</v>
      </c>
      <c r="AB146" s="8">
        <v>66.8</v>
      </c>
      <c r="AC146" s="8">
        <v>-268.6</v>
      </c>
      <c r="AD146" s="8">
        <v>-140.1</v>
      </c>
      <c r="AE146" s="8">
        <v>-41.6</v>
      </c>
      <c r="AF146" s="8">
        <v>-17.9</v>
      </c>
      <c r="AG146" s="8">
        <v>-6.1</v>
      </c>
      <c r="AH146" s="8">
        <v>-38.2</v>
      </c>
      <c r="AI146" s="8">
        <v>-76.09999999999999</v>
      </c>
      <c r="AJ146" s="8">
        <v>-82</v>
      </c>
      <c r="AK146" s="8">
        <v>-75.09999999999999</v>
      </c>
      <c r="AL146" s="8">
        <v>-23.9</v>
      </c>
      <c r="AM146" s="8">
        <v>48.5</v>
      </c>
      <c r="AN146" s="8">
        <v>47.6</v>
      </c>
      <c r="AO146" s="8">
        <v>64.40000000000001</v>
      </c>
      <c r="AP146" s="8">
        <v>93</v>
      </c>
      <c r="AQ146" s="8">
        <v>16.3</v>
      </c>
      <c r="AR146" s="8">
        <v>-41.7</v>
      </c>
      <c r="AS146" s="8">
        <v>-49.7</v>
      </c>
      <c r="AT146" s="8">
        <v>-54.1</v>
      </c>
      <c r="AU146" s="8">
        <v>-57.1</v>
      </c>
      <c r="AV146" s="8">
        <v>-44.9</v>
      </c>
      <c r="AW146" s="8">
        <v>-52.5</v>
      </c>
      <c r="AX146" s="8">
        <v>-39.7</v>
      </c>
      <c r="AY146" s="8">
        <v>-19.8</v>
      </c>
      <c r="AZ146" s="8">
        <v>-87.8</v>
      </c>
      <c r="BA146" s="8">
        <v>-81.3</v>
      </c>
      <c r="BB146" s="8">
        <v>-65.8</v>
      </c>
      <c r="BC146" s="8">
        <v>-54.7</v>
      </c>
      <c r="BD146" s="8">
        <v>-41.1</v>
      </c>
      <c r="BE146" s="8">
        <v>-48.9</v>
      </c>
      <c r="BF146" s="8">
        <v>-66.3</v>
      </c>
      <c r="BG146" s="8">
        <v>-67.40000000000001</v>
      </c>
      <c r="BH146" s="8">
        <v>-65.09999999999999</v>
      </c>
      <c r="BI146" s="8">
        <v>-72.3</v>
      </c>
      <c r="BJ146" s="8">
        <v>-33.6</v>
      </c>
      <c r="BK146" s="8">
        <v>-45.5</v>
      </c>
      <c r="BL146" s="8">
        <v>-54.1</v>
      </c>
      <c r="BM146" s="8">
        <v>-57</v>
      </c>
      <c r="BN146" s="8">
        <v>-70.8</v>
      </c>
      <c r="BO146" s="8">
        <v>-65.7</v>
      </c>
      <c r="BP146" s="8">
        <v>-40.5</v>
      </c>
      <c r="BQ146" s="8">
        <v>-75.7</v>
      </c>
      <c r="BR146" s="8">
        <v>-95.8</v>
      </c>
      <c r="BS146" s="8">
        <v>-104.5</v>
      </c>
      <c r="BT146" s="8">
        <v>-128.9</v>
      </c>
      <c r="BU146" s="8">
        <v>-175.8</v>
      </c>
      <c r="BV146" s="8">
        <v>-173.9</v>
      </c>
      <c r="BW146" s="8">
        <v>-125.3</v>
      </c>
      <c r="BX146" s="8">
        <v>-109.8</v>
      </c>
      <c r="BY146" s="8">
        <v>-96.90000000000001</v>
      </c>
      <c r="BZ146" s="8">
        <v>-124.2</v>
      </c>
      <c r="CA146" s="8">
        <v>-137.3</v>
      </c>
      <c r="CB146" s="8">
        <v>-126.6</v>
      </c>
      <c r="CC146" s="8">
        <v>-79.09999999999999</v>
      </c>
      <c r="CD146" s="8">
        <v>-40.7</v>
      </c>
      <c r="CE146" s="8">
        <v>88.09999999999999</v>
      </c>
      <c r="CF146" s="8">
        <v>183.9</v>
      </c>
      <c r="CG146" s="8">
        <v>235.9</v>
      </c>
      <c r="CH146" s="8">
        <v>215.7</v>
      </c>
      <c r="CI146" s="8">
        <v>3.5</v>
      </c>
      <c r="CJ146" s="8">
        <v>-53.1</v>
      </c>
      <c r="CK146" s="8">
        <v>-74.90000000000001</v>
      </c>
      <c r="CL146" s="8">
        <v>-61.8</v>
      </c>
      <c r="CM146" s="8">
        <v>-59</v>
      </c>
      <c r="CN146" s="8">
        <v>-2.2</v>
      </c>
      <c r="CO146" s="8">
        <v>-15.3</v>
      </c>
      <c r="CP146" s="8">
        <v>-17.8</v>
      </c>
      <c r="CQ146" s="8">
        <v>-6.9</v>
      </c>
      <c r="CR146" s="8">
        <v>6.8</v>
      </c>
      <c r="CS146" s="8">
        <v>-7.3</v>
      </c>
      <c r="CT146" s="8">
        <v>-8.9</v>
      </c>
      <c r="CU146" s="8">
        <v>-16.6</v>
      </c>
      <c r="CV146" s="8">
        <v>-28.7</v>
      </c>
      <c r="CW146" s="8">
        <v>2.5</v>
      </c>
      <c r="CX146" s="8">
        <v>17.2</v>
      </c>
      <c r="CY146" s="8">
        <v>-25.3</v>
      </c>
      <c r="CZ146" s="8">
        <v>-32.5</v>
      </c>
      <c r="DA146" s="8">
        <v>-19.3</v>
      </c>
      <c r="DB146" s="8">
        <v>-19.8</v>
      </c>
      <c r="DC146" s="8">
        <v>-20.1</v>
      </c>
      <c r="DD146" s="8">
        <v>-13.5</v>
      </c>
      <c r="DE146" s="8">
        <v>-0.7</v>
      </c>
      <c r="DF146" s="8">
        <v>3</v>
      </c>
      <c r="DG146" s="8">
        <v>11</v>
      </c>
      <c r="DH146" s="8">
        <v>-8.699999999999999</v>
      </c>
      <c r="DI146" s="8">
        <v>-48.9</v>
      </c>
      <c r="DJ146" s="8">
        <v>-76</v>
      </c>
      <c r="DK146" s="8">
        <v>-86.90000000000001</v>
      </c>
      <c r="DL146" s="8">
        <v>-87.5</v>
      </c>
      <c r="DM146" s="8">
        <v>-100.5</v>
      </c>
      <c r="DN146" s="8">
        <v>-115.5</v>
      </c>
      <c r="DO146" s="8">
        <v>-127.5</v>
      </c>
      <c r="DP146" s="8">
        <v>-146</v>
      </c>
      <c r="DQ146" s="8">
        <v>-169.1</v>
      </c>
      <c r="DR146" s="8">
        <v>-193</v>
      </c>
      <c r="DS146" s="8">
        <v>-118.1</v>
      </c>
      <c r="DT146" s="8">
        <v>-26.2</v>
      </c>
      <c r="DU146" s="8">
        <v>-51.5</v>
      </c>
      <c r="DV146" s="8">
        <v>-52</v>
      </c>
      <c r="DW146" s="8">
        <v>-53.3</v>
      </c>
      <c r="DX146" s="8">
        <v>-77.59999999999999</v>
      </c>
      <c r="DY146" s="8">
        <v>-87</v>
      </c>
      <c r="DZ146" s="8">
        <v>-97.2</v>
      </c>
      <c r="EA146" s="8">
        <v>-84</v>
      </c>
      <c r="EB146" s="8">
        <v>-118.1</v>
      </c>
      <c r="EC146" s="8">
        <v>-76.2</v>
      </c>
      <c r="ED146" s="8">
        <v>-64.8</v>
      </c>
      <c r="EE146" s="8">
        <v>97.8</v>
      </c>
      <c r="EF146" s="8">
        <v>-21</v>
      </c>
      <c r="EG146" s="8">
        <v>-27.7</v>
      </c>
      <c r="EH146" s="8">
        <v>-38.1</v>
      </c>
      <c r="EI146" s="8">
        <v>-57.5</v>
      </c>
      <c r="EJ146" s="8">
        <v>-102.6</v>
      </c>
      <c r="EK146" s="8">
        <v>-171.3</v>
      </c>
      <c r="EL146" s="8">
        <v>-146.9</v>
      </c>
      <c r="EM146" s="8">
        <v>-221.1</v>
      </c>
      <c r="EN146" s="8">
        <v>-230.2</v>
      </c>
      <c r="EO146" s="8">
        <v>-239.2</v>
      </c>
      <c r="EP146" s="8">
        <v>-237.7</v>
      </c>
      <c r="EQ146" s="8">
        <v>-181.3</v>
      </c>
      <c r="ER146" s="8">
        <v>-138.1</v>
      </c>
      <c r="ES146" s="8">
        <v>-123.2</v>
      </c>
      <c r="ET146" s="8">
        <v>-119.4</v>
      </c>
      <c r="EU146" s="8">
        <v>-80.5</v>
      </c>
    </row>
    <row r="147" spans="1:152">
      <c r="A147" s="7">
        <v>36.8</v>
      </c>
      <c r="L147" s="8">
        <v>-152.9</v>
      </c>
      <c r="M147" s="8">
        <v>-126.6</v>
      </c>
      <c r="N147" s="8">
        <v>-105.2</v>
      </c>
      <c r="O147" s="8">
        <v>-117.4</v>
      </c>
      <c r="P147" s="8">
        <v>-112.3</v>
      </c>
      <c r="Q147" s="8">
        <v>-66.40000000000001</v>
      </c>
      <c r="R147" s="8">
        <v>-30.5</v>
      </c>
      <c r="S147" s="8">
        <v>17.3</v>
      </c>
      <c r="T147" s="8">
        <v>-3.1</v>
      </c>
      <c r="U147" s="8">
        <v>-32.6</v>
      </c>
      <c r="V147" s="8">
        <v>-81.90000000000001</v>
      </c>
      <c r="W147" s="8">
        <v>-93.09999999999999</v>
      </c>
      <c r="X147" s="8">
        <v>-117.9</v>
      </c>
      <c r="Y147" s="8">
        <v>-116.9</v>
      </c>
      <c r="Z147" s="8">
        <v>-134.2</v>
      </c>
      <c r="AA147" s="8">
        <v>-119.8</v>
      </c>
      <c r="AB147" s="8">
        <v>-106.1</v>
      </c>
      <c r="AC147" s="8">
        <v>-200.6</v>
      </c>
      <c r="AD147" s="8">
        <v>-195.1</v>
      </c>
      <c r="AE147" s="8">
        <v>-153</v>
      </c>
      <c r="AF147" s="8">
        <v>-3.9</v>
      </c>
      <c r="AG147" s="8">
        <v>16</v>
      </c>
      <c r="AH147" s="8">
        <v>-17.5</v>
      </c>
      <c r="AI147" s="8">
        <v>-48.8</v>
      </c>
      <c r="AJ147" s="8">
        <v>-65.09999999999999</v>
      </c>
      <c r="AK147" s="8">
        <v>-49.4</v>
      </c>
      <c r="AL147" s="8">
        <v>-15.1</v>
      </c>
      <c r="AM147" s="8">
        <v>5.9</v>
      </c>
      <c r="AN147" s="8">
        <v>-74.09999999999999</v>
      </c>
      <c r="AO147" s="8">
        <v>-87.90000000000001</v>
      </c>
      <c r="AP147" s="8">
        <v>-140.9</v>
      </c>
      <c r="AQ147" s="8">
        <v>-0.5</v>
      </c>
      <c r="AR147" s="8">
        <v>-23.3</v>
      </c>
      <c r="AS147" s="8">
        <v>-30.6</v>
      </c>
      <c r="AT147" s="8">
        <v>-27.3</v>
      </c>
      <c r="AU147" s="8">
        <v>-27.6</v>
      </c>
      <c r="AV147" s="8">
        <v>-30.9</v>
      </c>
      <c r="AW147" s="8">
        <v>-43.3</v>
      </c>
      <c r="AX147" s="8">
        <v>-60.1</v>
      </c>
      <c r="AY147" s="8">
        <v>-40.3</v>
      </c>
      <c r="AZ147" s="8">
        <v>-4.2</v>
      </c>
      <c r="BA147" s="8">
        <v>-40.7</v>
      </c>
      <c r="BB147" s="8">
        <v>-26.6</v>
      </c>
      <c r="BC147" s="8">
        <v>-46.7</v>
      </c>
      <c r="BD147" s="8">
        <v>-53.4</v>
      </c>
      <c r="BE147" s="8">
        <v>-46.5</v>
      </c>
      <c r="BF147" s="8">
        <v>-35.6</v>
      </c>
      <c r="BG147" s="8">
        <v>-54.2</v>
      </c>
      <c r="BH147" s="8">
        <v>-48.8</v>
      </c>
      <c r="BI147" s="8">
        <v>-58</v>
      </c>
      <c r="BJ147" s="8">
        <v>-26.5</v>
      </c>
      <c r="BK147" s="8">
        <v>-20</v>
      </c>
      <c r="BL147" s="8">
        <v>-39.1</v>
      </c>
      <c r="BM147" s="8">
        <v>-35.8</v>
      </c>
      <c r="BN147" s="8">
        <v>-61.7</v>
      </c>
      <c r="BO147" s="8">
        <v>-63.4</v>
      </c>
      <c r="BP147" s="8">
        <v>-62.2</v>
      </c>
      <c r="BQ147" s="8">
        <v>-77.3</v>
      </c>
      <c r="BR147" s="8">
        <v>-82.59999999999999</v>
      </c>
      <c r="BS147" s="8">
        <v>-92.09999999999999</v>
      </c>
      <c r="BT147" s="8">
        <v>-90.5</v>
      </c>
      <c r="BU147" s="8">
        <v>-136.6</v>
      </c>
      <c r="BV147" s="8">
        <v>-144.4</v>
      </c>
      <c r="BW147" s="8">
        <v>-155.2</v>
      </c>
      <c r="BX147" s="8">
        <v>-123.6</v>
      </c>
      <c r="BY147" s="8">
        <v>-97.8</v>
      </c>
      <c r="BZ147" s="8">
        <v>-104.5</v>
      </c>
      <c r="CA147" s="8">
        <v>-120.3</v>
      </c>
      <c r="CB147" s="8">
        <v>-115.9</v>
      </c>
      <c r="CC147" s="8">
        <v>-132</v>
      </c>
      <c r="CD147" s="8">
        <v>-158</v>
      </c>
      <c r="CE147" s="8">
        <v>156.2</v>
      </c>
      <c r="CF147" s="8">
        <v>231.1</v>
      </c>
      <c r="CG147" s="8">
        <v>137.8</v>
      </c>
      <c r="CH147" s="8">
        <v>1137.8</v>
      </c>
      <c r="CI147" s="8">
        <v>139.9</v>
      </c>
      <c r="CJ147" s="8">
        <v>-13.2</v>
      </c>
      <c r="CK147" s="8">
        <v>-8.199999999999999</v>
      </c>
      <c r="CL147" s="8">
        <v>-34.2</v>
      </c>
      <c r="CM147" s="8">
        <v>-38.2</v>
      </c>
      <c r="CN147" s="8">
        <v>-27.4</v>
      </c>
      <c r="CO147" s="8">
        <v>-27.1</v>
      </c>
      <c r="CP147" s="8">
        <v>-13.4</v>
      </c>
      <c r="CQ147" s="8">
        <v>-22.3</v>
      </c>
      <c r="CR147" s="8">
        <v>8.4</v>
      </c>
      <c r="CS147" s="8">
        <v>-2.2</v>
      </c>
      <c r="CT147" s="8">
        <v>-15.5</v>
      </c>
      <c r="CU147" s="8">
        <v>-16.7</v>
      </c>
      <c r="CV147" s="8">
        <v>-4</v>
      </c>
      <c r="CW147" s="8">
        <v>-0.6</v>
      </c>
      <c r="CX147" s="8">
        <v>4.8</v>
      </c>
      <c r="CY147" s="8">
        <v>-19.6</v>
      </c>
      <c r="CZ147" s="8">
        <v>-20.8</v>
      </c>
      <c r="DA147" s="8">
        <v>-24.4</v>
      </c>
      <c r="DB147" s="8">
        <v>-18.2</v>
      </c>
      <c r="DC147" s="8">
        <v>-27.1</v>
      </c>
      <c r="DD147" s="8">
        <v>-9.800000000000001</v>
      </c>
      <c r="DE147" s="8">
        <v>-16.7</v>
      </c>
      <c r="DF147" s="8">
        <v>-6</v>
      </c>
      <c r="DG147" s="8">
        <v>9.4</v>
      </c>
      <c r="DH147" s="8">
        <v>-4.3</v>
      </c>
      <c r="DI147" s="8">
        <v>-34.8</v>
      </c>
      <c r="DJ147" s="8">
        <v>-62.9</v>
      </c>
      <c r="DK147" s="8">
        <v>-75.8</v>
      </c>
      <c r="DL147" s="8">
        <v>-88.09999999999999</v>
      </c>
      <c r="DM147" s="8">
        <v>-89.8</v>
      </c>
      <c r="DN147" s="8">
        <v>-106</v>
      </c>
      <c r="DO147" s="8">
        <v>-112.6</v>
      </c>
      <c r="DP147" s="8">
        <v>-121</v>
      </c>
      <c r="DQ147" s="8">
        <v>-131.2</v>
      </c>
      <c r="DR147" s="8">
        <v>-96.59999999999999</v>
      </c>
      <c r="DS147" s="8">
        <v>-100.5</v>
      </c>
      <c r="DT147" s="8">
        <v>-94.09999999999999</v>
      </c>
      <c r="DU147" s="8">
        <v>14</v>
      </c>
      <c r="DV147" s="8">
        <v>-10.1</v>
      </c>
      <c r="DW147" s="8">
        <v>-35.6</v>
      </c>
      <c r="DX147" s="8">
        <v>-50.4</v>
      </c>
      <c r="DY147" s="8">
        <v>-41.3</v>
      </c>
      <c r="DZ147" s="8">
        <v>-47.4</v>
      </c>
      <c r="EA147" s="8">
        <v>-38</v>
      </c>
      <c r="EB147" s="8">
        <v>-61.3</v>
      </c>
      <c r="EC147" s="8">
        <v>-43.6</v>
      </c>
      <c r="ED147" s="8">
        <v>-6.3</v>
      </c>
      <c r="EE147" s="8">
        <v>-11.4</v>
      </c>
      <c r="EF147" s="8">
        <v>-31.2</v>
      </c>
      <c r="EG147" s="8">
        <v>-10.8</v>
      </c>
      <c r="EH147" s="8">
        <v>-23.8</v>
      </c>
      <c r="EI147" s="8">
        <v>-40.6</v>
      </c>
      <c r="EJ147" s="8">
        <v>-80</v>
      </c>
      <c r="EK147" s="8">
        <v>-132.6</v>
      </c>
      <c r="EL147" s="8">
        <v>-179.1</v>
      </c>
      <c r="EM147" s="8">
        <v>-191.1</v>
      </c>
      <c r="EN147" s="8">
        <v>-191.1</v>
      </c>
      <c r="EO147" s="8">
        <v>-177.3</v>
      </c>
      <c r="EP147" s="8">
        <v>-160.7</v>
      </c>
      <c r="EQ147" s="8">
        <v>-132.3</v>
      </c>
      <c r="ER147" s="8">
        <v>-119.1</v>
      </c>
      <c r="ES147" s="8">
        <v>-129.8</v>
      </c>
      <c r="ET147" s="8">
        <v>-128.3</v>
      </c>
    </row>
    <row r="148" spans="1:152">
      <c r="A148" s="7">
        <v>36.825</v>
      </c>
      <c r="L148" s="8">
        <v>-125.1</v>
      </c>
      <c r="M148" s="8">
        <v>-123.9</v>
      </c>
      <c r="N148" s="8">
        <v>-98.3</v>
      </c>
      <c r="O148" s="8">
        <v>-38.8</v>
      </c>
      <c r="P148" s="8">
        <v>-116.4</v>
      </c>
      <c r="Q148" s="8">
        <v>-85</v>
      </c>
      <c r="R148" s="8">
        <v>-155.4</v>
      </c>
      <c r="S148" s="8">
        <v>-129.7</v>
      </c>
      <c r="T148" s="8">
        <v>-130.2</v>
      </c>
      <c r="U148" s="8">
        <v>-95.5</v>
      </c>
      <c r="V148" s="8">
        <v>-68.40000000000001</v>
      </c>
      <c r="W148" s="8">
        <v>-100.6</v>
      </c>
      <c r="X148" s="8">
        <v>-103.8</v>
      </c>
      <c r="Y148" s="8">
        <v>-122.7</v>
      </c>
      <c r="Z148" s="8">
        <v>-94.59999999999999</v>
      </c>
      <c r="AA148" s="8">
        <v>-151</v>
      </c>
      <c r="AB148" s="8">
        <v>-154.8</v>
      </c>
      <c r="AC148" s="8">
        <v>-146.3</v>
      </c>
      <c r="AD148" s="8">
        <v>-166.3</v>
      </c>
      <c r="AE148" s="8">
        <v>-176</v>
      </c>
      <c r="AF148" s="8">
        <v>-218.1</v>
      </c>
      <c r="AG148" s="8">
        <v>61</v>
      </c>
      <c r="AH148" s="8">
        <v>-5.9</v>
      </c>
      <c r="AI148" s="8">
        <v>-55.6</v>
      </c>
      <c r="AJ148" s="8">
        <v>-72.2</v>
      </c>
      <c r="AK148" s="8">
        <v>-91.5</v>
      </c>
      <c r="AL148" s="8">
        <v>-27.7</v>
      </c>
      <c r="AM148" s="8">
        <v>100.8</v>
      </c>
      <c r="AN148" s="8">
        <v>34.6</v>
      </c>
      <c r="AO148" s="8">
        <v>-52.6</v>
      </c>
      <c r="AP148" s="8">
        <v>-94.3</v>
      </c>
      <c r="AQ148" s="8">
        <v>-11</v>
      </c>
      <c r="AR148" s="8">
        <v>23.2</v>
      </c>
      <c r="AS148" s="8">
        <v>10.7</v>
      </c>
      <c r="AT148" s="8">
        <v>-14</v>
      </c>
      <c r="AU148" s="8">
        <v>-29.2</v>
      </c>
      <c r="AV148" s="8">
        <v>-40.9</v>
      </c>
      <c r="AW148" s="8">
        <v>-42.8</v>
      </c>
      <c r="AX148" s="8">
        <v>-47.8</v>
      </c>
      <c r="AY148" s="8">
        <v>-44.4</v>
      </c>
      <c r="AZ148" s="8">
        <v>-50</v>
      </c>
      <c r="BA148" s="8">
        <v>-36.5</v>
      </c>
      <c r="BB148" s="8">
        <v>-37.7</v>
      </c>
      <c r="BC148" s="8">
        <v>-38.3</v>
      </c>
      <c r="BD148" s="8">
        <v>-36.2</v>
      </c>
      <c r="BE148" s="8">
        <v>-47.5</v>
      </c>
      <c r="BF148" s="8">
        <v>-41.7</v>
      </c>
      <c r="BG148" s="8">
        <v>-47.6</v>
      </c>
      <c r="BH148" s="8">
        <v>-46.3</v>
      </c>
      <c r="BI148" s="8">
        <v>-43.5</v>
      </c>
      <c r="BJ148" s="8">
        <v>-35.4</v>
      </c>
      <c r="BK148" s="8">
        <v>-21.6</v>
      </c>
      <c r="BL148" s="8">
        <v>-30</v>
      </c>
      <c r="BM148" s="8">
        <v>-35.5</v>
      </c>
      <c r="BN148" s="8">
        <v>-51.4</v>
      </c>
      <c r="BO148" s="8">
        <v>-51.8</v>
      </c>
      <c r="BP148" s="8">
        <v>-69.3</v>
      </c>
      <c r="BQ148" s="8">
        <v>-25</v>
      </c>
      <c r="BR148" s="8">
        <v>-57.6</v>
      </c>
      <c r="BS148" s="8">
        <v>-91.2</v>
      </c>
      <c r="BT148" s="8">
        <v>-105.4</v>
      </c>
      <c r="BU148" s="8">
        <v>-125.5</v>
      </c>
      <c r="BV148" s="8">
        <v>-131.1</v>
      </c>
      <c r="BW148" s="8">
        <v>-138.2</v>
      </c>
      <c r="BX148" s="8">
        <v>-145.7</v>
      </c>
      <c r="BY148" s="8">
        <v>-113.2</v>
      </c>
      <c r="BZ148" s="8">
        <v>-95.90000000000001</v>
      </c>
      <c r="CA148" s="8">
        <v>-107.6</v>
      </c>
      <c r="CB148" s="8">
        <v>-114.8</v>
      </c>
      <c r="CC148" s="8">
        <v>-134.2</v>
      </c>
      <c r="CD148" s="8">
        <v>64.5</v>
      </c>
      <c r="CE148" s="8">
        <v>-101</v>
      </c>
      <c r="CF148" s="8">
        <v>-165.2</v>
      </c>
      <c r="CG148" s="8">
        <v>-333.6</v>
      </c>
      <c r="CH148" s="8">
        <v>-720.3</v>
      </c>
      <c r="CI148" s="8">
        <v>-523.5</v>
      </c>
      <c r="CJ148" s="8">
        <v>67.59999999999999</v>
      </c>
      <c r="CK148" s="8">
        <v>62.9</v>
      </c>
      <c r="CL148" s="8">
        <v>0</v>
      </c>
      <c r="CM148" s="8">
        <v>-0.8</v>
      </c>
      <c r="CN148" s="8">
        <v>-24.9</v>
      </c>
      <c r="CO148" s="8">
        <v>-45.5</v>
      </c>
      <c r="CP148" s="8">
        <v>-42.8</v>
      </c>
      <c r="CQ148" s="8">
        <v>-19.8</v>
      </c>
      <c r="CR148" s="8">
        <v>-29.8</v>
      </c>
      <c r="CS148" s="8">
        <v>-11</v>
      </c>
      <c r="CT148" s="8">
        <v>38.2</v>
      </c>
      <c r="CU148" s="8">
        <v>-17.5</v>
      </c>
      <c r="CV148" s="8">
        <v>-10.6</v>
      </c>
      <c r="CW148" s="8">
        <v>-3.9</v>
      </c>
      <c r="CX148" s="8">
        <v>-19.9</v>
      </c>
      <c r="CY148" s="8">
        <v>-29.2</v>
      </c>
      <c r="CZ148" s="8">
        <v>-30.3</v>
      </c>
      <c r="DA148" s="8">
        <v>-27.9</v>
      </c>
      <c r="DB148" s="8">
        <v>-23.7</v>
      </c>
      <c r="DC148" s="8">
        <v>-42.5</v>
      </c>
      <c r="DD148" s="8">
        <v>-60.1</v>
      </c>
      <c r="DE148" s="8">
        <v>-31</v>
      </c>
      <c r="DF148" s="8">
        <v>-21.6</v>
      </c>
      <c r="DG148" s="8">
        <v>-21.4</v>
      </c>
      <c r="DH148" s="8">
        <v>-21.5</v>
      </c>
      <c r="DI148" s="8">
        <v>-37.8</v>
      </c>
      <c r="DJ148" s="8">
        <v>-57.3</v>
      </c>
      <c r="DK148" s="8">
        <v>-66.90000000000001</v>
      </c>
      <c r="DL148" s="8">
        <v>-82</v>
      </c>
      <c r="DM148" s="8">
        <v>-95.09999999999999</v>
      </c>
      <c r="DN148" s="8">
        <v>-96.59999999999999</v>
      </c>
      <c r="DO148" s="8">
        <v>-99.8</v>
      </c>
      <c r="DP148" s="8">
        <v>-104.6</v>
      </c>
      <c r="DQ148" s="8">
        <v>-111.9</v>
      </c>
      <c r="DR148" s="8">
        <v>-72.8</v>
      </c>
      <c r="DS148" s="8">
        <v>-72.8</v>
      </c>
      <c r="DT148" s="8">
        <v>-67.5</v>
      </c>
      <c r="DU148" s="8">
        <v>-68.2</v>
      </c>
      <c r="DV148" s="8">
        <v>-38</v>
      </c>
      <c r="DW148" s="8">
        <v>-21.5</v>
      </c>
      <c r="DX148" s="8">
        <v>-30.4</v>
      </c>
      <c r="DY148" s="8">
        <v>-37.8</v>
      </c>
      <c r="DZ148" s="8">
        <v>-25.7</v>
      </c>
      <c r="EA148" s="8">
        <v>-40.4</v>
      </c>
      <c r="EB148" s="8">
        <v>-54.4</v>
      </c>
      <c r="EC148" s="8">
        <v>-102.5</v>
      </c>
      <c r="ED148" s="8">
        <v>-68.8</v>
      </c>
      <c r="EE148" s="8">
        <v>-61.5</v>
      </c>
      <c r="EF148" s="8">
        <v>-69</v>
      </c>
      <c r="EG148" s="8">
        <v>-66.59999999999999</v>
      </c>
      <c r="EH148" s="8">
        <v>-77.09999999999999</v>
      </c>
      <c r="EI148" s="8">
        <v>-87.8</v>
      </c>
      <c r="EJ148" s="8">
        <v>-122.2</v>
      </c>
      <c r="EK148" s="8">
        <v>-145.5</v>
      </c>
      <c r="EL148" s="8">
        <v>-155.2</v>
      </c>
      <c r="EM148" s="8">
        <v>-153.8</v>
      </c>
      <c r="EN148" s="8">
        <v>-130.5</v>
      </c>
      <c r="EO148" s="8">
        <v>-96.3</v>
      </c>
      <c r="EP148" s="8">
        <v>-115</v>
      </c>
      <c r="EQ148" s="8">
        <v>-85.2</v>
      </c>
      <c r="ER148" s="8">
        <v>-104.5</v>
      </c>
      <c r="ES148" s="8">
        <v>-115.7</v>
      </c>
      <c r="ET148" s="8">
        <v>-121.3</v>
      </c>
    </row>
    <row r="149" spans="1:152">
      <c r="A149" s="7">
        <v>36.85</v>
      </c>
      <c r="L149" s="8">
        <v>-112.2</v>
      </c>
      <c r="M149" s="8">
        <v>-81.40000000000001</v>
      </c>
      <c r="N149" s="8">
        <v>-114.3</v>
      </c>
      <c r="O149" s="8">
        <v>-130.4</v>
      </c>
      <c r="P149" s="8">
        <v>44.2</v>
      </c>
      <c r="Q149" s="8">
        <v>-163.5</v>
      </c>
      <c r="R149" s="8">
        <v>-59.2</v>
      </c>
      <c r="S149" s="8">
        <v>-86.59999999999999</v>
      </c>
      <c r="T149" s="8">
        <v>-84.7</v>
      </c>
      <c r="U149" s="8">
        <v>-69.2</v>
      </c>
      <c r="V149" s="8">
        <v>-56.5</v>
      </c>
      <c r="W149" s="8">
        <v>-12.3</v>
      </c>
      <c r="X149" s="8">
        <v>-85.3</v>
      </c>
      <c r="Y149" s="8">
        <v>-108.3</v>
      </c>
      <c r="Z149" s="8">
        <v>-89.2</v>
      </c>
      <c r="AA149" s="8">
        <v>-79.7</v>
      </c>
      <c r="AB149" s="8">
        <v>-93.09999999999999</v>
      </c>
      <c r="AC149" s="8">
        <v>-103.3</v>
      </c>
      <c r="AD149" s="8">
        <v>-86.40000000000001</v>
      </c>
      <c r="AE149" s="8">
        <v>-134.1</v>
      </c>
      <c r="AF149" s="8">
        <v>-165.9</v>
      </c>
      <c r="AG149" s="8">
        <v>-110.7</v>
      </c>
      <c r="AH149" s="8">
        <v>-57.3</v>
      </c>
      <c r="AI149" s="8">
        <v>-74.09999999999999</v>
      </c>
      <c r="AJ149" s="8">
        <v>-87.7</v>
      </c>
      <c r="AK149" s="8">
        <v>-109.9</v>
      </c>
      <c r="AL149" s="8">
        <v>-136</v>
      </c>
      <c r="AM149" s="8">
        <v>-108.2</v>
      </c>
      <c r="AN149" s="8">
        <v>-70.3</v>
      </c>
      <c r="AO149" s="8">
        <v>-64.40000000000001</v>
      </c>
      <c r="AP149" s="8">
        <v>-164.5</v>
      </c>
      <c r="AQ149" s="8">
        <v>-24.2</v>
      </c>
      <c r="AR149" s="8">
        <v>-10.6</v>
      </c>
      <c r="AS149" s="8">
        <v>2.1</v>
      </c>
      <c r="AT149" s="8">
        <v>8.6</v>
      </c>
      <c r="AU149" s="8">
        <v>-14.4</v>
      </c>
      <c r="AV149" s="8">
        <v>-31.7</v>
      </c>
      <c r="AW149" s="8">
        <v>-38.2</v>
      </c>
      <c r="AX149" s="8">
        <v>-31.1</v>
      </c>
      <c r="AY149" s="8">
        <v>-35.3</v>
      </c>
      <c r="AZ149" s="8">
        <v>-35.1</v>
      </c>
      <c r="BA149" s="8">
        <v>-32.3</v>
      </c>
      <c r="BB149" s="8">
        <v>-28.3</v>
      </c>
      <c r="BC149" s="8">
        <v>-30.7</v>
      </c>
      <c r="BD149" s="8">
        <v>-35.8</v>
      </c>
      <c r="BE149" s="8">
        <v>-23.9</v>
      </c>
      <c r="BF149" s="8">
        <v>-40.3</v>
      </c>
      <c r="BG149" s="8">
        <v>-41.7</v>
      </c>
      <c r="BH149" s="8">
        <v>-41.8</v>
      </c>
      <c r="BI149" s="8">
        <v>-44.9</v>
      </c>
      <c r="BJ149" s="8">
        <v>-27</v>
      </c>
      <c r="BK149" s="8">
        <v>-23.3</v>
      </c>
      <c r="BL149" s="8">
        <v>-37.7</v>
      </c>
      <c r="BM149" s="8">
        <v>-33.8</v>
      </c>
      <c r="BN149" s="8">
        <v>-28.1</v>
      </c>
      <c r="BO149" s="8">
        <v>-33.3</v>
      </c>
      <c r="BP149" s="8">
        <v>-56.1</v>
      </c>
      <c r="BQ149" s="8">
        <v>-80</v>
      </c>
      <c r="BR149" s="8">
        <v>-90.09999999999999</v>
      </c>
      <c r="BS149" s="8">
        <v>-87.09999999999999</v>
      </c>
      <c r="BT149" s="8">
        <v>-112.6</v>
      </c>
      <c r="BU149" s="8">
        <v>-111.1</v>
      </c>
      <c r="BV149" s="8">
        <v>-104.6</v>
      </c>
      <c r="BW149" s="8">
        <v>-119.1</v>
      </c>
      <c r="BX149" s="8">
        <v>-125.7</v>
      </c>
      <c r="BY149" s="8">
        <v>-155.1</v>
      </c>
      <c r="BZ149" s="8">
        <v>-105.2</v>
      </c>
      <c r="CA149" s="8">
        <v>-69.5</v>
      </c>
      <c r="CB149" s="8">
        <v>-99.7</v>
      </c>
      <c r="CC149" s="8">
        <v>-91.2</v>
      </c>
      <c r="CD149" s="8">
        <v>-173.1</v>
      </c>
      <c r="CE149" s="8">
        <v>-133.5</v>
      </c>
      <c r="CF149" s="8">
        <v>-148</v>
      </c>
      <c r="CG149" s="8">
        <v>-136.8</v>
      </c>
      <c r="CH149" s="8">
        <v>-161</v>
      </c>
      <c r="CI149" s="8">
        <v>-150.2</v>
      </c>
      <c r="CJ149" s="8">
        <v>20.3</v>
      </c>
      <c r="CK149" s="8">
        <v>771.3</v>
      </c>
      <c r="CL149" s="8">
        <v>-20.2</v>
      </c>
      <c r="CM149" s="8">
        <v>1.3</v>
      </c>
      <c r="CN149" s="8">
        <v>-48.4</v>
      </c>
      <c r="CO149" s="8">
        <v>-13.7</v>
      </c>
      <c r="CP149" s="8">
        <v>-38.1</v>
      </c>
      <c r="CQ149" s="8">
        <v>-33.6</v>
      </c>
      <c r="CR149" s="8">
        <v>-34.4</v>
      </c>
      <c r="CS149" s="8">
        <v>-24.7</v>
      </c>
      <c r="CT149" s="8">
        <v>2.6</v>
      </c>
      <c r="CU149" s="8">
        <v>-11.9</v>
      </c>
      <c r="CV149" s="8">
        <v>-20.8</v>
      </c>
      <c r="CW149" s="8">
        <v>-26.3</v>
      </c>
      <c r="CX149" s="8">
        <v>-23.9</v>
      </c>
      <c r="CY149" s="8">
        <v>-22.5</v>
      </c>
      <c r="CZ149" s="8">
        <v>-25.7</v>
      </c>
      <c r="DA149" s="8">
        <v>-39.7</v>
      </c>
      <c r="DB149" s="8">
        <v>-41.8</v>
      </c>
      <c r="DC149" s="8">
        <v>-43.6</v>
      </c>
      <c r="DD149" s="8">
        <v>-43.2</v>
      </c>
      <c r="DE149" s="8">
        <v>-51.9</v>
      </c>
      <c r="DF149" s="8">
        <v>-25.3</v>
      </c>
      <c r="DG149" s="8">
        <v>-39</v>
      </c>
      <c r="DH149" s="8">
        <v>-20.7</v>
      </c>
      <c r="DI149" s="8">
        <v>-37.7</v>
      </c>
      <c r="DJ149" s="8">
        <v>-52.5</v>
      </c>
      <c r="DK149" s="8">
        <v>-63.7</v>
      </c>
      <c r="DL149" s="8">
        <v>-77.40000000000001</v>
      </c>
      <c r="DM149" s="8">
        <v>-86.09999999999999</v>
      </c>
      <c r="DN149" s="8">
        <v>-86.3</v>
      </c>
      <c r="DO149" s="8">
        <v>-97.8</v>
      </c>
      <c r="DP149" s="8">
        <v>-102.6</v>
      </c>
      <c r="DQ149" s="8">
        <v>-105.4</v>
      </c>
      <c r="DR149" s="8">
        <v>-103.4</v>
      </c>
      <c r="DS149" s="8">
        <v>-70.2</v>
      </c>
      <c r="DT149" s="8">
        <v>-67.8</v>
      </c>
      <c r="DU149" s="8">
        <v>-67.7</v>
      </c>
      <c r="DV149" s="8">
        <v>-63.7</v>
      </c>
      <c r="DW149" s="8">
        <v>-39.8</v>
      </c>
      <c r="DX149" s="8">
        <v>-16</v>
      </c>
      <c r="DY149" s="8">
        <v>-18.7</v>
      </c>
      <c r="DZ149" s="8">
        <v>-55.3</v>
      </c>
      <c r="EA149" s="8">
        <v>-70.3</v>
      </c>
      <c r="EB149" s="8">
        <v>-105.5</v>
      </c>
      <c r="EC149" s="8">
        <v>-127.1</v>
      </c>
      <c r="ED149" s="8">
        <v>-113.4</v>
      </c>
      <c r="EE149" s="8">
        <v>-50.1</v>
      </c>
      <c r="EF149" s="8">
        <v>88.90000000000001</v>
      </c>
      <c r="EG149" s="8">
        <v>-105.5</v>
      </c>
      <c r="EH149" s="8">
        <v>-5.9</v>
      </c>
      <c r="EI149" s="8">
        <v>-94.90000000000001</v>
      </c>
      <c r="EJ149" s="8">
        <v>-129.9</v>
      </c>
      <c r="EK149" s="8">
        <v>-127.8</v>
      </c>
      <c r="EL149" s="8">
        <v>-104.7</v>
      </c>
      <c r="EM149" s="8">
        <v>-98</v>
      </c>
      <c r="EN149" s="8">
        <v>-118.2</v>
      </c>
      <c r="EO149" s="8">
        <v>-94.90000000000001</v>
      </c>
      <c r="EP149" s="8">
        <v>-83.3</v>
      </c>
      <c r="EQ149" s="8">
        <v>-85.40000000000001</v>
      </c>
      <c r="ER149" s="8">
        <v>-85.3</v>
      </c>
      <c r="ES149" s="8">
        <v>-103.9</v>
      </c>
    </row>
    <row r="150" spans="1:152">
      <c r="A150" s="7">
        <v>36.875</v>
      </c>
      <c r="L150" s="8">
        <v>-178.3</v>
      </c>
      <c r="M150" s="8">
        <v>-71.59999999999999</v>
      </c>
      <c r="N150" s="8">
        <v>-72.2</v>
      </c>
      <c r="O150" s="8">
        <v>-26.5</v>
      </c>
      <c r="P150" s="8">
        <v>133.2</v>
      </c>
      <c r="Q150" s="8">
        <v>-78.7</v>
      </c>
      <c r="R150" s="8">
        <v>-38.3</v>
      </c>
      <c r="S150" s="8">
        <v>-48.7</v>
      </c>
      <c r="T150" s="8">
        <v>-58.5</v>
      </c>
      <c r="U150" s="8">
        <v>-36.4</v>
      </c>
      <c r="V150" s="8">
        <v>44.3</v>
      </c>
      <c r="W150" s="8">
        <v>-33.1</v>
      </c>
      <c r="X150" s="8">
        <v>-20.8</v>
      </c>
      <c r="Y150" s="8">
        <v>-80.09999999999999</v>
      </c>
      <c r="Z150" s="8">
        <v>-93.09999999999999</v>
      </c>
      <c r="AA150" s="8">
        <v>-78.5</v>
      </c>
      <c r="AB150" s="8">
        <v>-65.2</v>
      </c>
      <c r="AC150" s="8">
        <v>-65.8</v>
      </c>
      <c r="AD150" s="8">
        <v>-94.40000000000001</v>
      </c>
      <c r="AE150" s="8">
        <v>-146</v>
      </c>
      <c r="AF150" s="8">
        <v>-146.3</v>
      </c>
      <c r="AG150" s="8">
        <v>-124.8</v>
      </c>
      <c r="AH150" s="8">
        <v>-113.9</v>
      </c>
      <c r="AI150" s="8">
        <v>-102.2</v>
      </c>
      <c r="AJ150" s="8">
        <v>-107.5</v>
      </c>
      <c r="AK150" s="8">
        <v>-101</v>
      </c>
      <c r="AL150" s="8">
        <v>-103.9</v>
      </c>
      <c r="AM150" s="8">
        <v>-108.4</v>
      </c>
      <c r="AN150" s="8">
        <v>-98.7</v>
      </c>
      <c r="AO150" s="8">
        <v>-78.09999999999999</v>
      </c>
      <c r="AP150" s="8">
        <v>-84.59999999999999</v>
      </c>
      <c r="AQ150" s="8">
        <v>-11.7</v>
      </c>
      <c r="AR150" s="8">
        <v>95.59999999999999</v>
      </c>
      <c r="AS150" s="8">
        <v>27</v>
      </c>
      <c r="AT150" s="8">
        <v>-9.9</v>
      </c>
      <c r="AU150" s="8">
        <v>-20</v>
      </c>
      <c r="AV150" s="8">
        <v>-7.4</v>
      </c>
      <c r="AW150" s="8">
        <v>7.9</v>
      </c>
      <c r="AX150" s="8">
        <v>32.6</v>
      </c>
      <c r="AY150" s="8">
        <v>-24.6</v>
      </c>
      <c r="AZ150" s="8">
        <v>-25</v>
      </c>
      <c r="BA150" s="8">
        <v>-18.8</v>
      </c>
      <c r="BB150" s="8">
        <v>-26.6</v>
      </c>
      <c r="BC150" s="8">
        <v>-25.3</v>
      </c>
      <c r="BD150" s="8">
        <v>-24.5</v>
      </c>
      <c r="BE150" s="8">
        <v>-24.3</v>
      </c>
      <c r="BF150" s="8">
        <v>-21.5</v>
      </c>
      <c r="BG150" s="8">
        <v>-37.4</v>
      </c>
      <c r="BH150" s="8">
        <v>-53.5</v>
      </c>
      <c r="BI150" s="8">
        <v>-44.7</v>
      </c>
      <c r="BJ150" s="8">
        <v>-38</v>
      </c>
      <c r="BK150" s="8">
        <v>-31.3</v>
      </c>
      <c r="BL150" s="8">
        <v>-31.6</v>
      </c>
      <c r="BM150" s="8">
        <v>-17.2</v>
      </c>
      <c r="BN150" s="8">
        <v>-35.5</v>
      </c>
      <c r="BO150" s="8">
        <v>-29.9</v>
      </c>
      <c r="BP150" s="8">
        <v>-46</v>
      </c>
      <c r="BQ150" s="8">
        <v>-56.1</v>
      </c>
      <c r="BR150" s="8">
        <v>-60.4</v>
      </c>
      <c r="BS150" s="8">
        <v>-70.90000000000001</v>
      </c>
      <c r="BT150" s="8">
        <v>-90.8</v>
      </c>
      <c r="BU150" s="8">
        <v>-86.09999999999999</v>
      </c>
      <c r="BV150" s="8">
        <v>-111.6</v>
      </c>
      <c r="BW150" s="8">
        <v>-109.8</v>
      </c>
      <c r="BX150" s="8">
        <v>-112.1</v>
      </c>
      <c r="BY150" s="8">
        <v>-121.8</v>
      </c>
      <c r="BZ150" s="8">
        <v>-134</v>
      </c>
      <c r="CA150" s="8">
        <v>-96.59999999999999</v>
      </c>
      <c r="CB150" s="8">
        <v>-84.2</v>
      </c>
      <c r="CC150" s="8">
        <v>-158.8</v>
      </c>
      <c r="CD150" s="8">
        <v>-104</v>
      </c>
      <c r="CE150" s="8">
        <v>-51.5</v>
      </c>
      <c r="CF150" s="8">
        <v>-67</v>
      </c>
      <c r="CG150" s="8">
        <v>-85.09999999999999</v>
      </c>
      <c r="CH150" s="8">
        <v>-83.40000000000001</v>
      </c>
      <c r="CI150" s="8">
        <v>64.59999999999999</v>
      </c>
      <c r="CJ150" s="8">
        <v>290.1</v>
      </c>
      <c r="CK150" s="8">
        <v>946.4</v>
      </c>
      <c r="CL150" s="8">
        <v>89.90000000000001</v>
      </c>
      <c r="CM150" s="8">
        <v>48.8</v>
      </c>
      <c r="CN150" s="8">
        <v>-126.3</v>
      </c>
      <c r="CO150" s="8">
        <v>-22</v>
      </c>
      <c r="CP150" s="8">
        <v>-19.8</v>
      </c>
      <c r="CQ150" s="8">
        <v>-7.9</v>
      </c>
      <c r="CR150" s="8">
        <v>-3.6</v>
      </c>
      <c r="CS150" s="8">
        <v>4</v>
      </c>
      <c r="CT150" s="8">
        <v>-49.1</v>
      </c>
      <c r="CU150" s="8">
        <v>-25.9</v>
      </c>
      <c r="CV150" s="8">
        <v>-35.5</v>
      </c>
      <c r="CW150" s="8">
        <v>21.8</v>
      </c>
      <c r="CX150" s="8">
        <v>-16.3</v>
      </c>
      <c r="CY150" s="8">
        <v>1</v>
      </c>
      <c r="CZ150" s="8">
        <v>-20.2</v>
      </c>
      <c r="DA150" s="8">
        <v>-59</v>
      </c>
      <c r="DB150" s="8">
        <v>-65.09999999999999</v>
      </c>
      <c r="DC150" s="8">
        <v>-47.5</v>
      </c>
      <c r="DD150" s="8">
        <v>-72.09999999999999</v>
      </c>
      <c r="DE150" s="8">
        <v>-76.90000000000001</v>
      </c>
      <c r="DF150" s="8">
        <v>-91.5</v>
      </c>
      <c r="DG150" s="8">
        <v>-71.3</v>
      </c>
      <c r="DH150" s="8">
        <v>-35</v>
      </c>
      <c r="DI150" s="8">
        <v>-28.5</v>
      </c>
      <c r="DJ150" s="8">
        <v>-53.7</v>
      </c>
      <c r="DK150" s="8">
        <v>-72.8</v>
      </c>
      <c r="DL150" s="8">
        <v>-79.90000000000001</v>
      </c>
      <c r="DM150" s="8">
        <v>-69.90000000000001</v>
      </c>
      <c r="DN150" s="8">
        <v>-91.90000000000001</v>
      </c>
      <c r="DO150" s="8">
        <v>-98.8</v>
      </c>
      <c r="DP150" s="8">
        <v>-99.59999999999999</v>
      </c>
      <c r="DQ150" s="8">
        <v>-98.7</v>
      </c>
      <c r="DR150" s="8">
        <v>-100.8</v>
      </c>
      <c r="DS150" s="8">
        <v>-78.40000000000001</v>
      </c>
      <c r="DT150" s="8">
        <v>-69.59999999999999</v>
      </c>
      <c r="DU150" s="8">
        <v>-51.5</v>
      </c>
      <c r="DV150" s="8">
        <v>-29.4</v>
      </c>
      <c r="DW150" s="8">
        <v>-23</v>
      </c>
      <c r="DX150" s="8">
        <v>-35.5</v>
      </c>
      <c r="DY150" s="8">
        <v>-50.4</v>
      </c>
      <c r="DZ150" s="8">
        <v>-71.09999999999999</v>
      </c>
      <c r="EA150" s="8">
        <v>-80.90000000000001</v>
      </c>
      <c r="EB150" s="8">
        <v>-103.5</v>
      </c>
      <c r="EC150" s="8">
        <v>-108.4</v>
      </c>
      <c r="ED150" s="8">
        <v>-103.5</v>
      </c>
      <c r="EE150" s="8">
        <v>-31.3</v>
      </c>
      <c r="EF150" s="8">
        <v>-109.5</v>
      </c>
      <c r="EG150" s="8">
        <v>-142.1</v>
      </c>
      <c r="EH150" s="8">
        <v>-167.7</v>
      </c>
      <c r="EI150" s="8">
        <v>-103.2</v>
      </c>
      <c r="EJ150" s="8">
        <v>-73.3</v>
      </c>
      <c r="EK150" s="8">
        <v>-106.5</v>
      </c>
      <c r="EL150" s="8">
        <v>-68.40000000000001</v>
      </c>
      <c r="EM150" s="8">
        <v>-50</v>
      </c>
      <c r="EN150" s="8">
        <v>-81.3</v>
      </c>
      <c r="EO150" s="8">
        <v>-69.7</v>
      </c>
      <c r="EP150" s="8">
        <v>-54.4</v>
      </c>
      <c r="EQ150" s="8">
        <v>141.3</v>
      </c>
      <c r="ER150" s="8">
        <v>-119.2</v>
      </c>
      <c r="ES150" s="8">
        <v>-221.6</v>
      </c>
    </row>
    <row r="151" spans="1:152">
      <c r="A151" s="7">
        <v>36.9</v>
      </c>
      <c r="L151" s="8">
        <v>-152.8</v>
      </c>
      <c r="M151" s="8">
        <v>-167.8</v>
      </c>
      <c r="N151" s="8">
        <v>-93.7</v>
      </c>
      <c r="O151" s="8">
        <v>-30.1</v>
      </c>
      <c r="P151" s="8">
        <v>14.3</v>
      </c>
      <c r="Q151" s="8">
        <v>-3</v>
      </c>
      <c r="R151" s="8">
        <v>1.8</v>
      </c>
      <c r="S151" s="8">
        <v>23.4</v>
      </c>
      <c r="T151" s="8">
        <v>19.6</v>
      </c>
      <c r="U151" s="8">
        <v>-78.8</v>
      </c>
      <c r="V151" s="8">
        <v>-120.7</v>
      </c>
      <c r="W151" s="8">
        <v>-36.3</v>
      </c>
      <c r="X151" s="8">
        <v>-83.7</v>
      </c>
      <c r="Y151" s="8">
        <v>-86.8</v>
      </c>
      <c r="Z151" s="8">
        <v>-75.59999999999999</v>
      </c>
      <c r="AA151" s="8">
        <v>-63.7</v>
      </c>
      <c r="AB151" s="8">
        <v>-66.3</v>
      </c>
      <c r="AC151" s="8">
        <v>-73.59999999999999</v>
      </c>
      <c r="AD151" s="8">
        <v>-65.7</v>
      </c>
      <c r="AE151" s="8">
        <v>-120.3</v>
      </c>
      <c r="AF151" s="8">
        <v>-109.5</v>
      </c>
      <c r="AG151" s="8">
        <v>-109.1</v>
      </c>
      <c r="AH151" s="8">
        <v>-85.7</v>
      </c>
      <c r="AI151" s="8">
        <v>-90.59999999999999</v>
      </c>
      <c r="AJ151" s="8">
        <v>-96.3</v>
      </c>
      <c r="AK151" s="8">
        <v>-98.40000000000001</v>
      </c>
      <c r="AL151" s="8">
        <v>-97</v>
      </c>
      <c r="AM151" s="8">
        <v>-103.6</v>
      </c>
      <c r="AN151" s="8">
        <v>-107.4</v>
      </c>
      <c r="AO151" s="8">
        <v>-129.1</v>
      </c>
      <c r="AP151" s="8">
        <v>-110.3</v>
      </c>
      <c r="AQ151" s="8">
        <v>6.2</v>
      </c>
      <c r="AR151" s="8">
        <v>40.5</v>
      </c>
      <c r="AS151" s="8">
        <v>46.8</v>
      </c>
      <c r="AT151" s="8">
        <v>64.59999999999999</v>
      </c>
      <c r="AU151" s="8">
        <v>43.4</v>
      </c>
      <c r="AV151" s="8">
        <v>14.8</v>
      </c>
      <c r="AW151" s="8">
        <v>-10.5</v>
      </c>
      <c r="AX151" s="8">
        <v>-11.7</v>
      </c>
      <c r="AY151" s="8">
        <v>-41.5</v>
      </c>
      <c r="AZ151" s="8">
        <v>-8.800000000000001</v>
      </c>
      <c r="BA151" s="8">
        <v>-3</v>
      </c>
      <c r="BB151" s="8">
        <v>-11.6</v>
      </c>
      <c r="BC151" s="8">
        <v>-3.7</v>
      </c>
      <c r="BD151" s="8">
        <v>-2.5</v>
      </c>
      <c r="BE151" s="8">
        <v>4.5</v>
      </c>
      <c r="BF151" s="8">
        <v>-14.4</v>
      </c>
      <c r="BG151" s="8">
        <v>-30</v>
      </c>
      <c r="BH151" s="8">
        <v>-50.5</v>
      </c>
      <c r="BI151" s="8">
        <v>-45.3</v>
      </c>
      <c r="BJ151" s="8">
        <v>-28.8</v>
      </c>
      <c r="BK151" s="8">
        <v>-29.9</v>
      </c>
      <c r="BL151" s="8">
        <v>-26.5</v>
      </c>
      <c r="BM151" s="8">
        <v>-35.3</v>
      </c>
      <c r="BN151" s="8">
        <v>-32.3</v>
      </c>
      <c r="BO151" s="8">
        <v>-25.2</v>
      </c>
      <c r="BP151" s="8">
        <v>-40.5</v>
      </c>
      <c r="BQ151" s="8">
        <v>-51.9</v>
      </c>
      <c r="BR151" s="8">
        <v>-61.4</v>
      </c>
      <c r="BS151" s="8">
        <v>-70.2</v>
      </c>
      <c r="BT151" s="8">
        <v>-84.09999999999999</v>
      </c>
      <c r="BU151" s="8">
        <v>-84.59999999999999</v>
      </c>
      <c r="BV151" s="8">
        <v>-92.59999999999999</v>
      </c>
      <c r="BW151" s="8">
        <v>-102.8</v>
      </c>
      <c r="BX151" s="8">
        <v>-107</v>
      </c>
      <c r="BY151" s="8">
        <v>-104.4</v>
      </c>
      <c r="BZ151" s="8">
        <v>-121.3</v>
      </c>
      <c r="CA151" s="8">
        <v>-131.1</v>
      </c>
      <c r="CB151" s="8">
        <v>-160.6</v>
      </c>
      <c r="CC151" s="8">
        <v>-179.7</v>
      </c>
      <c r="CD151" s="8">
        <v>90.5</v>
      </c>
      <c r="CE151" s="8">
        <v>7.8</v>
      </c>
      <c r="CF151" s="8">
        <v>111</v>
      </c>
      <c r="CG151" s="8">
        <v>-31</v>
      </c>
      <c r="CH151" s="8">
        <v>-94.5</v>
      </c>
      <c r="CI151" s="8">
        <v>-479.9</v>
      </c>
      <c r="CJ151" s="8">
        <v>-177.7</v>
      </c>
      <c r="CK151" s="8">
        <v>503.7</v>
      </c>
      <c r="CL151" s="8">
        <v>1126.6</v>
      </c>
      <c r="CM151" s="8">
        <v>226.1</v>
      </c>
      <c r="CN151" s="8">
        <v>58.8</v>
      </c>
      <c r="CO151" s="8">
        <v>38.1</v>
      </c>
      <c r="CP151" s="8">
        <v>-14.3</v>
      </c>
      <c r="CQ151" s="8">
        <v>18.3</v>
      </c>
      <c r="CR151" s="8">
        <v>-9.6</v>
      </c>
      <c r="CS151" s="8">
        <v>20.4</v>
      </c>
      <c r="CT151" s="8">
        <v>7.8</v>
      </c>
      <c r="CU151" s="8">
        <v>-3.9</v>
      </c>
      <c r="CV151" s="8">
        <v>-105.3</v>
      </c>
      <c r="CW151" s="8">
        <v>40.1</v>
      </c>
      <c r="CX151" s="8">
        <v>-36.1</v>
      </c>
      <c r="CY151" s="8">
        <v>-26.8</v>
      </c>
      <c r="CZ151" s="8">
        <v>-32</v>
      </c>
      <c r="DA151" s="8">
        <v>-52.3</v>
      </c>
      <c r="DB151" s="8">
        <v>-31.7</v>
      </c>
      <c r="DC151" s="8">
        <v>-42</v>
      </c>
      <c r="DD151" s="8">
        <v>-82.40000000000001</v>
      </c>
      <c r="DE151" s="8">
        <v>-98</v>
      </c>
      <c r="DF151" s="8">
        <v>-94.59999999999999</v>
      </c>
      <c r="DG151" s="8">
        <v>-87.40000000000001</v>
      </c>
      <c r="DH151" s="8">
        <v>-42.5</v>
      </c>
      <c r="DI151" s="8">
        <v>-55.5</v>
      </c>
      <c r="DJ151" s="8">
        <v>-67.90000000000001</v>
      </c>
      <c r="DK151" s="8">
        <v>-80.2</v>
      </c>
      <c r="DL151" s="8">
        <v>-95.5</v>
      </c>
      <c r="DM151" s="8">
        <v>-93</v>
      </c>
      <c r="DN151" s="8">
        <v>-97.3</v>
      </c>
      <c r="DO151" s="8">
        <v>-98.8</v>
      </c>
      <c r="DP151" s="8">
        <v>-101</v>
      </c>
      <c r="DQ151" s="8">
        <v>-90.5</v>
      </c>
      <c r="DR151" s="8">
        <v>-78</v>
      </c>
      <c r="DS151" s="8">
        <v>-67.90000000000001</v>
      </c>
      <c r="DT151" s="8">
        <v>-54.7</v>
      </c>
      <c r="DU151" s="8">
        <v>-28.6</v>
      </c>
      <c r="DV151" s="8">
        <v>-13.9</v>
      </c>
      <c r="DW151" s="8">
        <v>-21.2</v>
      </c>
      <c r="DX151" s="8">
        <v>-37.4</v>
      </c>
      <c r="DY151" s="8">
        <v>-61.5</v>
      </c>
      <c r="DZ151" s="8">
        <v>-81.09999999999999</v>
      </c>
      <c r="EA151" s="8">
        <v>-88.7</v>
      </c>
      <c r="EB151" s="8">
        <v>-105.8</v>
      </c>
      <c r="EC151" s="8">
        <v>-10.3</v>
      </c>
      <c r="ED151" s="8">
        <v>-51</v>
      </c>
      <c r="EE151" s="8">
        <v>-158.4</v>
      </c>
      <c r="EF151" s="8">
        <v>-147.9</v>
      </c>
      <c r="EG151" s="8">
        <v>-87.59999999999999</v>
      </c>
      <c r="EH151" s="8">
        <v>-110.7</v>
      </c>
      <c r="EI151" s="8">
        <v>-130.3</v>
      </c>
      <c r="EJ151" s="8">
        <v>-142.6</v>
      </c>
      <c r="EK151" s="8">
        <v>-66.2</v>
      </c>
      <c r="EL151" s="8">
        <v>-75.8</v>
      </c>
      <c r="EM151" s="8">
        <v>66.40000000000001</v>
      </c>
      <c r="EN151" s="8">
        <v>1.6</v>
      </c>
      <c r="EO151" s="8">
        <v>-78.3</v>
      </c>
      <c r="EP151" s="8">
        <v>-40.7</v>
      </c>
      <c r="EQ151" s="8">
        <v>-43.2</v>
      </c>
      <c r="ER151" s="8">
        <v>-32.7</v>
      </c>
      <c r="ES151" s="8">
        <v>-18.5</v>
      </c>
    </row>
    <row r="152" spans="1:152">
      <c r="A152" s="7">
        <v>36.925</v>
      </c>
      <c r="K152" s="8">
        <v>-53.8</v>
      </c>
      <c r="L152" s="8">
        <v>8.6</v>
      </c>
      <c r="M152" s="8">
        <v>-123.4</v>
      </c>
      <c r="N152" s="8">
        <v>-130.3</v>
      </c>
      <c r="O152" s="8">
        <v>-96.90000000000001</v>
      </c>
      <c r="P152" s="8">
        <v>-28</v>
      </c>
      <c r="Q152" s="8">
        <v>-3.4</v>
      </c>
      <c r="R152" s="8">
        <v>27</v>
      </c>
      <c r="S152" s="8">
        <v>-10.8</v>
      </c>
      <c r="T152" s="8">
        <v>-16.4</v>
      </c>
      <c r="U152" s="8">
        <v>19.1</v>
      </c>
      <c r="V152" s="8">
        <v>-21.2</v>
      </c>
      <c r="W152" s="8">
        <v>-73.2</v>
      </c>
      <c r="X152" s="8">
        <v>-81.90000000000001</v>
      </c>
      <c r="Y152" s="8">
        <v>-91.90000000000001</v>
      </c>
      <c r="Z152" s="8">
        <v>-95</v>
      </c>
      <c r="AA152" s="8">
        <v>-71.90000000000001</v>
      </c>
      <c r="AB152" s="8">
        <v>-50.6</v>
      </c>
      <c r="AC152" s="8">
        <v>-60</v>
      </c>
      <c r="AD152" s="8">
        <v>-107.2</v>
      </c>
      <c r="AE152" s="8">
        <v>-104.7</v>
      </c>
      <c r="AF152" s="8">
        <v>-98.40000000000001</v>
      </c>
      <c r="AG152" s="8">
        <v>-73.8</v>
      </c>
      <c r="AH152" s="8">
        <v>-61.5</v>
      </c>
      <c r="AI152" s="8">
        <v>-55.8</v>
      </c>
      <c r="AJ152" s="8">
        <v>-61.8</v>
      </c>
      <c r="AK152" s="8">
        <v>-41.2</v>
      </c>
      <c r="AL152" s="8">
        <v>-68.8</v>
      </c>
      <c r="AM152" s="8">
        <v>-82.40000000000001</v>
      </c>
      <c r="AN152" s="8">
        <v>-90.5</v>
      </c>
      <c r="AO152" s="8">
        <v>-107.7</v>
      </c>
      <c r="AP152" s="8">
        <v>-123.3</v>
      </c>
      <c r="AQ152" s="8">
        <v>-126.3</v>
      </c>
      <c r="AR152" s="8">
        <v>-69.40000000000001</v>
      </c>
      <c r="AS152" s="8">
        <v>-37.3</v>
      </c>
      <c r="AT152" s="8">
        <v>-24.2</v>
      </c>
      <c r="AU152" s="8">
        <v>-1.9</v>
      </c>
      <c r="AV152" s="8">
        <v>-21.8</v>
      </c>
      <c r="AW152" s="8">
        <v>-8.199999999999999</v>
      </c>
      <c r="AX152" s="8">
        <v>9.300000000000001</v>
      </c>
      <c r="AY152" s="8">
        <v>-4.9</v>
      </c>
      <c r="AZ152" s="8">
        <v>53.4</v>
      </c>
      <c r="BA152" s="8">
        <v>26.9</v>
      </c>
      <c r="BB152" s="8">
        <v>27.3</v>
      </c>
      <c r="BC152" s="8">
        <v>4.6</v>
      </c>
      <c r="BD152" s="8">
        <v>-3</v>
      </c>
      <c r="BE152" s="8">
        <v>-9.300000000000001</v>
      </c>
      <c r="BF152" s="8">
        <v>-12</v>
      </c>
      <c r="BG152" s="8">
        <v>-23.8</v>
      </c>
      <c r="BH152" s="8">
        <v>-34.4</v>
      </c>
      <c r="BI152" s="8">
        <v>-37.4</v>
      </c>
      <c r="BJ152" s="8">
        <v>-10.9</v>
      </c>
      <c r="BK152" s="8">
        <v>-20.4</v>
      </c>
      <c r="BL152" s="8">
        <v>-17.6</v>
      </c>
      <c r="BM152" s="8">
        <v>-24.8</v>
      </c>
      <c r="BN152" s="8">
        <v>-23.6</v>
      </c>
      <c r="BO152" s="8">
        <v>-21.4</v>
      </c>
      <c r="BP152" s="8">
        <v>-25.9</v>
      </c>
      <c r="BQ152" s="8">
        <v>-41.9</v>
      </c>
      <c r="BR152" s="8">
        <v>-45.6</v>
      </c>
      <c r="BS152" s="8">
        <v>-60.2</v>
      </c>
      <c r="BT152" s="8">
        <v>-71.8</v>
      </c>
      <c r="BU152" s="8">
        <v>-96.40000000000001</v>
      </c>
      <c r="BV152" s="8">
        <v>-99.7</v>
      </c>
      <c r="BW152" s="8">
        <v>-82.2</v>
      </c>
      <c r="BX152" s="8">
        <v>-103.1</v>
      </c>
      <c r="BY152" s="8">
        <v>-97.09999999999999</v>
      </c>
      <c r="BZ152" s="8">
        <v>-101.7</v>
      </c>
      <c r="CA152" s="8">
        <v>-113.2</v>
      </c>
      <c r="CB152" s="8">
        <v>-120.7</v>
      </c>
      <c r="CC152" s="8">
        <v>-91.8</v>
      </c>
      <c r="CD152" s="8">
        <v>-311.5</v>
      </c>
      <c r="CE152" s="8">
        <v>-242.6</v>
      </c>
      <c r="CF152" s="8">
        <v>107.4</v>
      </c>
      <c r="CG152" s="8">
        <v>-41</v>
      </c>
      <c r="CH152" s="8">
        <v>556.1</v>
      </c>
      <c r="CI152" s="8">
        <v>386.6</v>
      </c>
      <c r="CJ152" s="8">
        <v>-86.90000000000001</v>
      </c>
      <c r="CK152" s="8">
        <v>117.9</v>
      </c>
      <c r="CL152" s="8">
        <v>-81.2</v>
      </c>
      <c r="CM152" s="8">
        <v>786.8</v>
      </c>
      <c r="CN152" s="8">
        <v>39.8</v>
      </c>
      <c r="CO152" s="8">
        <v>87.90000000000001</v>
      </c>
      <c r="CP152" s="8">
        <v>-7.1</v>
      </c>
      <c r="CQ152" s="8">
        <v>-0.8</v>
      </c>
      <c r="CR152" s="8">
        <v>-25.9</v>
      </c>
      <c r="CS152" s="8">
        <v>-24.1</v>
      </c>
      <c r="CT152" s="8">
        <v>57.1</v>
      </c>
      <c r="CU152" s="8">
        <v>-29</v>
      </c>
      <c r="CV152" s="8">
        <v>-30.9</v>
      </c>
      <c r="CW152" s="8">
        <v>-22.4</v>
      </c>
      <c r="CX152" s="8">
        <v>-56.6</v>
      </c>
      <c r="CY152" s="8">
        <v>13.1</v>
      </c>
      <c r="CZ152" s="8">
        <v>-29</v>
      </c>
      <c r="DA152" s="8">
        <v>-39.3</v>
      </c>
      <c r="DB152" s="8">
        <v>-21.5</v>
      </c>
      <c r="DC152" s="8">
        <v>-3.2</v>
      </c>
      <c r="DD152" s="8">
        <v>-43.9</v>
      </c>
      <c r="DE152" s="8">
        <v>-86.5</v>
      </c>
      <c r="DF152" s="8">
        <v>-85.2</v>
      </c>
      <c r="DG152" s="8">
        <v>-96.09999999999999</v>
      </c>
      <c r="DH152" s="8">
        <v>-115.2</v>
      </c>
      <c r="DI152" s="8">
        <v>-84.7</v>
      </c>
      <c r="DJ152" s="8">
        <v>-86.7</v>
      </c>
      <c r="DK152" s="8">
        <v>-86</v>
      </c>
      <c r="DL152" s="8">
        <v>-96</v>
      </c>
      <c r="DM152" s="8">
        <v>-88.59999999999999</v>
      </c>
      <c r="DN152" s="8">
        <v>-87.90000000000001</v>
      </c>
      <c r="DO152" s="8">
        <v>-88.5</v>
      </c>
      <c r="DP152" s="8">
        <v>-80.5</v>
      </c>
      <c r="DQ152" s="8">
        <v>-79</v>
      </c>
      <c r="DR152" s="8">
        <v>-86.40000000000001</v>
      </c>
      <c r="DS152" s="8">
        <v>-83.7</v>
      </c>
      <c r="DT152" s="8">
        <v>-74.3</v>
      </c>
      <c r="DU152" s="8">
        <v>-54.1</v>
      </c>
      <c r="DV152" s="8">
        <v>-36.1</v>
      </c>
      <c r="DW152" s="8">
        <v>-30</v>
      </c>
      <c r="DX152" s="8">
        <v>-49.3</v>
      </c>
      <c r="DY152" s="8">
        <v>-71</v>
      </c>
      <c r="DZ152" s="8">
        <v>-88.5</v>
      </c>
      <c r="EA152" s="8">
        <v>-85.7</v>
      </c>
      <c r="EB152" s="8">
        <v>-47.8</v>
      </c>
      <c r="EC152" s="8">
        <v>-77.59999999999999</v>
      </c>
      <c r="ED152" s="8">
        <v>-86.09999999999999</v>
      </c>
      <c r="EE152" s="8">
        <v>-104.1</v>
      </c>
      <c r="EF152" s="8">
        <v>-105</v>
      </c>
      <c r="EG152" s="8">
        <v>-110.3</v>
      </c>
      <c r="EH152" s="8">
        <v>-99.59999999999999</v>
      </c>
      <c r="EI152" s="8">
        <v>-87.59999999999999</v>
      </c>
      <c r="EJ152" s="8">
        <v>-82.5</v>
      </c>
      <c r="EK152" s="8">
        <v>-64.7</v>
      </c>
      <c r="EL152" s="8">
        <v>-54.3</v>
      </c>
      <c r="EM152" s="8">
        <v>-71.2</v>
      </c>
      <c r="EN152" s="8">
        <v>-10.4</v>
      </c>
      <c r="EO152" s="8">
        <v>16.8</v>
      </c>
      <c r="EP152" s="8">
        <v>14.3</v>
      </c>
      <c r="EQ152" s="8">
        <v>122.4</v>
      </c>
      <c r="ER152" s="8">
        <v>9.1</v>
      </c>
      <c r="ES152" s="8">
        <v>-31.2</v>
      </c>
    </row>
    <row r="153" spans="1:152">
      <c r="A153" s="7">
        <v>36.95</v>
      </c>
      <c r="K153" s="8">
        <v>5.5</v>
      </c>
      <c r="L153" s="8">
        <v>-100.1</v>
      </c>
      <c r="M153" s="8">
        <v>-68.5</v>
      </c>
      <c r="N153" s="8">
        <v>-29.2</v>
      </c>
      <c r="O153" s="8">
        <v>52.3</v>
      </c>
      <c r="P153" s="8">
        <v>28.7</v>
      </c>
      <c r="Q153" s="8">
        <v>-24.6</v>
      </c>
      <c r="R153" s="8">
        <v>-93.8</v>
      </c>
      <c r="S153" s="8">
        <v>53.3</v>
      </c>
      <c r="T153" s="8">
        <v>-4.1</v>
      </c>
      <c r="U153" s="8">
        <v>-27.9</v>
      </c>
      <c r="V153" s="8">
        <v>2.4</v>
      </c>
      <c r="W153" s="8">
        <v>-12.2</v>
      </c>
      <c r="X153" s="8">
        <v>-65.8</v>
      </c>
      <c r="Y153" s="8">
        <v>-62.1</v>
      </c>
      <c r="Z153" s="8">
        <v>-97.3</v>
      </c>
      <c r="AA153" s="8">
        <v>-85.5</v>
      </c>
      <c r="AB153" s="8">
        <v>-123</v>
      </c>
      <c r="AC153" s="8">
        <v>-85.7</v>
      </c>
      <c r="AD153" s="8">
        <v>-118.3</v>
      </c>
      <c r="AE153" s="8">
        <v>-98.3</v>
      </c>
      <c r="AF153" s="8">
        <v>-108.4</v>
      </c>
      <c r="AG153" s="8">
        <v>-72.90000000000001</v>
      </c>
      <c r="AH153" s="8">
        <v>-69.7</v>
      </c>
      <c r="AI153" s="8">
        <v>-67.5</v>
      </c>
      <c r="AJ153" s="8">
        <v>-73.59999999999999</v>
      </c>
      <c r="AK153" s="8">
        <v>-64.2</v>
      </c>
      <c r="AL153" s="8">
        <v>-82.09999999999999</v>
      </c>
      <c r="AM153" s="8">
        <v>-81</v>
      </c>
      <c r="AN153" s="8">
        <v>-81.8</v>
      </c>
      <c r="AO153" s="8">
        <v>-88.59999999999999</v>
      </c>
      <c r="AP153" s="8">
        <v>-71.59999999999999</v>
      </c>
      <c r="AQ153" s="8">
        <v>-96</v>
      </c>
      <c r="AR153" s="8">
        <v>-141.3</v>
      </c>
      <c r="AS153" s="8">
        <v>-168.4</v>
      </c>
      <c r="AT153" s="8">
        <v>-134.5</v>
      </c>
      <c r="AU153" s="8">
        <v>-116.8</v>
      </c>
      <c r="AV153" s="8">
        <v>-64.40000000000001</v>
      </c>
      <c r="AW153" s="8">
        <v>-11.6</v>
      </c>
      <c r="AX153" s="8">
        <v>-26.1</v>
      </c>
      <c r="AY153" s="8">
        <v>-37.3</v>
      </c>
      <c r="AZ153" s="8">
        <v>76.2</v>
      </c>
      <c r="BA153" s="8">
        <v>63.2</v>
      </c>
      <c r="BB153" s="8">
        <v>52.5</v>
      </c>
      <c r="BC153" s="8">
        <v>62.6</v>
      </c>
      <c r="BD153" s="8">
        <v>45.3</v>
      </c>
      <c r="BE153" s="8">
        <v>10.4</v>
      </c>
      <c r="BF153" s="8">
        <v>-5</v>
      </c>
      <c r="BG153" s="8">
        <v>-21.4</v>
      </c>
      <c r="BH153" s="8">
        <v>-29.8</v>
      </c>
      <c r="BI153" s="8">
        <v>-31</v>
      </c>
      <c r="BJ153" s="8">
        <v>1</v>
      </c>
      <c r="BK153" s="8">
        <v>-3.2</v>
      </c>
      <c r="BL153" s="8">
        <v>-16.3</v>
      </c>
      <c r="BM153" s="8">
        <v>-17.2</v>
      </c>
      <c r="BN153" s="8">
        <v>-24.5</v>
      </c>
      <c r="BO153" s="8">
        <v>-28.6</v>
      </c>
      <c r="BP153" s="8">
        <v>5.4</v>
      </c>
      <c r="BQ153" s="8">
        <v>-41</v>
      </c>
      <c r="BR153" s="8">
        <v>-48.9</v>
      </c>
      <c r="BS153" s="8">
        <v>-57</v>
      </c>
      <c r="BT153" s="8">
        <v>-74</v>
      </c>
      <c r="BU153" s="8">
        <v>-83.90000000000001</v>
      </c>
      <c r="BV153" s="8">
        <v>-98.09999999999999</v>
      </c>
      <c r="BW153" s="8">
        <v>-105.2</v>
      </c>
      <c r="BX153" s="8">
        <v>-105.5</v>
      </c>
      <c r="BY153" s="8">
        <v>-97.59999999999999</v>
      </c>
      <c r="BZ153" s="8">
        <v>-104.2</v>
      </c>
      <c r="CA153" s="8">
        <v>-104.4</v>
      </c>
      <c r="CB153" s="8">
        <v>-111.4</v>
      </c>
      <c r="CC153" s="8">
        <v>-84.09999999999999</v>
      </c>
      <c r="CD153" s="8">
        <v>-170.7</v>
      </c>
      <c r="CE153" s="8">
        <v>-267.3</v>
      </c>
      <c r="CF153" s="8">
        <v>-277.5</v>
      </c>
      <c r="CG153" s="8">
        <v>-378.3</v>
      </c>
      <c r="CH153" s="8">
        <v>-525.2</v>
      </c>
      <c r="CI153" s="8">
        <v>361.3</v>
      </c>
      <c r="CJ153" s="8">
        <v>-82.59999999999999</v>
      </c>
      <c r="CK153" s="8">
        <v>-363.6</v>
      </c>
      <c r="CL153" s="8">
        <v>303.6</v>
      </c>
      <c r="CM153" s="8">
        <v>823.3</v>
      </c>
      <c r="CN153" s="8">
        <v>935.3</v>
      </c>
      <c r="CO153" s="8">
        <v>19.3</v>
      </c>
      <c r="CP153" s="8">
        <v>-115.4</v>
      </c>
      <c r="CQ153" s="8">
        <v>-48</v>
      </c>
      <c r="CR153" s="8">
        <v>-72</v>
      </c>
      <c r="CS153" s="8">
        <v>57.1</v>
      </c>
      <c r="CT153" s="8">
        <v>11</v>
      </c>
      <c r="CU153" s="8">
        <v>-9.9</v>
      </c>
      <c r="CV153" s="8">
        <v>-14.1</v>
      </c>
      <c r="CW153" s="8">
        <v>1.7</v>
      </c>
      <c r="CX153" s="8">
        <v>-30.3</v>
      </c>
      <c r="CY153" s="8">
        <v>14.7</v>
      </c>
      <c r="CZ153" s="8">
        <v>-41.9</v>
      </c>
      <c r="DA153" s="8">
        <v>-41.8</v>
      </c>
      <c r="DB153" s="8">
        <v>-32.7</v>
      </c>
      <c r="DC153" s="8">
        <v>-69.2</v>
      </c>
      <c r="DD153" s="8">
        <v>-27.8</v>
      </c>
      <c r="DE153" s="8">
        <v>-62.5</v>
      </c>
      <c r="DF153" s="8">
        <v>-83.8</v>
      </c>
      <c r="DG153" s="8">
        <v>-84</v>
      </c>
      <c r="DH153" s="8">
        <v>-84.5</v>
      </c>
      <c r="DI153" s="8">
        <v>-98.3</v>
      </c>
      <c r="DJ153" s="8">
        <v>-93.2</v>
      </c>
      <c r="DK153" s="8">
        <v>-87.90000000000001</v>
      </c>
      <c r="DL153" s="8">
        <v>-90.8</v>
      </c>
      <c r="DM153" s="8">
        <v>-90.09999999999999</v>
      </c>
      <c r="DN153" s="8">
        <v>-81.7</v>
      </c>
      <c r="DO153" s="8">
        <v>-84.7</v>
      </c>
      <c r="DP153" s="8">
        <v>-94.7</v>
      </c>
      <c r="DQ153" s="8">
        <v>-93.09999999999999</v>
      </c>
      <c r="DR153" s="8">
        <v>-90.2</v>
      </c>
      <c r="DS153" s="8">
        <v>-90.40000000000001</v>
      </c>
      <c r="DT153" s="8">
        <v>-87.8</v>
      </c>
      <c r="DU153" s="8">
        <v>-71.3</v>
      </c>
      <c r="DV153" s="8">
        <v>-53.5</v>
      </c>
      <c r="DW153" s="8">
        <v>-59.7</v>
      </c>
      <c r="DX153" s="8">
        <v>-75.40000000000001</v>
      </c>
      <c r="DY153" s="8">
        <v>-81.5</v>
      </c>
      <c r="DZ153" s="8">
        <v>-63.4</v>
      </c>
      <c r="EA153" s="8">
        <v>13.4</v>
      </c>
      <c r="EB153" s="8">
        <v>-82</v>
      </c>
      <c r="EC153" s="8">
        <v>-89.09999999999999</v>
      </c>
      <c r="ED153" s="8">
        <v>84</v>
      </c>
      <c r="EE153" s="8">
        <v>-54.7</v>
      </c>
      <c r="EF153" s="8">
        <v>-83.40000000000001</v>
      </c>
      <c r="EG153" s="8">
        <v>-109</v>
      </c>
      <c r="EH153" s="8">
        <v>-91.40000000000001</v>
      </c>
      <c r="EI153" s="8">
        <v>-81.09999999999999</v>
      </c>
      <c r="EJ153" s="8">
        <v>-70.90000000000001</v>
      </c>
      <c r="EK153" s="8">
        <v>-68.40000000000001</v>
      </c>
      <c r="EL153" s="8">
        <v>-23.6</v>
      </c>
      <c r="EM153" s="8">
        <v>10.7</v>
      </c>
      <c r="EN153" s="8">
        <v>91.8</v>
      </c>
      <c r="EO153" s="8">
        <v>167</v>
      </c>
      <c r="EP153" s="8">
        <v>208.4</v>
      </c>
      <c r="EQ153" s="8">
        <v>134.8</v>
      </c>
      <c r="ER153" s="8">
        <v>32.2</v>
      </c>
      <c r="ES153" s="8">
        <v>-76.2</v>
      </c>
    </row>
    <row r="154" spans="1:152">
      <c r="A154" s="7">
        <v>36.975</v>
      </c>
      <c r="K154" s="8">
        <v>68.59999999999999</v>
      </c>
      <c r="L154" s="8">
        <v>-98.09999999999999</v>
      </c>
      <c r="M154" s="8">
        <v>-102.4</v>
      </c>
      <c r="N154" s="8">
        <v>-95.90000000000001</v>
      </c>
      <c r="O154" s="8">
        <v>-167.5</v>
      </c>
      <c r="P154" s="8">
        <v>-102.4</v>
      </c>
      <c r="Q154" s="8">
        <v>-89.40000000000001</v>
      </c>
      <c r="R154" s="8">
        <v>-85.8</v>
      </c>
      <c r="S154" s="8">
        <v>-122.6</v>
      </c>
      <c r="T154" s="8">
        <v>-113</v>
      </c>
      <c r="U154" s="8">
        <v>-24.5</v>
      </c>
      <c r="V154" s="8">
        <v>-2.8</v>
      </c>
      <c r="W154" s="8">
        <v>-2.7</v>
      </c>
      <c r="X154" s="8">
        <v>11.2</v>
      </c>
      <c r="Y154" s="8">
        <v>-43</v>
      </c>
      <c r="Z154" s="8">
        <v>-74.2</v>
      </c>
      <c r="AA154" s="8">
        <v>-65</v>
      </c>
      <c r="AB154" s="8">
        <v>-83.3</v>
      </c>
      <c r="AC154" s="8">
        <v>-91.09999999999999</v>
      </c>
      <c r="AD154" s="8">
        <v>-87.59999999999999</v>
      </c>
      <c r="AE154" s="8">
        <v>-111</v>
      </c>
      <c r="AF154" s="8">
        <v>-107</v>
      </c>
      <c r="AG154" s="8">
        <v>-58.7</v>
      </c>
      <c r="AH154" s="8">
        <v>-64.5</v>
      </c>
      <c r="AI154" s="8">
        <v>-66.7</v>
      </c>
      <c r="AJ154" s="8">
        <v>-71.09999999999999</v>
      </c>
      <c r="AK154" s="8">
        <v>-67.7</v>
      </c>
      <c r="AL154" s="8">
        <v>-108.5</v>
      </c>
      <c r="AM154" s="8">
        <v>-73.3</v>
      </c>
      <c r="AN154" s="8">
        <v>-66.5</v>
      </c>
      <c r="AO154" s="8">
        <v>-90.3</v>
      </c>
      <c r="AP154" s="8">
        <v>-107.6</v>
      </c>
      <c r="AQ154" s="8">
        <v>-100.7</v>
      </c>
      <c r="AR154" s="8">
        <v>-95.2</v>
      </c>
      <c r="AS154" s="8">
        <v>-88.09999999999999</v>
      </c>
      <c r="AT154" s="8">
        <v>-82.2</v>
      </c>
      <c r="AU154" s="8">
        <v>-76.59999999999999</v>
      </c>
      <c r="AV154" s="8">
        <v>-72.40000000000001</v>
      </c>
      <c r="AW154" s="8">
        <v>-77.2</v>
      </c>
      <c r="AX154" s="8">
        <v>-73.40000000000001</v>
      </c>
      <c r="AY154" s="8">
        <v>-87.5</v>
      </c>
      <c r="AZ154" s="8">
        <v>-104.6</v>
      </c>
      <c r="BA154" s="8">
        <v>-54.2</v>
      </c>
      <c r="BB154" s="8">
        <v>-60.4</v>
      </c>
      <c r="BC154" s="8">
        <v>-55</v>
      </c>
      <c r="BD154" s="8">
        <v>-84.8</v>
      </c>
      <c r="BE154" s="8">
        <v>-76.90000000000001</v>
      </c>
      <c r="BF154" s="8">
        <v>9.800000000000001</v>
      </c>
      <c r="BG154" s="8">
        <v>12.9</v>
      </c>
      <c r="BH154" s="8">
        <v>11.6</v>
      </c>
      <c r="BI154" s="8">
        <v>9.5</v>
      </c>
      <c r="BJ154" s="8">
        <v>45.1</v>
      </c>
      <c r="BK154" s="8">
        <v>33.5</v>
      </c>
      <c r="BL154" s="8">
        <v>-4.1</v>
      </c>
      <c r="BM154" s="8">
        <v>-10.7</v>
      </c>
      <c r="BN154" s="8">
        <v>-10.1</v>
      </c>
      <c r="BO154" s="8">
        <v>-4</v>
      </c>
      <c r="BP154" s="8">
        <v>-17.9</v>
      </c>
      <c r="BQ154" s="8">
        <v>-39</v>
      </c>
      <c r="BR154" s="8">
        <v>-45.6</v>
      </c>
      <c r="BS154" s="8">
        <v>-49.2</v>
      </c>
      <c r="BT154" s="8">
        <v>-59.3</v>
      </c>
      <c r="BU154" s="8">
        <v>-71.59999999999999</v>
      </c>
      <c r="BV154" s="8">
        <v>-51.5</v>
      </c>
      <c r="BW154" s="8">
        <v>-89.09999999999999</v>
      </c>
      <c r="BX154" s="8">
        <v>-90</v>
      </c>
      <c r="BY154" s="8">
        <v>-80.2</v>
      </c>
      <c r="BZ154" s="8">
        <v>-89.09999999999999</v>
      </c>
      <c r="CA154" s="8">
        <v>-92.5</v>
      </c>
      <c r="CB154" s="8">
        <v>-86.59999999999999</v>
      </c>
      <c r="CC154" s="8">
        <v>-68.59999999999999</v>
      </c>
      <c r="CD154" s="8">
        <v>-97.5</v>
      </c>
      <c r="CE154" s="8">
        <v>-85.40000000000001</v>
      </c>
      <c r="CF154" s="8">
        <v>-289.7</v>
      </c>
      <c r="CG154" s="8">
        <v>-295.9</v>
      </c>
      <c r="CH154" s="8">
        <v>-276.4</v>
      </c>
      <c r="CI154" s="8">
        <v>282.3</v>
      </c>
      <c r="CJ154" s="8">
        <v>38.5</v>
      </c>
      <c r="CK154" s="8">
        <v>-65.7</v>
      </c>
      <c r="CL154" s="8">
        <v>-207.6</v>
      </c>
      <c r="CM154" s="8">
        <v>254.1</v>
      </c>
      <c r="CN154" s="8">
        <v>-277.2</v>
      </c>
      <c r="CO154" s="8">
        <v>-214.2</v>
      </c>
      <c r="CP154" s="8">
        <v>-182.9</v>
      </c>
      <c r="CQ154" s="8">
        <v>-117.5</v>
      </c>
      <c r="CR154" s="8">
        <v>-85</v>
      </c>
      <c r="CS154" s="8">
        <v>-161.7</v>
      </c>
      <c r="CT154" s="8">
        <v>-7.3</v>
      </c>
      <c r="CU154" s="8">
        <v>-3.5</v>
      </c>
      <c r="CV154" s="8">
        <v>-2.5</v>
      </c>
      <c r="CW154" s="8">
        <v>-15.3</v>
      </c>
      <c r="CX154" s="8">
        <v>-25.2</v>
      </c>
      <c r="CY154" s="8">
        <v>-14.8</v>
      </c>
      <c r="CZ154" s="8">
        <v>2.6</v>
      </c>
      <c r="DA154" s="8">
        <v>-56.5</v>
      </c>
      <c r="DB154" s="8">
        <v>-40.6</v>
      </c>
      <c r="DC154" s="8">
        <v>-55.7</v>
      </c>
      <c r="DD154" s="8">
        <v>-49.2</v>
      </c>
      <c r="DE154" s="8">
        <v>-17.2</v>
      </c>
      <c r="DF154" s="8">
        <v>-52.4</v>
      </c>
      <c r="DG154" s="8">
        <v>-62.6</v>
      </c>
      <c r="DH154" s="8">
        <v>-86</v>
      </c>
      <c r="DI154" s="8">
        <v>-86.59999999999999</v>
      </c>
      <c r="DJ154" s="8">
        <v>-87.5</v>
      </c>
      <c r="DK154" s="8">
        <v>-98.90000000000001</v>
      </c>
      <c r="DL154" s="8">
        <v>-87.90000000000001</v>
      </c>
      <c r="DM154" s="8">
        <v>-71.59999999999999</v>
      </c>
      <c r="DN154" s="8">
        <v>-78</v>
      </c>
      <c r="DO154" s="8">
        <v>-75.40000000000001</v>
      </c>
      <c r="DP154" s="8">
        <v>-79.5</v>
      </c>
      <c r="DQ154" s="8">
        <v>-63</v>
      </c>
      <c r="DR154" s="8">
        <v>-25.4</v>
      </c>
      <c r="DS154" s="8">
        <v>-87.7</v>
      </c>
      <c r="DT154" s="8">
        <v>-99.90000000000001</v>
      </c>
      <c r="DU154" s="8">
        <v>-92</v>
      </c>
      <c r="DV154" s="8">
        <v>-104.1</v>
      </c>
      <c r="DW154" s="8">
        <v>-105.7</v>
      </c>
      <c r="DX154" s="8">
        <v>-63.1</v>
      </c>
      <c r="DY154" s="8">
        <v>12.1</v>
      </c>
      <c r="DZ154" s="8">
        <v>91.2</v>
      </c>
      <c r="EA154" s="8">
        <v>38</v>
      </c>
      <c r="EB154" s="8">
        <v>-90.40000000000001</v>
      </c>
      <c r="EC154" s="8">
        <v>-41</v>
      </c>
      <c r="ED154" s="8">
        <v>-50.1</v>
      </c>
      <c r="EE154" s="8">
        <v>-62.8</v>
      </c>
      <c r="EF154" s="8">
        <v>-72.3</v>
      </c>
      <c r="EG154" s="8">
        <v>-80.09999999999999</v>
      </c>
      <c r="EH154" s="8">
        <v>-46.7</v>
      </c>
      <c r="EI154" s="8">
        <v>-8.199999999999999</v>
      </c>
      <c r="EJ154" s="8">
        <v>-53.9</v>
      </c>
      <c r="EK154" s="8">
        <v>-28</v>
      </c>
      <c r="EL154" s="8">
        <v>-19</v>
      </c>
      <c r="EM154" s="8">
        <v>24.3</v>
      </c>
      <c r="EN154" s="8">
        <v>204.5</v>
      </c>
      <c r="EO154" s="8">
        <v>242</v>
      </c>
      <c r="EP154" s="8">
        <v>191.1</v>
      </c>
      <c r="EQ154" s="8">
        <v>56</v>
      </c>
      <c r="ER154" s="8">
        <v>-74.8</v>
      </c>
      <c r="ES154" s="8">
        <v>-91.2</v>
      </c>
    </row>
    <row r="155" spans="1:152">
      <c r="A155" s="7">
        <v>37</v>
      </c>
      <c r="F155" s="8">
        <v>-151.3</v>
      </c>
      <c r="G155" s="8">
        <v>-138.6</v>
      </c>
      <c r="H155" s="8">
        <v>-137.3</v>
      </c>
      <c r="I155" s="8">
        <v>-150.1</v>
      </c>
      <c r="J155" s="8">
        <v>-271.2</v>
      </c>
      <c r="K155" s="8">
        <v>234.9</v>
      </c>
      <c r="L155" s="8">
        <v>-132</v>
      </c>
      <c r="M155" s="8">
        <v>-139.1</v>
      </c>
      <c r="N155" s="8">
        <v>-26.2</v>
      </c>
      <c r="O155" s="8">
        <v>-63.9</v>
      </c>
      <c r="P155" s="8">
        <v>-63.5</v>
      </c>
      <c r="Q155" s="8">
        <v>-129.1</v>
      </c>
      <c r="R155" s="8">
        <v>-159.4</v>
      </c>
      <c r="S155" s="8">
        <v>-131.3</v>
      </c>
      <c r="T155" s="8">
        <v>-89.09999999999999</v>
      </c>
      <c r="U155" s="8">
        <v>-16.8</v>
      </c>
      <c r="V155" s="8">
        <v>-101.8</v>
      </c>
      <c r="W155" s="8">
        <v>52.3</v>
      </c>
      <c r="X155" s="8">
        <v>-95.3</v>
      </c>
      <c r="Y155" s="8">
        <v>-74.7</v>
      </c>
      <c r="Z155" s="8">
        <v>-58.5</v>
      </c>
      <c r="AA155" s="8">
        <v>39.7</v>
      </c>
      <c r="AB155" s="8">
        <v>-49.3</v>
      </c>
      <c r="AC155" s="8">
        <v>-38.2</v>
      </c>
      <c r="AD155" s="8">
        <v>-93.09999999999999</v>
      </c>
      <c r="AE155" s="8">
        <v>-101.3</v>
      </c>
      <c r="AF155" s="8">
        <v>-92.2</v>
      </c>
      <c r="AG155" s="8">
        <v>-72.8</v>
      </c>
      <c r="AH155" s="8">
        <v>-74.40000000000001</v>
      </c>
      <c r="AI155" s="8">
        <v>-61.7</v>
      </c>
      <c r="AJ155" s="8">
        <v>-59.8</v>
      </c>
      <c r="AK155" s="8">
        <v>-68.40000000000001</v>
      </c>
      <c r="AL155" s="8">
        <v>-62.2</v>
      </c>
      <c r="AM155" s="8">
        <v>-71.40000000000001</v>
      </c>
      <c r="AN155" s="8">
        <v>-43.7</v>
      </c>
      <c r="AO155" s="8">
        <v>-113</v>
      </c>
      <c r="AP155" s="8">
        <v>-68.59999999999999</v>
      </c>
      <c r="AQ155" s="8">
        <v>-53.3</v>
      </c>
      <c r="AR155" s="8">
        <v>-11.9</v>
      </c>
      <c r="AS155" s="8">
        <v>-56.5</v>
      </c>
      <c r="AT155" s="8">
        <v>-66.2</v>
      </c>
      <c r="AU155" s="8">
        <v>-82.90000000000001</v>
      </c>
      <c r="AV155" s="8">
        <v>-59</v>
      </c>
      <c r="AW155" s="8">
        <v>-47.1</v>
      </c>
      <c r="AX155" s="8">
        <v>-65.5</v>
      </c>
      <c r="AY155" s="8">
        <v>-79.90000000000001</v>
      </c>
      <c r="AZ155" s="8">
        <v>-195</v>
      </c>
      <c r="BA155" s="8">
        <v>-133</v>
      </c>
      <c r="BB155" s="8">
        <v>-133.8</v>
      </c>
      <c r="BC155" s="8">
        <v>-114</v>
      </c>
      <c r="BD155" s="8">
        <v>-107.3</v>
      </c>
      <c r="BE155" s="8">
        <v>-85.7</v>
      </c>
      <c r="BF155" s="8">
        <v>-95.7</v>
      </c>
      <c r="BG155" s="8">
        <v>27.6</v>
      </c>
      <c r="BH155" s="8">
        <v>46.6</v>
      </c>
      <c r="BI155" s="8">
        <v>92.40000000000001</v>
      </c>
      <c r="BJ155" s="8">
        <v>67.2</v>
      </c>
      <c r="BK155" s="8">
        <v>71.3</v>
      </c>
      <c r="BL155" s="8">
        <v>16.4</v>
      </c>
      <c r="BM155" s="8">
        <v>9.199999999999999</v>
      </c>
      <c r="BN155" s="8">
        <v>8.699999999999999</v>
      </c>
      <c r="BO155" s="8">
        <v>-26.3</v>
      </c>
      <c r="BP155" s="8">
        <v>-15.9</v>
      </c>
      <c r="BQ155" s="8">
        <v>-27.2</v>
      </c>
      <c r="BR155" s="8">
        <v>-35.2</v>
      </c>
      <c r="BS155" s="8">
        <v>-50.3</v>
      </c>
      <c r="BT155" s="8">
        <v>-43.7</v>
      </c>
      <c r="BU155" s="8">
        <v>-52.2</v>
      </c>
      <c r="BV155" s="8">
        <v>-72.5</v>
      </c>
      <c r="BW155" s="8">
        <v>-87.5</v>
      </c>
      <c r="BX155" s="8">
        <v>-92</v>
      </c>
      <c r="BY155" s="8">
        <v>-80.90000000000001</v>
      </c>
      <c r="BZ155" s="8">
        <v>-84.3</v>
      </c>
      <c r="CA155" s="8">
        <v>-85.5</v>
      </c>
      <c r="CB155" s="8">
        <v>-71.59999999999999</v>
      </c>
      <c r="CC155" s="8">
        <v>-52.5</v>
      </c>
      <c r="CD155" s="8">
        <v>-100.6</v>
      </c>
      <c r="CE155" s="8">
        <v>-20.7</v>
      </c>
      <c r="CF155" s="8">
        <v>-41.6</v>
      </c>
      <c r="CG155" s="8">
        <v>-156</v>
      </c>
      <c r="CH155" s="8">
        <v>-230.7</v>
      </c>
      <c r="CI155" s="8">
        <v>-294.8</v>
      </c>
      <c r="CJ155" s="8">
        <v>-86.3</v>
      </c>
      <c r="CK155" s="8">
        <v>93.8</v>
      </c>
      <c r="CL155" s="8">
        <v>87.40000000000001</v>
      </c>
      <c r="CM155" s="8">
        <v>-337</v>
      </c>
      <c r="CN155" s="8">
        <v>794.7</v>
      </c>
      <c r="CO155" s="8">
        <v>109.1</v>
      </c>
      <c r="CP155" s="8">
        <v>-170.9</v>
      </c>
      <c r="CQ155" s="8">
        <v>-98.40000000000001</v>
      </c>
      <c r="CR155" s="8">
        <v>121.5</v>
      </c>
      <c r="CS155" s="8">
        <v>-55.4</v>
      </c>
      <c r="CT155" s="8">
        <v>86.8</v>
      </c>
      <c r="CU155" s="8">
        <v>-60.6</v>
      </c>
      <c r="CV155" s="8">
        <v>-32.6</v>
      </c>
      <c r="CW155" s="8">
        <v>-17.3</v>
      </c>
      <c r="CX155" s="8">
        <v>-66.2</v>
      </c>
      <c r="CY155" s="8">
        <v>-32</v>
      </c>
      <c r="CZ155" s="8">
        <v>-35.6</v>
      </c>
      <c r="DA155" s="8">
        <v>-48.2</v>
      </c>
      <c r="DB155" s="8">
        <v>-38.5</v>
      </c>
      <c r="DC155" s="8">
        <v>-40.2</v>
      </c>
      <c r="DD155" s="8">
        <v>-15</v>
      </c>
      <c r="DE155" s="8">
        <v>22.8</v>
      </c>
      <c r="DF155" s="8">
        <v>-18.5</v>
      </c>
      <c r="DG155" s="8">
        <v>-48.8</v>
      </c>
      <c r="DH155" s="8">
        <v>-51.6</v>
      </c>
      <c r="DI155" s="8">
        <v>-56</v>
      </c>
      <c r="DJ155" s="8">
        <v>-81</v>
      </c>
      <c r="DK155" s="8">
        <v>-80.90000000000001</v>
      </c>
      <c r="DL155" s="8">
        <v>-59.5</v>
      </c>
      <c r="DM155" s="8">
        <v>-58.5</v>
      </c>
      <c r="DN155" s="8">
        <v>-58.1</v>
      </c>
      <c r="DO155" s="8">
        <v>-56</v>
      </c>
      <c r="DP155" s="8">
        <v>-49.2</v>
      </c>
      <c r="DQ155" s="8">
        <v>-50.6</v>
      </c>
      <c r="DR155" s="8">
        <v>-63.5</v>
      </c>
      <c r="DS155" s="8">
        <v>-70.7</v>
      </c>
      <c r="DT155" s="8">
        <v>-90.8</v>
      </c>
      <c r="DU155" s="8">
        <v>-95.7</v>
      </c>
      <c r="DV155" s="8">
        <v>-96</v>
      </c>
      <c r="DW155" s="8">
        <v>-55.8</v>
      </c>
      <c r="DX155" s="8">
        <v>-22.4</v>
      </c>
      <c r="DY155" s="8">
        <v>110.5</v>
      </c>
      <c r="DZ155" s="8">
        <v>32.1</v>
      </c>
      <c r="EA155" s="8">
        <v>-35.4</v>
      </c>
      <c r="EB155" s="8">
        <v>-6.8</v>
      </c>
      <c r="EC155" s="8">
        <v>95.09999999999999</v>
      </c>
      <c r="ED155" s="8">
        <v>46.9</v>
      </c>
      <c r="EE155" s="8">
        <v>-63.7</v>
      </c>
      <c r="EF155" s="8">
        <v>-39.3</v>
      </c>
      <c r="EG155" s="8">
        <v>-58.8</v>
      </c>
      <c r="EH155" s="8">
        <v>-44.9</v>
      </c>
      <c r="EI155" s="8">
        <v>-18.9</v>
      </c>
      <c r="EJ155" s="8">
        <v>-20.5</v>
      </c>
      <c r="EK155" s="8">
        <v>12.6</v>
      </c>
      <c r="EL155" s="8">
        <v>92.40000000000001</v>
      </c>
      <c r="EM155" s="8">
        <v>9.1</v>
      </c>
      <c r="EN155" s="8">
        <v>66.8</v>
      </c>
      <c r="EO155" s="8">
        <v>34.4</v>
      </c>
      <c r="EP155" s="8">
        <v>-37.4</v>
      </c>
      <c r="EQ155" s="8">
        <v>-82.59999999999999</v>
      </c>
      <c r="ER155" s="8">
        <v>-65.2</v>
      </c>
      <c r="ES155" s="8">
        <v>-48.6</v>
      </c>
      <c r="ET155" s="8">
        <v>-51.7</v>
      </c>
      <c r="EU155" s="8">
        <v>-42.1</v>
      </c>
    </row>
    <row r="156" spans="1:152">
      <c r="A156" s="7">
        <v>37.025</v>
      </c>
      <c r="F156" s="8">
        <v>-145.5</v>
      </c>
      <c r="G156" s="8">
        <v>-136.9</v>
      </c>
      <c r="H156" s="8">
        <v>-107.4</v>
      </c>
      <c r="I156" s="8">
        <v>-91.40000000000001</v>
      </c>
      <c r="J156" s="8">
        <v>-219.1</v>
      </c>
      <c r="K156" s="8">
        <v>-216.3</v>
      </c>
      <c r="L156" s="8">
        <v>-160.4</v>
      </c>
      <c r="M156" s="8">
        <v>-142.4</v>
      </c>
      <c r="N156" s="8">
        <v>-138.3</v>
      </c>
      <c r="O156" s="8">
        <v>-123.3</v>
      </c>
      <c r="P156" s="8">
        <v>-61.8</v>
      </c>
      <c r="Q156" s="8">
        <v>-97.90000000000001</v>
      </c>
      <c r="R156" s="8">
        <v>-165</v>
      </c>
      <c r="S156" s="8">
        <v>-145.3</v>
      </c>
      <c r="T156" s="8">
        <v>-56.2</v>
      </c>
      <c r="U156" s="8">
        <v>-10.4</v>
      </c>
      <c r="V156" s="8">
        <v>-68.7</v>
      </c>
      <c r="W156" s="8">
        <v>-11.5</v>
      </c>
      <c r="X156" s="8">
        <v>-64.90000000000001</v>
      </c>
      <c r="Y156" s="8">
        <v>-21.1</v>
      </c>
      <c r="Z156" s="8">
        <v>130.7</v>
      </c>
      <c r="AA156" s="8">
        <v>51.6</v>
      </c>
      <c r="AB156" s="8">
        <v>-17.9</v>
      </c>
      <c r="AC156" s="8">
        <v>-40.1</v>
      </c>
      <c r="AD156" s="8">
        <v>-69.90000000000001</v>
      </c>
      <c r="AE156" s="8">
        <v>-98.59999999999999</v>
      </c>
      <c r="AF156" s="8">
        <v>-106</v>
      </c>
      <c r="AG156" s="8">
        <v>-90.90000000000001</v>
      </c>
      <c r="AH156" s="8">
        <v>-89.40000000000001</v>
      </c>
      <c r="AI156" s="8">
        <v>-94.40000000000001</v>
      </c>
      <c r="AJ156" s="8">
        <v>-103.1</v>
      </c>
      <c r="AK156" s="8">
        <v>-93.7</v>
      </c>
      <c r="AL156" s="8">
        <v>-112.8</v>
      </c>
      <c r="AM156" s="8">
        <v>-107.5</v>
      </c>
      <c r="AN156" s="8">
        <v>-120.1</v>
      </c>
      <c r="AO156" s="8">
        <v>-120.6</v>
      </c>
      <c r="AP156" s="8">
        <v>-110.4</v>
      </c>
      <c r="AQ156" s="8">
        <v>-21.4</v>
      </c>
      <c r="AR156" s="8">
        <v>-104.6</v>
      </c>
      <c r="AS156" s="8">
        <v>-103.5</v>
      </c>
      <c r="AT156" s="8">
        <v>-99.5</v>
      </c>
      <c r="AU156" s="8">
        <v>-66.40000000000001</v>
      </c>
      <c r="AV156" s="8">
        <v>-107.1</v>
      </c>
      <c r="AW156" s="8">
        <v>-74.3</v>
      </c>
      <c r="AX156" s="8">
        <v>-79.5</v>
      </c>
      <c r="AY156" s="8">
        <v>-98</v>
      </c>
      <c r="AZ156" s="8">
        <v>-165.4</v>
      </c>
      <c r="BA156" s="8">
        <v>-101.7</v>
      </c>
      <c r="BB156" s="8">
        <v>-160</v>
      </c>
      <c r="BC156" s="8">
        <v>-53.3</v>
      </c>
      <c r="BD156" s="8">
        <v>-109.5</v>
      </c>
      <c r="BE156" s="8">
        <v>-125.4</v>
      </c>
      <c r="BF156" s="8">
        <v>-103.4</v>
      </c>
      <c r="BG156" s="8">
        <v>6.9</v>
      </c>
      <c r="BH156" s="8">
        <v>-23.5</v>
      </c>
      <c r="BI156" s="8">
        <v>-18</v>
      </c>
      <c r="BJ156" s="8">
        <v>107.4</v>
      </c>
      <c r="BK156" s="8">
        <v>14.7</v>
      </c>
      <c r="BL156" s="8">
        <v>20.3</v>
      </c>
      <c r="BM156" s="8">
        <v>18.6</v>
      </c>
      <c r="BN156" s="8">
        <v>-7.8</v>
      </c>
      <c r="BO156" s="8">
        <v>-24.9</v>
      </c>
      <c r="BP156" s="8">
        <v>-31.6</v>
      </c>
      <c r="BQ156" s="8">
        <v>-32.6</v>
      </c>
      <c r="BR156" s="8">
        <v>-44.1</v>
      </c>
      <c r="BS156" s="8">
        <v>-56.1</v>
      </c>
      <c r="BT156" s="8">
        <v>-46.9</v>
      </c>
      <c r="BU156" s="8">
        <v>-56</v>
      </c>
      <c r="BV156" s="8">
        <v>-69.5</v>
      </c>
      <c r="BW156" s="8">
        <v>-86</v>
      </c>
      <c r="BX156" s="8">
        <v>-82</v>
      </c>
      <c r="BY156" s="8">
        <v>-75.3</v>
      </c>
      <c r="BZ156" s="8">
        <v>-57.6</v>
      </c>
      <c r="CA156" s="8">
        <v>-81.09999999999999</v>
      </c>
      <c r="CB156" s="8">
        <v>-84.5</v>
      </c>
      <c r="CC156" s="8">
        <v>-70.09999999999999</v>
      </c>
      <c r="CD156" s="8">
        <v>-61.9</v>
      </c>
      <c r="CE156" s="8">
        <v>-22.8</v>
      </c>
      <c r="CF156" s="8">
        <v>-60.8</v>
      </c>
      <c r="CG156" s="8">
        <v>-102.3</v>
      </c>
      <c r="CH156" s="8">
        <v>-163.9</v>
      </c>
      <c r="CI156" s="8">
        <v>-223.6</v>
      </c>
      <c r="CJ156" s="8">
        <v>-197.1</v>
      </c>
      <c r="CK156" s="8">
        <v>-133.3</v>
      </c>
      <c r="CL156" s="8">
        <v>-52.1</v>
      </c>
      <c r="CM156" s="8">
        <v>-26.7</v>
      </c>
      <c r="CN156" s="8">
        <v>-859.7</v>
      </c>
      <c r="CO156" s="8">
        <v>-586.4</v>
      </c>
      <c r="CP156" s="8">
        <v>-210.7</v>
      </c>
      <c r="CQ156" s="8">
        <v>-76.8</v>
      </c>
      <c r="CR156" s="8">
        <v>-93.59999999999999</v>
      </c>
      <c r="CS156" s="8">
        <v>46.4</v>
      </c>
      <c r="CT156" s="8">
        <v>-3.6</v>
      </c>
      <c r="CU156" s="8">
        <v>-69.90000000000001</v>
      </c>
      <c r="CV156" s="8">
        <v>-67.5</v>
      </c>
      <c r="CW156" s="8">
        <v>-59</v>
      </c>
      <c r="CX156" s="8">
        <v>195.1</v>
      </c>
      <c r="CY156" s="8">
        <v>-63.8</v>
      </c>
      <c r="CZ156" s="8">
        <v>-48.4</v>
      </c>
      <c r="DA156" s="8">
        <v>-57.8</v>
      </c>
      <c r="DB156" s="8">
        <v>-36.9</v>
      </c>
      <c r="DC156" s="8">
        <v>-37.1</v>
      </c>
      <c r="DD156" s="8">
        <v>-56.4</v>
      </c>
      <c r="DE156" s="8">
        <v>-49.3</v>
      </c>
      <c r="DF156" s="8">
        <v>-49.4</v>
      </c>
      <c r="DG156" s="8">
        <v>-27.9</v>
      </c>
      <c r="DH156" s="8">
        <v>-59.1</v>
      </c>
      <c r="DI156" s="8">
        <v>-62.6</v>
      </c>
      <c r="DJ156" s="8">
        <v>-60.9</v>
      </c>
      <c r="DK156" s="8">
        <v>-64.8</v>
      </c>
      <c r="DL156" s="8">
        <v>-65.40000000000001</v>
      </c>
      <c r="DM156" s="8">
        <v>-62.3</v>
      </c>
      <c r="DN156" s="8">
        <v>-62.4</v>
      </c>
      <c r="DO156" s="8">
        <v>-62.1</v>
      </c>
      <c r="DP156" s="8">
        <v>-55</v>
      </c>
      <c r="DQ156" s="8">
        <v>-40.2</v>
      </c>
      <c r="DR156" s="8">
        <v>-60.6</v>
      </c>
      <c r="DS156" s="8">
        <v>-69.09999999999999</v>
      </c>
      <c r="DT156" s="8">
        <v>-76.59999999999999</v>
      </c>
      <c r="DU156" s="8">
        <v>-74.5</v>
      </c>
      <c r="DV156" s="8">
        <v>-132.7</v>
      </c>
      <c r="DW156" s="8">
        <v>-111.3</v>
      </c>
      <c r="DX156" s="8">
        <v>-5.2</v>
      </c>
      <c r="DY156" s="8">
        <v>-65.5</v>
      </c>
      <c r="DZ156" s="8">
        <v>-56.3</v>
      </c>
      <c r="EA156" s="8">
        <v>-91.5</v>
      </c>
      <c r="EB156" s="8">
        <v>-76</v>
      </c>
      <c r="EC156" s="8">
        <v>58.6</v>
      </c>
      <c r="ED156" s="8">
        <v>267.8</v>
      </c>
      <c r="EE156" s="8">
        <v>-36.5</v>
      </c>
      <c r="EF156" s="8">
        <v>-24.2</v>
      </c>
      <c r="EG156" s="8">
        <v>-11.3</v>
      </c>
      <c r="EH156" s="8">
        <v>-14.8</v>
      </c>
      <c r="EI156" s="8">
        <v>-4.5</v>
      </c>
      <c r="EJ156" s="8">
        <v>18.8</v>
      </c>
      <c r="EK156" s="8">
        <v>86</v>
      </c>
      <c r="EL156" s="8">
        <v>73.5</v>
      </c>
      <c r="EM156" s="8">
        <v>74.5</v>
      </c>
      <c r="EN156" s="8">
        <v>14.9</v>
      </c>
      <c r="EO156" s="8">
        <v>-51.7</v>
      </c>
      <c r="EP156" s="8">
        <v>-88.3</v>
      </c>
      <c r="EQ156" s="8">
        <v>-81.8</v>
      </c>
      <c r="ER156" s="8">
        <v>-62.4</v>
      </c>
      <c r="ES156" s="8">
        <v>-53.1</v>
      </c>
      <c r="ET156" s="8">
        <v>-52.2</v>
      </c>
      <c r="EU156" s="8">
        <v>-34.3</v>
      </c>
      <c r="EV156" s="8">
        <v>-20</v>
      </c>
    </row>
    <row r="157" spans="1:152">
      <c r="A157" s="7">
        <v>37.05</v>
      </c>
      <c r="F157" s="8">
        <v>-83.90000000000001</v>
      </c>
      <c r="G157" s="8">
        <v>-116.3</v>
      </c>
      <c r="H157" s="8">
        <v>141.1</v>
      </c>
      <c r="I157" s="8">
        <v>215.3</v>
      </c>
      <c r="J157" s="8">
        <v>-31.1</v>
      </c>
      <c r="K157" s="8">
        <v>43.1</v>
      </c>
      <c r="L157" s="8">
        <v>-88</v>
      </c>
      <c r="M157" s="8">
        <v>-79</v>
      </c>
      <c r="N157" s="8">
        <v>70.09999999999999</v>
      </c>
      <c r="O157" s="8">
        <v>-151.3</v>
      </c>
      <c r="P157" s="8">
        <v>-200.9</v>
      </c>
      <c r="Q157" s="8">
        <v>-212.3</v>
      </c>
      <c r="R157" s="8">
        <v>-159.1</v>
      </c>
      <c r="S157" s="8">
        <v>-124.3</v>
      </c>
      <c r="T157" s="8">
        <v>-139.2</v>
      </c>
      <c r="U157" s="8">
        <v>-5.8</v>
      </c>
      <c r="V157" s="8">
        <v>-56.4</v>
      </c>
      <c r="W157" s="8">
        <v>-94.09999999999999</v>
      </c>
      <c r="X157" s="8">
        <v>-14.3</v>
      </c>
      <c r="Y157" s="8">
        <v>7.6</v>
      </c>
      <c r="Z157" s="8">
        <v>133.6</v>
      </c>
      <c r="AA157" s="8">
        <v>112</v>
      </c>
      <c r="AB157" s="8">
        <v>38.7</v>
      </c>
      <c r="AC157" s="8">
        <v>-27</v>
      </c>
      <c r="AD157" s="8">
        <v>-60.1</v>
      </c>
      <c r="AE157" s="8">
        <v>-67.3</v>
      </c>
      <c r="AF157" s="8">
        <v>-84.3</v>
      </c>
      <c r="AG157" s="8">
        <v>-101.3</v>
      </c>
      <c r="AH157" s="8">
        <v>-101.9</v>
      </c>
      <c r="AI157" s="8">
        <v>-114.8</v>
      </c>
      <c r="AJ157" s="8">
        <v>-120.2</v>
      </c>
      <c r="AK157" s="8">
        <v>-32.4</v>
      </c>
      <c r="AL157" s="8">
        <v>-75.3</v>
      </c>
      <c r="AM157" s="8">
        <v>-92.09999999999999</v>
      </c>
      <c r="AN157" s="8">
        <v>-97.5</v>
      </c>
      <c r="AO157" s="8">
        <v>-106.1</v>
      </c>
      <c r="AP157" s="8">
        <v>-112</v>
      </c>
      <c r="AQ157" s="8">
        <v>-101.1</v>
      </c>
      <c r="AR157" s="8">
        <v>-111.8</v>
      </c>
      <c r="AS157" s="8">
        <v>-101.5</v>
      </c>
      <c r="AT157" s="8">
        <v>-41.6</v>
      </c>
      <c r="AU157" s="8">
        <v>-88.90000000000001</v>
      </c>
      <c r="AV157" s="8">
        <v>-98.40000000000001</v>
      </c>
      <c r="AW157" s="8">
        <v>-51.9</v>
      </c>
      <c r="AX157" s="8">
        <v>-99.2</v>
      </c>
      <c r="AY157" s="8">
        <v>-71.90000000000001</v>
      </c>
      <c r="AZ157" s="8">
        <v>-96.8</v>
      </c>
      <c r="BA157" s="8">
        <v>-88.7</v>
      </c>
      <c r="BB157" s="8">
        <v>-95.5</v>
      </c>
      <c r="BC157" s="8">
        <v>-79.59999999999999</v>
      </c>
      <c r="BD157" s="8">
        <v>-66.40000000000001</v>
      </c>
      <c r="BE157" s="8">
        <v>-79.09999999999999</v>
      </c>
      <c r="BF157" s="8">
        <v>-70.5</v>
      </c>
      <c r="BG157" s="8">
        <v>-8.199999999999999</v>
      </c>
      <c r="BH157" s="8">
        <v>-91.7</v>
      </c>
      <c r="BI157" s="8">
        <v>25.5</v>
      </c>
      <c r="BJ157" s="8">
        <v>-23</v>
      </c>
      <c r="BK157" s="8">
        <v>62.7</v>
      </c>
      <c r="BL157" s="8">
        <v>63.4</v>
      </c>
      <c r="BM157" s="8">
        <v>49.6</v>
      </c>
      <c r="BN157" s="8">
        <v>25.6</v>
      </c>
      <c r="BO157" s="8">
        <v>3.1</v>
      </c>
      <c r="BP157" s="8">
        <v>-4.1</v>
      </c>
      <c r="BQ157" s="8">
        <v>-31.1</v>
      </c>
      <c r="BR157" s="8">
        <v>-44.6</v>
      </c>
      <c r="BS157" s="8">
        <v>-50.5</v>
      </c>
      <c r="BT157" s="8">
        <v>-49.4</v>
      </c>
      <c r="BU157" s="8">
        <v>-50.9</v>
      </c>
      <c r="BV157" s="8">
        <v>-59.7</v>
      </c>
      <c r="BW157" s="8">
        <v>-79.59999999999999</v>
      </c>
      <c r="BX157" s="8">
        <v>-80.90000000000001</v>
      </c>
      <c r="BY157" s="8">
        <v>-69.8</v>
      </c>
      <c r="BZ157" s="8">
        <v>-80.7</v>
      </c>
      <c r="CA157" s="8">
        <v>-88.8</v>
      </c>
      <c r="CB157" s="8">
        <v>-87.5</v>
      </c>
      <c r="CC157" s="8">
        <v>-83.90000000000001</v>
      </c>
      <c r="CD157" s="8">
        <v>-57</v>
      </c>
      <c r="CE157" s="8">
        <v>-43.4</v>
      </c>
      <c r="CF157" s="8">
        <v>-73.3</v>
      </c>
      <c r="CG157" s="8">
        <v>-108.6</v>
      </c>
      <c r="CH157" s="8">
        <v>-140.8</v>
      </c>
      <c r="CI157" s="8">
        <v>-165</v>
      </c>
      <c r="CJ157" s="8">
        <v>-148.7</v>
      </c>
      <c r="CK157" s="8">
        <v>-126.3</v>
      </c>
      <c r="CL157" s="8">
        <v>-178.5</v>
      </c>
      <c r="CM157" s="8">
        <v>-218.6</v>
      </c>
      <c r="CN157" s="8">
        <v>-193.9</v>
      </c>
      <c r="CO157" s="8">
        <v>-201.5</v>
      </c>
      <c r="CP157" s="8">
        <v>-209.7</v>
      </c>
      <c r="CQ157" s="8">
        <v>-84.59999999999999</v>
      </c>
      <c r="CR157" s="8">
        <v>-31.1</v>
      </c>
      <c r="CS157" s="8">
        <v>296.5</v>
      </c>
      <c r="CT157" s="8">
        <v>-24.1</v>
      </c>
      <c r="CU157" s="8">
        <v>-27</v>
      </c>
      <c r="CV157" s="8">
        <v>-1</v>
      </c>
      <c r="CW157" s="8">
        <v>-89.8</v>
      </c>
      <c r="CX157" s="8">
        <v>-110.7</v>
      </c>
      <c r="CY157" s="8">
        <v>-57.4</v>
      </c>
      <c r="CZ157" s="8">
        <v>-36.6</v>
      </c>
      <c r="DA157" s="8">
        <v>-26.3</v>
      </c>
      <c r="DB157" s="8">
        <v>-17.3</v>
      </c>
      <c r="DC157" s="8">
        <v>-19.9</v>
      </c>
      <c r="DD157" s="8">
        <v>-10.1</v>
      </c>
      <c r="DE157" s="8">
        <v>-16.7</v>
      </c>
      <c r="DF157" s="8">
        <v>-37.1</v>
      </c>
      <c r="DG157" s="8">
        <v>-30.4</v>
      </c>
      <c r="DH157" s="8">
        <v>-8.199999999999999</v>
      </c>
      <c r="DI157" s="8">
        <v>-16.9</v>
      </c>
      <c r="DJ157" s="8">
        <v>-59.2</v>
      </c>
      <c r="DK157" s="8">
        <v>-71.09999999999999</v>
      </c>
      <c r="DL157" s="8">
        <v>-60.4</v>
      </c>
      <c r="DM157" s="8">
        <v>-64.7</v>
      </c>
      <c r="DN157" s="8">
        <v>-57</v>
      </c>
      <c r="DO157" s="8">
        <v>-61.8</v>
      </c>
      <c r="DP157" s="8">
        <v>-86.7</v>
      </c>
      <c r="DQ157" s="8">
        <v>-64.59999999999999</v>
      </c>
      <c r="DR157" s="8">
        <v>-58</v>
      </c>
      <c r="DS157" s="8">
        <v>-71.40000000000001</v>
      </c>
      <c r="DT157" s="8">
        <v>-72</v>
      </c>
      <c r="DU157" s="8">
        <v>-121</v>
      </c>
      <c r="DV157" s="8">
        <v>-104.6</v>
      </c>
      <c r="DW157" s="8">
        <v>-81.40000000000001</v>
      </c>
      <c r="DX157" s="8">
        <v>-68.5</v>
      </c>
      <c r="DY157" s="8">
        <v>-180</v>
      </c>
      <c r="DZ157" s="8">
        <v>-159.6</v>
      </c>
      <c r="EA157" s="8">
        <v>-118.8</v>
      </c>
      <c r="EB157" s="8">
        <v>-205.1</v>
      </c>
      <c r="EC157" s="8">
        <v>-112.2</v>
      </c>
      <c r="ED157" s="8">
        <v>-105.1</v>
      </c>
      <c r="EE157" s="8">
        <v>-51.8</v>
      </c>
      <c r="EF157" s="8">
        <v>-23.2</v>
      </c>
      <c r="EG157" s="8">
        <v>5.9</v>
      </c>
      <c r="EH157" s="8">
        <v>15</v>
      </c>
      <c r="EI157" s="8">
        <v>14.6</v>
      </c>
      <c r="EJ157" s="8">
        <v>56</v>
      </c>
      <c r="EK157" s="8">
        <v>90.3</v>
      </c>
      <c r="EL157" s="8">
        <v>87.90000000000001</v>
      </c>
      <c r="EM157" s="8">
        <v>60.1</v>
      </c>
      <c r="EN157" s="8">
        <v>-7.1</v>
      </c>
      <c r="EO157" s="8">
        <v>-64.8</v>
      </c>
      <c r="EP157" s="8">
        <v>-74.90000000000001</v>
      </c>
      <c r="EQ157" s="8">
        <v>-58.6</v>
      </c>
      <c r="ER157" s="8">
        <v>-36.7</v>
      </c>
      <c r="ES157" s="8">
        <v>-29.3</v>
      </c>
      <c r="ET157" s="8">
        <v>-34.5</v>
      </c>
      <c r="EU157" s="8">
        <v>-45.8</v>
      </c>
      <c r="EV157" s="8">
        <v>-37</v>
      </c>
    </row>
    <row r="158" spans="1:152">
      <c r="A158" s="7">
        <v>37.075</v>
      </c>
      <c r="F158" s="8">
        <v>-51.2</v>
      </c>
      <c r="G158" s="8">
        <v>-95.7</v>
      </c>
      <c r="H158" s="8">
        <v>-125.8</v>
      </c>
      <c r="I158" s="8">
        <v>1.7</v>
      </c>
      <c r="J158" s="8">
        <v>63.6</v>
      </c>
      <c r="K158" s="8">
        <v>-13.4</v>
      </c>
      <c r="L158" s="8">
        <v>-107.1</v>
      </c>
      <c r="M158" s="8">
        <v>-138.6</v>
      </c>
      <c r="N158" s="8">
        <v>-173.3</v>
      </c>
      <c r="O158" s="8">
        <v>-183.9</v>
      </c>
      <c r="P158" s="8">
        <v>-166.7</v>
      </c>
      <c r="Q158" s="8">
        <v>-127.6</v>
      </c>
      <c r="R158" s="8">
        <v>-106.2</v>
      </c>
      <c r="S158" s="8">
        <v>-122.6</v>
      </c>
      <c r="T158" s="8">
        <v>-169.8</v>
      </c>
      <c r="U158" s="8">
        <v>-203.6</v>
      </c>
      <c r="V158" s="8">
        <v>-42.6</v>
      </c>
      <c r="W158" s="8">
        <v>-23.1</v>
      </c>
      <c r="X158" s="8">
        <v>-22.6</v>
      </c>
      <c r="Y158" s="8">
        <v>125.3</v>
      </c>
      <c r="Z158" s="8">
        <v>109.2</v>
      </c>
      <c r="AA158" s="8">
        <v>91.7</v>
      </c>
      <c r="AB158" s="8">
        <v>161.4</v>
      </c>
      <c r="AC158" s="8">
        <v>-17.3</v>
      </c>
      <c r="AD158" s="8">
        <v>-3.3</v>
      </c>
      <c r="AE158" s="8">
        <v>-36.5</v>
      </c>
      <c r="AF158" s="8">
        <v>-66.3</v>
      </c>
      <c r="AG158" s="8">
        <v>-97</v>
      </c>
      <c r="AH158" s="8">
        <v>-93.40000000000001</v>
      </c>
      <c r="AI158" s="8">
        <v>-92.8</v>
      </c>
      <c r="AJ158" s="8">
        <v>-106.6</v>
      </c>
      <c r="AK158" s="8">
        <v>-117.3</v>
      </c>
      <c r="AL158" s="8">
        <v>-57.1</v>
      </c>
      <c r="AM158" s="8">
        <v>-85.2</v>
      </c>
      <c r="AN158" s="8">
        <v>-76.3</v>
      </c>
      <c r="AO158" s="8">
        <v>-93</v>
      </c>
      <c r="AP158" s="8">
        <v>-98.40000000000001</v>
      </c>
      <c r="AQ158" s="8">
        <v>-92.59999999999999</v>
      </c>
      <c r="AR158" s="8">
        <v>-100.8</v>
      </c>
      <c r="AS158" s="8">
        <v>-110.2</v>
      </c>
      <c r="AT158" s="8">
        <v>-88.5</v>
      </c>
      <c r="AU158" s="8">
        <v>-93.40000000000001</v>
      </c>
      <c r="AV158" s="8">
        <v>-29.5</v>
      </c>
      <c r="AW158" s="8">
        <v>-80.40000000000001</v>
      </c>
      <c r="AX158" s="8">
        <v>-90</v>
      </c>
      <c r="AY158" s="8">
        <v>-71.5</v>
      </c>
      <c r="AZ158" s="8">
        <v>-54.8</v>
      </c>
      <c r="BA158" s="8">
        <v>-42.6</v>
      </c>
      <c r="BB158" s="8">
        <v>-64.5</v>
      </c>
      <c r="BC158" s="8">
        <v>-53.8</v>
      </c>
      <c r="BD158" s="8">
        <v>-44.1</v>
      </c>
      <c r="BE158" s="8">
        <v>-34.9</v>
      </c>
      <c r="BF158" s="8">
        <v>-36.7</v>
      </c>
      <c r="BG158" s="8">
        <v>-25</v>
      </c>
      <c r="BH158" s="8">
        <v>-1.4</v>
      </c>
      <c r="BI158" s="8">
        <v>13.9</v>
      </c>
      <c r="BJ158" s="8">
        <v>94.3</v>
      </c>
      <c r="BK158" s="8">
        <v>61.7</v>
      </c>
      <c r="BL158" s="8">
        <v>63.8</v>
      </c>
      <c r="BM158" s="8">
        <v>-8.9</v>
      </c>
      <c r="BN158" s="8">
        <v>-19.9</v>
      </c>
      <c r="BO158" s="8">
        <v>-28.4</v>
      </c>
      <c r="BP158" s="8">
        <v>-6.6</v>
      </c>
      <c r="BQ158" s="8">
        <v>20.6</v>
      </c>
      <c r="BR158" s="8">
        <v>-13.3</v>
      </c>
      <c r="BS158" s="8">
        <v>-32.8</v>
      </c>
      <c r="BT158" s="8">
        <v>-40.4</v>
      </c>
      <c r="BU158" s="8">
        <v>-57.4</v>
      </c>
      <c r="BV158" s="8">
        <v>-74.09999999999999</v>
      </c>
      <c r="BW158" s="8">
        <v>-78.09999999999999</v>
      </c>
      <c r="BX158" s="8">
        <v>-80.09999999999999</v>
      </c>
      <c r="BY158" s="8">
        <v>-77.7</v>
      </c>
      <c r="BZ158" s="8">
        <v>-77.59999999999999</v>
      </c>
      <c r="CA158" s="8">
        <v>-80.5</v>
      </c>
      <c r="CB158" s="8">
        <v>-79.90000000000001</v>
      </c>
      <c r="CC158" s="8">
        <v>-70.3</v>
      </c>
      <c r="CD158" s="8">
        <v>-64.40000000000001</v>
      </c>
      <c r="CE158" s="8">
        <v>-61.2</v>
      </c>
      <c r="CF158" s="8">
        <v>-89.7</v>
      </c>
      <c r="CG158" s="8">
        <v>-103</v>
      </c>
      <c r="CH158" s="8">
        <v>-115.6</v>
      </c>
      <c r="CI158" s="8">
        <v>-138.9</v>
      </c>
      <c r="CJ158" s="8">
        <v>-153.5</v>
      </c>
      <c r="CK158" s="8">
        <v>-126.8</v>
      </c>
      <c r="CL158" s="8">
        <v>-101.6</v>
      </c>
      <c r="CM158" s="8">
        <v>-106</v>
      </c>
      <c r="CN158" s="8">
        <v>76</v>
      </c>
      <c r="CO158" s="8">
        <v>-75.7</v>
      </c>
      <c r="CP158" s="8">
        <v>-109.8</v>
      </c>
      <c r="CQ158" s="8">
        <v>-111.4</v>
      </c>
      <c r="CR158" s="8">
        <v>-7.2</v>
      </c>
      <c r="CS158" s="8">
        <v>19</v>
      </c>
      <c r="CT158" s="8">
        <v>41.6</v>
      </c>
      <c r="CU158" s="8">
        <v>6.4</v>
      </c>
      <c r="CV158" s="8">
        <v>29.9</v>
      </c>
      <c r="CW158" s="8">
        <v>-31.6</v>
      </c>
      <c r="CX158" s="8">
        <v>-85.3</v>
      </c>
      <c r="CY158" s="8">
        <v>-84.5</v>
      </c>
      <c r="CZ158" s="8">
        <v>-52.3</v>
      </c>
      <c r="DA158" s="8">
        <v>-42.1</v>
      </c>
      <c r="DB158" s="8">
        <v>-26.1</v>
      </c>
      <c r="DC158" s="8">
        <v>-25.7</v>
      </c>
      <c r="DD158" s="8">
        <v>14.2</v>
      </c>
      <c r="DE158" s="8">
        <v>3.8</v>
      </c>
      <c r="DF158" s="8">
        <v>-17.6</v>
      </c>
      <c r="DG158" s="8">
        <v>-10.4</v>
      </c>
      <c r="DH158" s="8">
        <v>15.9</v>
      </c>
      <c r="DI158" s="8">
        <v>-1.5</v>
      </c>
      <c r="DJ158" s="8">
        <v>-38.7</v>
      </c>
      <c r="DK158" s="8">
        <v>-47.1</v>
      </c>
      <c r="DL158" s="8">
        <v>-43.8</v>
      </c>
      <c r="DM158" s="8">
        <v>-39.4</v>
      </c>
      <c r="DN158" s="8">
        <v>-52.6</v>
      </c>
      <c r="DO158" s="8">
        <v>-54.9</v>
      </c>
      <c r="DP158" s="8">
        <v>-62.5</v>
      </c>
      <c r="DQ158" s="8">
        <v>-55.3</v>
      </c>
      <c r="DR158" s="8">
        <v>-47.2</v>
      </c>
      <c r="DS158" s="8">
        <v>-94.2</v>
      </c>
      <c r="DT158" s="8">
        <v>-103.9</v>
      </c>
      <c r="DU158" s="8">
        <v>-118.7</v>
      </c>
      <c r="DV158" s="8">
        <v>-91.8</v>
      </c>
      <c r="DW158" s="8">
        <v>-168.3</v>
      </c>
      <c r="DX158" s="8">
        <v>146.5</v>
      </c>
      <c r="DY158" s="8">
        <v>-217.4</v>
      </c>
      <c r="DZ158" s="8">
        <v>-35.9</v>
      </c>
      <c r="EA158" s="8">
        <v>-53.3</v>
      </c>
      <c r="EB158" s="8">
        <v>-125.7</v>
      </c>
      <c r="EC158" s="8">
        <v>-12.2</v>
      </c>
      <c r="ED158" s="8">
        <v>58.8</v>
      </c>
      <c r="EE158" s="8">
        <v>5.5</v>
      </c>
      <c r="EF158" s="8">
        <v>6.6</v>
      </c>
      <c r="EG158" s="8">
        <v>7.8</v>
      </c>
      <c r="EH158" s="8">
        <v>-0.9</v>
      </c>
      <c r="EI158" s="8">
        <v>24.2</v>
      </c>
      <c r="EJ158" s="8">
        <v>59.5</v>
      </c>
      <c r="EK158" s="8">
        <v>58.4</v>
      </c>
      <c r="EL158" s="8">
        <v>51.6</v>
      </c>
      <c r="EM158" s="8">
        <v>42</v>
      </c>
      <c r="EN158" s="8">
        <v>-26.3</v>
      </c>
      <c r="EO158" s="8">
        <v>-78.59999999999999</v>
      </c>
      <c r="EP158" s="8">
        <v>-76.59999999999999</v>
      </c>
      <c r="EQ158" s="8">
        <v>-49.6</v>
      </c>
      <c r="ER158" s="8">
        <v>-40.7</v>
      </c>
      <c r="ES158" s="8">
        <v>-48.1</v>
      </c>
      <c r="ET158" s="8">
        <v>-61.3</v>
      </c>
      <c r="EU158" s="8">
        <v>-84.5</v>
      </c>
      <c r="EV158" s="8">
        <v>-98.59999999999999</v>
      </c>
    </row>
    <row r="159" spans="1:152">
      <c r="A159" s="7">
        <v>37.1</v>
      </c>
      <c r="F159" s="8">
        <v>-63.3</v>
      </c>
      <c r="G159" s="8">
        <v>-36</v>
      </c>
      <c r="H159" s="8">
        <v>-60.4</v>
      </c>
      <c r="I159" s="8">
        <v>-67.09999999999999</v>
      </c>
      <c r="J159" s="8">
        <v>-123.8</v>
      </c>
      <c r="K159" s="8">
        <v>-105.3</v>
      </c>
      <c r="L159" s="8">
        <v>-138.9</v>
      </c>
      <c r="M159" s="8">
        <v>-26.4</v>
      </c>
      <c r="N159" s="8">
        <v>-165.9</v>
      </c>
      <c r="O159" s="8">
        <v>-242.8</v>
      </c>
      <c r="P159" s="8">
        <v>-173</v>
      </c>
      <c r="Q159" s="8">
        <v>-140.5</v>
      </c>
      <c r="R159" s="8">
        <v>-118.9</v>
      </c>
      <c r="S159" s="8">
        <v>-210.5</v>
      </c>
      <c r="T159" s="8">
        <v>-196.8</v>
      </c>
      <c r="U159" s="8">
        <v>-168.4</v>
      </c>
      <c r="V159" s="8">
        <v>-82.5</v>
      </c>
      <c r="W159" s="8">
        <v>57.8</v>
      </c>
      <c r="X159" s="8">
        <v>51.8</v>
      </c>
      <c r="Y159" s="8">
        <v>87</v>
      </c>
      <c r="Z159" s="8">
        <v>173.2</v>
      </c>
      <c r="AA159" s="8">
        <v>52.7</v>
      </c>
      <c r="AB159" s="8">
        <v>-5.9</v>
      </c>
      <c r="AC159" s="8">
        <v>-9.699999999999999</v>
      </c>
      <c r="AD159" s="8">
        <v>-21.7</v>
      </c>
      <c r="AE159" s="8">
        <v>-66.2</v>
      </c>
      <c r="AF159" s="8">
        <v>-102.9</v>
      </c>
      <c r="AG159" s="8">
        <v>-79.7</v>
      </c>
      <c r="AH159" s="8">
        <v>-83.3</v>
      </c>
      <c r="AI159" s="8">
        <v>-81.7</v>
      </c>
      <c r="AJ159" s="8">
        <v>-88</v>
      </c>
      <c r="AK159" s="8">
        <v>-113.6</v>
      </c>
      <c r="AL159" s="8">
        <v>-21</v>
      </c>
      <c r="AM159" s="8">
        <v>-91.7</v>
      </c>
      <c r="AN159" s="8">
        <v>-80.5</v>
      </c>
      <c r="AO159" s="8">
        <v>-97.3</v>
      </c>
      <c r="AP159" s="8">
        <v>-89</v>
      </c>
      <c r="AQ159" s="8">
        <v>-98.90000000000001</v>
      </c>
      <c r="AR159" s="8">
        <v>-112.8</v>
      </c>
      <c r="AS159" s="8">
        <v>-97.5</v>
      </c>
      <c r="AT159" s="8">
        <v>-72.90000000000001</v>
      </c>
      <c r="AU159" s="8">
        <v>-93.5</v>
      </c>
      <c r="AV159" s="8">
        <v>-85.40000000000001</v>
      </c>
      <c r="AW159" s="8">
        <v>-87.7</v>
      </c>
      <c r="AX159" s="8">
        <v>-67.5</v>
      </c>
      <c r="AY159" s="8">
        <v>-72.8</v>
      </c>
      <c r="AZ159" s="8">
        <v>-58.6</v>
      </c>
      <c r="BA159" s="8">
        <v>-64.8</v>
      </c>
      <c r="BB159" s="8">
        <v>-69.2</v>
      </c>
      <c r="BC159" s="8">
        <v>-51.7</v>
      </c>
      <c r="BD159" s="8">
        <v>-45.6</v>
      </c>
      <c r="BE159" s="8">
        <v>-13.4</v>
      </c>
      <c r="BF159" s="8">
        <v>-19.7</v>
      </c>
      <c r="BG159" s="8">
        <v>-3.5</v>
      </c>
      <c r="BH159" s="8">
        <v>24.3</v>
      </c>
      <c r="BI159" s="8">
        <v>55.4</v>
      </c>
      <c r="BJ159" s="8">
        <v>-34</v>
      </c>
      <c r="BK159" s="8">
        <v>8.9</v>
      </c>
      <c r="BL159" s="8">
        <v>1</v>
      </c>
      <c r="BM159" s="8">
        <v>5.8</v>
      </c>
      <c r="BN159" s="8">
        <v>7.6</v>
      </c>
      <c r="BO159" s="8">
        <v>-41.1</v>
      </c>
      <c r="BP159" s="8">
        <v>-53.9</v>
      </c>
      <c r="BQ159" s="8">
        <v>-48</v>
      </c>
      <c r="BR159" s="8">
        <v>-64.7</v>
      </c>
      <c r="BS159" s="8">
        <v>-76.2</v>
      </c>
      <c r="BT159" s="8">
        <v>-85.40000000000001</v>
      </c>
      <c r="BU159" s="8">
        <v>-67.09999999999999</v>
      </c>
      <c r="BV159" s="8">
        <v>-61</v>
      </c>
      <c r="BW159" s="8">
        <v>-64.90000000000001</v>
      </c>
      <c r="BX159" s="8">
        <v>-75.09999999999999</v>
      </c>
      <c r="BY159" s="8">
        <v>-80.59999999999999</v>
      </c>
      <c r="BZ159" s="8">
        <v>-83.5</v>
      </c>
      <c r="CA159" s="8">
        <v>-85.09999999999999</v>
      </c>
      <c r="CB159" s="8">
        <v>-77.90000000000001</v>
      </c>
      <c r="CC159" s="8">
        <v>-31.9</v>
      </c>
      <c r="CD159" s="8">
        <v>-46</v>
      </c>
      <c r="CE159" s="8">
        <v>-83.2</v>
      </c>
      <c r="CF159" s="8">
        <v>-94.90000000000001</v>
      </c>
      <c r="CG159" s="8">
        <v>-109.6</v>
      </c>
      <c r="CH159" s="8">
        <v>-123.2</v>
      </c>
      <c r="CI159" s="8">
        <v>-141.4</v>
      </c>
      <c r="CJ159" s="8">
        <v>-55.4</v>
      </c>
      <c r="CK159" s="8">
        <v>121.9</v>
      </c>
      <c r="CL159" s="8">
        <v>44.2</v>
      </c>
      <c r="CM159" s="8">
        <v>-86.90000000000001</v>
      </c>
      <c r="CN159" s="8">
        <v>-352.1</v>
      </c>
      <c r="CO159" s="8">
        <v>305.4</v>
      </c>
      <c r="CP159" s="8">
        <v>-131.7</v>
      </c>
      <c r="CQ159" s="8">
        <v>-4.6</v>
      </c>
      <c r="CR159" s="8">
        <v>-35.7</v>
      </c>
      <c r="CS159" s="8">
        <v>2</v>
      </c>
      <c r="CT159" s="8">
        <v>39.3</v>
      </c>
      <c r="CU159" s="8">
        <v>25.8</v>
      </c>
      <c r="CV159" s="8">
        <v>-60.2</v>
      </c>
      <c r="CW159" s="8">
        <v>-69.5</v>
      </c>
      <c r="CX159" s="8">
        <v>-99.8</v>
      </c>
      <c r="CY159" s="8">
        <v>-95.7</v>
      </c>
      <c r="CZ159" s="8">
        <v>-80.3</v>
      </c>
      <c r="DA159" s="8">
        <v>-58.7</v>
      </c>
      <c r="DB159" s="8">
        <v>-48.3</v>
      </c>
      <c r="DC159" s="8">
        <v>-31.2</v>
      </c>
      <c r="DD159" s="8">
        <v>-20.6</v>
      </c>
      <c r="DE159" s="8">
        <v>-18</v>
      </c>
      <c r="DF159" s="8">
        <v>-21.4</v>
      </c>
      <c r="DG159" s="8">
        <v>-16.8</v>
      </c>
      <c r="DH159" s="8">
        <v>14.6</v>
      </c>
      <c r="DI159" s="8">
        <v>5.6</v>
      </c>
      <c r="DJ159" s="8">
        <v>-6.2</v>
      </c>
      <c r="DK159" s="8">
        <v>-39.2</v>
      </c>
      <c r="DL159" s="8">
        <v>-56.3</v>
      </c>
      <c r="DM159" s="8">
        <v>-57.7</v>
      </c>
      <c r="DN159" s="8">
        <v>-44.8</v>
      </c>
      <c r="DO159" s="8">
        <v>-47.3</v>
      </c>
      <c r="DP159" s="8">
        <v>-53</v>
      </c>
      <c r="DQ159" s="8">
        <v>-59.8</v>
      </c>
      <c r="DR159" s="8">
        <v>-75.3</v>
      </c>
      <c r="DS159" s="8">
        <v>-96.3</v>
      </c>
      <c r="DT159" s="8">
        <v>-86.09999999999999</v>
      </c>
      <c r="DU159" s="8">
        <v>-102</v>
      </c>
      <c r="DV159" s="8">
        <v>-143.7</v>
      </c>
      <c r="DW159" s="8">
        <v>-122.4</v>
      </c>
      <c r="DX159" s="8">
        <v>478.2</v>
      </c>
      <c r="DY159" s="8">
        <v>-132.7</v>
      </c>
      <c r="DZ159" s="8">
        <v>-160</v>
      </c>
      <c r="EA159" s="8">
        <v>-105.3</v>
      </c>
      <c r="EB159" s="8">
        <v>-68.90000000000001</v>
      </c>
      <c r="EC159" s="8">
        <v>-49.4</v>
      </c>
      <c r="ED159" s="8">
        <v>-52.6</v>
      </c>
      <c r="EE159" s="8">
        <v>6.4</v>
      </c>
      <c r="EF159" s="8">
        <v>98.3</v>
      </c>
      <c r="EG159" s="8">
        <v>8</v>
      </c>
      <c r="EH159" s="8">
        <v>-21.9</v>
      </c>
      <c r="EI159" s="8">
        <v>-12.9</v>
      </c>
      <c r="EJ159" s="8">
        <v>-10.1</v>
      </c>
      <c r="EK159" s="8">
        <v>-19.4</v>
      </c>
      <c r="EL159" s="8">
        <v>-29.4</v>
      </c>
      <c r="EM159" s="8">
        <v>-52.4</v>
      </c>
      <c r="EN159" s="8">
        <v>-73.40000000000001</v>
      </c>
      <c r="EO159" s="8">
        <v>-112.3</v>
      </c>
      <c r="EP159" s="8">
        <v>-93.2</v>
      </c>
      <c r="EQ159" s="8">
        <v>-77.7</v>
      </c>
      <c r="ER159" s="8">
        <v>-76.7</v>
      </c>
      <c r="ES159" s="8">
        <v>-59.6</v>
      </c>
      <c r="ET159" s="8">
        <v>-77.59999999999999</v>
      </c>
      <c r="EU159" s="8">
        <v>-105</v>
      </c>
      <c r="EV159" s="8">
        <v>-115.5</v>
      </c>
    </row>
    <row r="160" spans="1:152">
      <c r="A160" s="7">
        <v>37.125</v>
      </c>
      <c r="F160" s="8">
        <v>-40.4</v>
      </c>
      <c r="G160" s="8">
        <v>-37</v>
      </c>
      <c r="H160" s="8">
        <v>87.7</v>
      </c>
      <c r="I160" s="8">
        <v>100.9</v>
      </c>
      <c r="J160" s="8">
        <v>-28.8</v>
      </c>
      <c r="K160" s="8">
        <v>-77.40000000000001</v>
      </c>
      <c r="L160" s="8">
        <v>-54.9</v>
      </c>
      <c r="M160" s="8">
        <v>-37.5</v>
      </c>
      <c r="N160" s="8">
        <v>-101.4</v>
      </c>
      <c r="O160" s="8">
        <v>-103.6</v>
      </c>
      <c r="P160" s="8">
        <v>-104.7</v>
      </c>
      <c r="Q160" s="8">
        <v>-106.4</v>
      </c>
      <c r="R160" s="8">
        <v>-128.8</v>
      </c>
      <c r="S160" s="8">
        <v>-146.7</v>
      </c>
      <c r="T160" s="8">
        <v>-138.5</v>
      </c>
      <c r="U160" s="8">
        <v>-126.2</v>
      </c>
      <c r="V160" s="8">
        <v>53.5</v>
      </c>
      <c r="W160" s="8">
        <v>51.6</v>
      </c>
      <c r="X160" s="8">
        <v>163.4</v>
      </c>
      <c r="Y160" s="8">
        <v>131.1</v>
      </c>
      <c r="Z160" s="8">
        <v>79.3</v>
      </c>
      <c r="AA160" s="8">
        <v>49.8</v>
      </c>
      <c r="AB160" s="8">
        <v>36.6</v>
      </c>
      <c r="AC160" s="8">
        <v>-19.1</v>
      </c>
      <c r="AD160" s="8">
        <v>-24.6</v>
      </c>
      <c r="AE160" s="8">
        <v>-50.7</v>
      </c>
      <c r="AF160" s="8">
        <v>-95.2</v>
      </c>
      <c r="AG160" s="8">
        <v>-112.2</v>
      </c>
      <c r="AH160" s="8">
        <v>-115.7</v>
      </c>
      <c r="AI160" s="8">
        <v>-89</v>
      </c>
      <c r="AJ160" s="8">
        <v>-100.7</v>
      </c>
      <c r="AK160" s="8">
        <v>-109.8</v>
      </c>
      <c r="AL160" s="8">
        <v>-110.4</v>
      </c>
      <c r="AM160" s="8">
        <v>-108.5</v>
      </c>
      <c r="AN160" s="8">
        <v>-110.4</v>
      </c>
      <c r="AO160" s="8">
        <v>-104.4</v>
      </c>
      <c r="AP160" s="8">
        <v>-62.9</v>
      </c>
      <c r="AQ160" s="8">
        <v>-89.3</v>
      </c>
      <c r="AR160" s="8">
        <v>-103.8</v>
      </c>
      <c r="AS160" s="8">
        <v>-111.2</v>
      </c>
      <c r="AT160" s="8">
        <v>-32</v>
      </c>
      <c r="AU160" s="8">
        <v>-96.3</v>
      </c>
      <c r="AV160" s="8">
        <v>-83.5</v>
      </c>
      <c r="AW160" s="8">
        <v>81.3</v>
      </c>
      <c r="AX160" s="8">
        <v>-60.8</v>
      </c>
      <c r="AY160" s="8">
        <v>-66.3</v>
      </c>
      <c r="AZ160" s="8">
        <v>-61.9</v>
      </c>
      <c r="BA160" s="8">
        <v>-71.90000000000001</v>
      </c>
      <c r="BB160" s="8">
        <v>-76.2</v>
      </c>
      <c r="BC160" s="8">
        <v>28.4</v>
      </c>
      <c r="BD160" s="8">
        <v>-64.09999999999999</v>
      </c>
      <c r="BE160" s="8">
        <v>-49.8</v>
      </c>
      <c r="BF160" s="8">
        <v>-41.9</v>
      </c>
      <c r="BG160" s="8">
        <v>-39.1</v>
      </c>
      <c r="BH160" s="8">
        <v>-36.7</v>
      </c>
      <c r="BI160" s="8">
        <v>-15.5</v>
      </c>
      <c r="BJ160" s="8">
        <v>-22.5</v>
      </c>
      <c r="BK160" s="8">
        <v>-3.2</v>
      </c>
      <c r="BL160" s="8">
        <v>-16.2</v>
      </c>
      <c r="BM160" s="8">
        <v>-27.6</v>
      </c>
      <c r="BN160" s="8">
        <v>3.2</v>
      </c>
      <c r="BO160" s="8">
        <v>-30.1</v>
      </c>
      <c r="BP160" s="8">
        <v>-43.5</v>
      </c>
      <c r="BQ160" s="8">
        <v>-55.3</v>
      </c>
      <c r="BR160" s="8">
        <v>-53.8</v>
      </c>
      <c r="BS160" s="8">
        <v>-58.9</v>
      </c>
      <c r="BT160" s="8">
        <v>-59.1</v>
      </c>
      <c r="BU160" s="8">
        <v>-57.7</v>
      </c>
      <c r="BV160" s="8">
        <v>-57.5</v>
      </c>
      <c r="BW160" s="8">
        <v>-65.3</v>
      </c>
      <c r="BX160" s="8">
        <v>-74.09999999999999</v>
      </c>
      <c r="BY160" s="8">
        <v>-81.90000000000001</v>
      </c>
      <c r="BZ160" s="8">
        <v>-84.59999999999999</v>
      </c>
      <c r="CA160" s="8">
        <v>-88.40000000000001</v>
      </c>
      <c r="CB160" s="8">
        <v>-85.2</v>
      </c>
      <c r="CC160" s="8">
        <v>-70.40000000000001</v>
      </c>
      <c r="CD160" s="8">
        <v>-21.9</v>
      </c>
      <c r="CE160" s="8">
        <v>-55.7</v>
      </c>
      <c r="CF160" s="8">
        <v>-18.7</v>
      </c>
      <c r="CG160" s="8">
        <v>-108.6</v>
      </c>
      <c r="CH160" s="8">
        <v>-147.2</v>
      </c>
      <c r="CI160" s="8">
        <v>-165.3</v>
      </c>
      <c r="CJ160" s="8">
        <v>-129.4</v>
      </c>
      <c r="CK160" s="8">
        <v>82.3</v>
      </c>
      <c r="CL160" s="8">
        <v>210.1</v>
      </c>
      <c r="CM160" s="8">
        <v>-101.5</v>
      </c>
      <c r="CN160" s="8">
        <v>-262.5</v>
      </c>
      <c r="CO160" s="8">
        <v>-221.7</v>
      </c>
      <c r="CP160" s="8">
        <v>-156.4</v>
      </c>
      <c r="CQ160" s="8">
        <v>-44.6</v>
      </c>
      <c r="CR160" s="8">
        <v>-99.7</v>
      </c>
      <c r="CS160" s="8">
        <v>-64.09999999999999</v>
      </c>
      <c r="CT160" s="8">
        <v>-59.2</v>
      </c>
      <c r="CU160" s="8">
        <v>-37</v>
      </c>
      <c r="CV160" s="8">
        <v>-60.2</v>
      </c>
      <c r="CW160" s="8">
        <v>-39</v>
      </c>
      <c r="CX160" s="8">
        <v>-29.2</v>
      </c>
      <c r="CY160" s="8">
        <v>-115</v>
      </c>
      <c r="CZ160" s="8">
        <v>-98.59999999999999</v>
      </c>
      <c r="DA160" s="8">
        <v>-74.90000000000001</v>
      </c>
      <c r="DB160" s="8">
        <v>-60.5</v>
      </c>
      <c r="DC160" s="8">
        <v>-31.2</v>
      </c>
      <c r="DD160" s="8">
        <v>-60.1</v>
      </c>
      <c r="DE160" s="8">
        <v>-48.2</v>
      </c>
      <c r="DF160" s="8">
        <v>-66.40000000000001</v>
      </c>
      <c r="DG160" s="8">
        <v>-58.8</v>
      </c>
      <c r="DH160" s="8">
        <v>-23.6</v>
      </c>
      <c r="DI160" s="8">
        <v>-3.5</v>
      </c>
      <c r="DJ160" s="8">
        <v>-11</v>
      </c>
      <c r="DK160" s="8">
        <v>-16.5</v>
      </c>
      <c r="DL160" s="8">
        <v>-31.2</v>
      </c>
      <c r="DM160" s="8">
        <v>-36.7</v>
      </c>
      <c r="DN160" s="8">
        <v>-36.2</v>
      </c>
      <c r="DO160" s="8">
        <v>-34.2</v>
      </c>
      <c r="DP160" s="8">
        <v>-30.4</v>
      </c>
      <c r="DQ160" s="8">
        <v>-37.1</v>
      </c>
      <c r="DR160" s="8">
        <v>-53.4</v>
      </c>
      <c r="DS160" s="8">
        <v>-71.59999999999999</v>
      </c>
      <c r="DT160" s="8">
        <v>-65.90000000000001</v>
      </c>
      <c r="DU160" s="8">
        <v>-71</v>
      </c>
      <c r="DV160" s="8">
        <v>-87.90000000000001</v>
      </c>
      <c r="DW160" s="8">
        <v>-20.4</v>
      </c>
      <c r="DX160" s="8">
        <v>108.4</v>
      </c>
      <c r="DY160" s="8">
        <v>-93</v>
      </c>
      <c r="DZ160" s="8">
        <v>-136.2</v>
      </c>
      <c r="EA160" s="8">
        <v>-109.4</v>
      </c>
      <c r="EB160" s="8">
        <v>-96.90000000000001</v>
      </c>
      <c r="EC160" s="8">
        <v>-60</v>
      </c>
      <c r="ED160" s="8">
        <v>-37.5</v>
      </c>
      <c r="EE160" s="8">
        <v>-48.2</v>
      </c>
      <c r="EF160" s="8">
        <v>-30.8</v>
      </c>
      <c r="EG160" s="8">
        <v>-42.4</v>
      </c>
      <c r="EH160" s="8">
        <v>-33</v>
      </c>
      <c r="EI160" s="8">
        <v>-48.4</v>
      </c>
      <c r="EJ160" s="8">
        <v>-65.5</v>
      </c>
      <c r="EK160" s="8">
        <v>-93</v>
      </c>
      <c r="EL160" s="8">
        <v>-114</v>
      </c>
      <c r="EM160" s="8">
        <v>-139.1</v>
      </c>
      <c r="EN160" s="8">
        <v>-141.2</v>
      </c>
      <c r="EO160" s="8">
        <v>-126.3</v>
      </c>
      <c r="EP160" s="8">
        <v>-101</v>
      </c>
      <c r="EQ160" s="8">
        <v>-75.09999999999999</v>
      </c>
      <c r="ER160" s="8">
        <v>-90.3</v>
      </c>
      <c r="ES160" s="8">
        <v>-86.3</v>
      </c>
      <c r="ET160" s="8">
        <v>-91.2</v>
      </c>
      <c r="EU160" s="8">
        <v>-124.4</v>
      </c>
      <c r="EV160" s="8">
        <v>-110.1</v>
      </c>
    </row>
    <row r="161" spans="1:152">
      <c r="A161" s="7">
        <v>37.15</v>
      </c>
      <c r="F161" s="8">
        <v>-88.59999999999999</v>
      </c>
      <c r="G161" s="8">
        <v>-40.5</v>
      </c>
      <c r="H161" s="8">
        <v>48.5</v>
      </c>
      <c r="I161" s="8">
        <v>-62.5</v>
      </c>
      <c r="J161" s="8">
        <v>-37.7</v>
      </c>
      <c r="K161" s="8">
        <v>-68.7</v>
      </c>
      <c r="L161" s="8">
        <v>-52.5</v>
      </c>
      <c r="M161" s="8">
        <v>-157.8</v>
      </c>
      <c r="N161" s="8">
        <v>-92.3</v>
      </c>
      <c r="O161" s="8">
        <v>-121</v>
      </c>
      <c r="P161" s="8">
        <v>-136.8</v>
      </c>
      <c r="Q161" s="8">
        <v>-124.8</v>
      </c>
      <c r="R161" s="8">
        <v>-135.7</v>
      </c>
      <c r="S161" s="8">
        <v>-127</v>
      </c>
      <c r="T161" s="8">
        <v>-137.4</v>
      </c>
      <c r="U161" s="8">
        <v>-142.6</v>
      </c>
      <c r="V161" s="8">
        <v>-7.5</v>
      </c>
      <c r="W161" s="8">
        <v>-64.8</v>
      </c>
      <c r="X161" s="8">
        <v>-96.7</v>
      </c>
      <c r="Y161" s="8">
        <v>35.8</v>
      </c>
      <c r="Z161" s="8">
        <v>-95.59999999999999</v>
      </c>
      <c r="AA161" s="8">
        <v>-123.1</v>
      </c>
      <c r="AB161" s="8">
        <v>-53.7</v>
      </c>
      <c r="AC161" s="8">
        <v>24.5</v>
      </c>
      <c r="AD161" s="8">
        <v>-88.8</v>
      </c>
      <c r="AE161" s="8">
        <v>-104.4</v>
      </c>
      <c r="AF161" s="8">
        <v>-111.3</v>
      </c>
      <c r="AG161" s="8">
        <v>-115.2</v>
      </c>
      <c r="AH161" s="8">
        <v>-113.8</v>
      </c>
      <c r="AI161" s="8">
        <v>-108.9</v>
      </c>
      <c r="AJ161" s="8">
        <v>-103.7</v>
      </c>
      <c r="AK161" s="8">
        <v>-105.3</v>
      </c>
      <c r="AL161" s="8">
        <v>-101.1</v>
      </c>
      <c r="AM161" s="8">
        <v>-99.7</v>
      </c>
      <c r="AN161" s="8">
        <v>-109</v>
      </c>
      <c r="AO161" s="8">
        <v>-88.8</v>
      </c>
      <c r="AP161" s="8">
        <v>-129.1</v>
      </c>
      <c r="AQ161" s="8">
        <v>-93.59999999999999</v>
      </c>
      <c r="AR161" s="8">
        <v>-97.59999999999999</v>
      </c>
      <c r="AS161" s="8">
        <v>-75</v>
      </c>
      <c r="AT161" s="8">
        <v>-110.1</v>
      </c>
      <c r="AU161" s="8">
        <v>-101.7</v>
      </c>
      <c r="AV161" s="8">
        <v>-82.8</v>
      </c>
      <c r="AW161" s="8">
        <v>-54.9</v>
      </c>
      <c r="AX161" s="8">
        <v>-68.7</v>
      </c>
      <c r="AY161" s="8">
        <v>-79.2</v>
      </c>
      <c r="AZ161" s="8">
        <v>-84.8</v>
      </c>
      <c r="BA161" s="8">
        <v>-59</v>
      </c>
      <c r="BB161" s="8">
        <v>-72.2</v>
      </c>
      <c r="BC161" s="8">
        <v>-33</v>
      </c>
      <c r="BD161" s="8">
        <v>-49.1</v>
      </c>
      <c r="BE161" s="8">
        <v>-25.9</v>
      </c>
      <c r="BF161" s="8">
        <v>-85.7</v>
      </c>
      <c r="BG161" s="8">
        <v>-26.8</v>
      </c>
      <c r="BH161" s="8">
        <v>-2.8</v>
      </c>
      <c r="BI161" s="8">
        <v>-8.800000000000001</v>
      </c>
      <c r="BJ161" s="8">
        <v>-48.7</v>
      </c>
      <c r="BK161" s="8">
        <v>-30.9</v>
      </c>
      <c r="BL161" s="8">
        <v>-12.9</v>
      </c>
      <c r="BM161" s="8">
        <v>25.4</v>
      </c>
      <c r="BN161" s="8">
        <v>22.2</v>
      </c>
      <c r="BO161" s="8">
        <v>1.1</v>
      </c>
      <c r="BP161" s="8">
        <v>-25.3</v>
      </c>
      <c r="BQ161" s="8">
        <v>-38.7</v>
      </c>
      <c r="BR161" s="8">
        <v>-43.1</v>
      </c>
      <c r="BS161" s="8">
        <v>-51.9</v>
      </c>
      <c r="BT161" s="8">
        <v>-55.8</v>
      </c>
      <c r="BU161" s="8">
        <v>-56.3</v>
      </c>
      <c r="BV161" s="8">
        <v>-57.6</v>
      </c>
      <c r="BW161" s="8">
        <v>-62.4</v>
      </c>
      <c r="BX161" s="8">
        <v>-68.7</v>
      </c>
      <c r="BY161" s="8">
        <v>-80</v>
      </c>
      <c r="BZ161" s="8">
        <v>-82.8</v>
      </c>
      <c r="CA161" s="8">
        <v>-88.7</v>
      </c>
      <c r="CB161" s="8">
        <v>-89</v>
      </c>
      <c r="CC161" s="8">
        <v>-85.8</v>
      </c>
      <c r="CD161" s="8">
        <v>-77.09999999999999</v>
      </c>
      <c r="CE161" s="8">
        <v>-55.8</v>
      </c>
      <c r="CF161" s="8">
        <v>-63.1</v>
      </c>
      <c r="CG161" s="8">
        <v>-91.8</v>
      </c>
      <c r="CH161" s="8">
        <v>-126.9</v>
      </c>
      <c r="CI161" s="8">
        <v>-153.9</v>
      </c>
      <c r="CJ161" s="8">
        <v>-241.5</v>
      </c>
      <c r="CK161" s="8">
        <v>57.7</v>
      </c>
      <c r="CL161" s="8">
        <v>-3.7</v>
      </c>
      <c r="CM161" s="8">
        <v>-133.2</v>
      </c>
      <c r="CN161" s="8">
        <v>-173.1</v>
      </c>
      <c r="CO161" s="8">
        <v>-130.9</v>
      </c>
      <c r="CP161" s="8">
        <v>-113.8</v>
      </c>
      <c r="CQ161" s="8">
        <v>-122.6</v>
      </c>
      <c r="CR161" s="8">
        <v>-119.8</v>
      </c>
      <c r="CS161" s="8">
        <v>-178.9</v>
      </c>
      <c r="CT161" s="8">
        <v>-113.4</v>
      </c>
      <c r="CU161" s="8">
        <v>-80</v>
      </c>
      <c r="CV161" s="8">
        <v>-48.9</v>
      </c>
      <c r="CW161" s="8">
        <v>-19.6</v>
      </c>
      <c r="CX161" s="8">
        <v>-18.5</v>
      </c>
      <c r="CY161" s="8">
        <v>-90.3</v>
      </c>
      <c r="CZ161" s="8">
        <v>-97.90000000000001</v>
      </c>
      <c r="DA161" s="8">
        <v>-81.09999999999999</v>
      </c>
      <c r="DB161" s="8">
        <v>-59.2</v>
      </c>
      <c r="DC161" s="8">
        <v>-60.4</v>
      </c>
      <c r="DD161" s="8">
        <v>-50.7</v>
      </c>
      <c r="DE161" s="8">
        <v>-46.4</v>
      </c>
      <c r="DF161" s="8">
        <v>-59.2</v>
      </c>
      <c r="DG161" s="8">
        <v>-73.8</v>
      </c>
      <c r="DH161" s="8">
        <v>-96.59999999999999</v>
      </c>
      <c r="DI161" s="8">
        <v>10.2</v>
      </c>
      <c r="DJ161" s="8">
        <v>-28.3</v>
      </c>
      <c r="DK161" s="8">
        <v>-29.3</v>
      </c>
      <c r="DL161" s="8">
        <v>-13.5</v>
      </c>
      <c r="DM161" s="8">
        <v>-17.1</v>
      </c>
      <c r="DN161" s="8">
        <v>74.09999999999999</v>
      </c>
      <c r="DO161" s="8">
        <v>55.2</v>
      </c>
      <c r="DP161" s="8">
        <v>55.1</v>
      </c>
      <c r="DQ161" s="8">
        <v>-38.2</v>
      </c>
      <c r="DR161" s="8">
        <v>-64.40000000000001</v>
      </c>
      <c r="DS161" s="8">
        <v>-56.8</v>
      </c>
      <c r="DT161" s="8">
        <v>-63.1</v>
      </c>
      <c r="DU161" s="8">
        <v>-46.4</v>
      </c>
      <c r="DV161" s="8">
        <v>-22.4</v>
      </c>
      <c r="DW161" s="8">
        <v>-110.1</v>
      </c>
      <c r="DX161" s="8">
        <v>-168.3</v>
      </c>
      <c r="DY161" s="8">
        <v>-153.9</v>
      </c>
      <c r="DZ161" s="8">
        <v>-128.6</v>
      </c>
      <c r="EA161" s="8">
        <v>-106</v>
      </c>
      <c r="EB161" s="8">
        <v>-75.8</v>
      </c>
      <c r="EC161" s="8">
        <v>-53.3</v>
      </c>
      <c r="ED161" s="8">
        <v>-44.2</v>
      </c>
      <c r="EE161" s="8">
        <v>17.4</v>
      </c>
      <c r="EF161" s="8">
        <v>-21.9</v>
      </c>
      <c r="EG161" s="8">
        <v>-25.4</v>
      </c>
      <c r="EH161" s="8">
        <v>-29.3</v>
      </c>
      <c r="EI161" s="8">
        <v>-53.7</v>
      </c>
      <c r="EJ161" s="8">
        <v>-104</v>
      </c>
      <c r="EK161" s="8">
        <v>-131.8</v>
      </c>
      <c r="EL161" s="8">
        <v>-121.6</v>
      </c>
      <c r="EM161" s="8">
        <v>-104.4</v>
      </c>
      <c r="EN161" s="8">
        <v>-96.09999999999999</v>
      </c>
      <c r="EO161" s="8">
        <v>-89.7</v>
      </c>
      <c r="EP161" s="8">
        <v>-93.59999999999999</v>
      </c>
      <c r="EQ161" s="8">
        <v>-94.5</v>
      </c>
      <c r="ER161" s="8">
        <v>-86.09999999999999</v>
      </c>
      <c r="ES161" s="8">
        <v>-72.40000000000001</v>
      </c>
      <c r="ET161" s="8">
        <v>-71.2</v>
      </c>
      <c r="EU161" s="8">
        <v>-77.40000000000001</v>
      </c>
      <c r="EV161" s="8">
        <v>-82.09999999999999</v>
      </c>
    </row>
    <row r="162" spans="1:152">
      <c r="A162" s="7">
        <v>37.175</v>
      </c>
      <c r="F162" s="8">
        <v>-95.90000000000001</v>
      </c>
      <c r="G162" s="8">
        <v>-37.4</v>
      </c>
      <c r="H162" s="8">
        <v>-85.8</v>
      </c>
      <c r="I162" s="8">
        <v>80.7</v>
      </c>
      <c r="J162" s="8">
        <v>16.4</v>
      </c>
      <c r="K162" s="8">
        <v>-0.5</v>
      </c>
      <c r="L162" s="8">
        <v>-63.3</v>
      </c>
      <c r="M162" s="8">
        <v>-92.8</v>
      </c>
      <c r="N162" s="8">
        <v>-48.7</v>
      </c>
      <c r="O162" s="8">
        <v>-91.09999999999999</v>
      </c>
      <c r="P162" s="8">
        <v>-112.4</v>
      </c>
      <c r="Q162" s="8">
        <v>-114.1</v>
      </c>
      <c r="R162" s="8">
        <v>-106</v>
      </c>
      <c r="S162" s="8">
        <v>-232.2</v>
      </c>
      <c r="T162" s="8">
        <v>-156.7</v>
      </c>
      <c r="U162" s="8">
        <v>-163.9</v>
      </c>
      <c r="V162" s="8">
        <v>-141.5</v>
      </c>
      <c r="W162" s="8">
        <v>-133.9</v>
      </c>
      <c r="X162" s="8">
        <v>-129.2</v>
      </c>
      <c r="Y162" s="8">
        <v>-100.9</v>
      </c>
      <c r="Z162" s="8">
        <v>-139.7</v>
      </c>
      <c r="AA162" s="8">
        <v>-120.1</v>
      </c>
      <c r="AB162" s="8">
        <v>-138.3</v>
      </c>
      <c r="AC162" s="8">
        <v>-154.6</v>
      </c>
      <c r="AD162" s="8">
        <v>-136.9</v>
      </c>
      <c r="AE162" s="8">
        <v>-134.6</v>
      </c>
      <c r="AF162" s="8">
        <v>-126</v>
      </c>
      <c r="AG162" s="8">
        <v>-112.5</v>
      </c>
      <c r="AH162" s="8">
        <v>-102.6</v>
      </c>
      <c r="AI162" s="8">
        <v>-85.7</v>
      </c>
      <c r="AJ162" s="8">
        <v>-92.40000000000001</v>
      </c>
      <c r="AK162" s="8">
        <v>-100.3</v>
      </c>
      <c r="AL162" s="8">
        <v>-112.9</v>
      </c>
      <c r="AM162" s="8">
        <v>-100.4</v>
      </c>
      <c r="AN162" s="8">
        <v>-133.5</v>
      </c>
      <c r="AO162" s="8">
        <v>-125.2</v>
      </c>
      <c r="AP162" s="8">
        <v>-108.6</v>
      </c>
      <c r="AQ162" s="8">
        <v>-124.9</v>
      </c>
      <c r="AR162" s="8">
        <v>-87.59999999999999</v>
      </c>
      <c r="AS162" s="8">
        <v>-48.3</v>
      </c>
      <c r="AT162" s="8">
        <v>-114.7</v>
      </c>
      <c r="AU162" s="8">
        <v>-109.9</v>
      </c>
      <c r="AV162" s="8">
        <v>-118.2</v>
      </c>
      <c r="AW162" s="8">
        <v>-86</v>
      </c>
      <c r="AX162" s="8">
        <v>-93.40000000000001</v>
      </c>
      <c r="AY162" s="8">
        <v>-81.59999999999999</v>
      </c>
      <c r="AZ162" s="8">
        <v>-88.40000000000001</v>
      </c>
      <c r="BA162" s="8">
        <v>-80.5</v>
      </c>
      <c r="BB162" s="8">
        <v>-73.5</v>
      </c>
      <c r="BC162" s="8">
        <v>-52</v>
      </c>
      <c r="BD162" s="8">
        <v>19.6</v>
      </c>
      <c r="BE162" s="8">
        <v>-5.2</v>
      </c>
      <c r="BF162" s="8">
        <v>-49.4</v>
      </c>
      <c r="BG162" s="8">
        <v>-12.2</v>
      </c>
      <c r="BH162" s="8">
        <v>8.300000000000001</v>
      </c>
      <c r="BI162" s="8">
        <v>-37.5</v>
      </c>
      <c r="BJ162" s="8">
        <v>-33.9</v>
      </c>
      <c r="BK162" s="8">
        <v>-53.3</v>
      </c>
      <c r="BL162" s="8">
        <v>-14.4</v>
      </c>
      <c r="BM162" s="8">
        <v>-18.4</v>
      </c>
      <c r="BN162" s="8">
        <v>-0.7</v>
      </c>
      <c r="BO162" s="8">
        <v>-11.8</v>
      </c>
      <c r="BP162" s="8">
        <v>-30.7</v>
      </c>
      <c r="BQ162" s="8">
        <v>-49.6</v>
      </c>
      <c r="BR162" s="8">
        <v>-52.5</v>
      </c>
      <c r="BS162" s="8">
        <v>-55.1</v>
      </c>
      <c r="BT162" s="8">
        <v>-59.4</v>
      </c>
      <c r="BU162" s="8">
        <v>-58.5</v>
      </c>
      <c r="BV162" s="8">
        <v>-62.5</v>
      </c>
      <c r="BW162" s="8">
        <v>-64.5</v>
      </c>
      <c r="BX162" s="8">
        <v>-67.40000000000001</v>
      </c>
      <c r="BY162" s="8">
        <v>-68.09999999999999</v>
      </c>
      <c r="BZ162" s="8">
        <v>-72.2</v>
      </c>
      <c r="CA162" s="8">
        <v>-76.5</v>
      </c>
      <c r="CB162" s="8">
        <v>-82.40000000000001</v>
      </c>
      <c r="CC162" s="8">
        <v>-83</v>
      </c>
      <c r="CD162" s="8">
        <v>-72.5</v>
      </c>
      <c r="CE162" s="8">
        <v>-65.3</v>
      </c>
      <c r="CF162" s="8">
        <v>-62.9</v>
      </c>
      <c r="CG162" s="8">
        <v>-68.7</v>
      </c>
      <c r="CH162" s="8">
        <v>-84.2</v>
      </c>
      <c r="CI162" s="8">
        <v>-99.5</v>
      </c>
      <c r="CJ162" s="8">
        <v>-141.3</v>
      </c>
      <c r="CK162" s="8">
        <v>-175.4</v>
      </c>
      <c r="CL162" s="8">
        <v>-141.6</v>
      </c>
      <c r="CM162" s="8">
        <v>-109</v>
      </c>
      <c r="CN162" s="8">
        <v>28.7</v>
      </c>
      <c r="CO162" s="8">
        <v>-98</v>
      </c>
      <c r="CP162" s="8">
        <v>-84.90000000000001</v>
      </c>
      <c r="CQ162" s="8">
        <v>-54</v>
      </c>
      <c r="CR162" s="8">
        <v>-31</v>
      </c>
      <c r="CS162" s="8">
        <v>-20.7</v>
      </c>
      <c r="CT162" s="8">
        <v>-36.4</v>
      </c>
      <c r="CU162" s="8">
        <v>-65.5</v>
      </c>
      <c r="CV162" s="8">
        <v>-72.2</v>
      </c>
      <c r="CW162" s="8">
        <v>-90.8</v>
      </c>
      <c r="CX162" s="8">
        <v>-100.9</v>
      </c>
      <c r="CY162" s="8">
        <v>-89.40000000000001</v>
      </c>
      <c r="CZ162" s="8">
        <v>-70.59999999999999</v>
      </c>
      <c r="DA162" s="8">
        <v>-58.5</v>
      </c>
      <c r="DB162" s="8">
        <v>-58.1</v>
      </c>
      <c r="DC162" s="8">
        <v>-62.2</v>
      </c>
      <c r="DD162" s="8">
        <v>-59</v>
      </c>
      <c r="DE162" s="8">
        <v>-60.8</v>
      </c>
      <c r="DF162" s="8">
        <v>-58.3</v>
      </c>
      <c r="DG162" s="8">
        <v>-33.8</v>
      </c>
      <c r="DH162" s="8">
        <v>-59.5</v>
      </c>
      <c r="DI162" s="8">
        <v>-84.7</v>
      </c>
      <c r="DJ162" s="8">
        <v>2.8</v>
      </c>
      <c r="DK162" s="8">
        <v>-30.6</v>
      </c>
      <c r="DL162" s="8">
        <v>-27.6</v>
      </c>
      <c r="DM162" s="8">
        <v>5.3</v>
      </c>
      <c r="DN162" s="8">
        <v>-1.3</v>
      </c>
      <c r="DO162" s="8">
        <v>105.9</v>
      </c>
      <c r="DP162" s="8">
        <v>-6.2</v>
      </c>
      <c r="DQ162" s="8">
        <v>-6.1</v>
      </c>
      <c r="DR162" s="8">
        <v>-13.2</v>
      </c>
      <c r="DS162" s="8">
        <v>-1.5</v>
      </c>
      <c r="DT162" s="8">
        <v>-37.2</v>
      </c>
      <c r="DU162" s="8">
        <v>-63.9</v>
      </c>
      <c r="DV162" s="8">
        <v>-82.2</v>
      </c>
      <c r="DW162" s="8">
        <v>-101</v>
      </c>
      <c r="DX162" s="8">
        <v>-115.4</v>
      </c>
      <c r="DY162" s="8">
        <v>-113</v>
      </c>
      <c r="DZ162" s="8">
        <v>-98.40000000000001</v>
      </c>
      <c r="EA162" s="8">
        <v>-102.6</v>
      </c>
      <c r="EB162" s="8">
        <v>-58.7</v>
      </c>
      <c r="EC162" s="8">
        <v>-66.2</v>
      </c>
      <c r="ED162" s="8">
        <v>-79.8</v>
      </c>
      <c r="EE162" s="8">
        <v>-85</v>
      </c>
      <c r="EF162" s="8">
        <v>-74</v>
      </c>
      <c r="EG162" s="8">
        <v>3.2</v>
      </c>
      <c r="EH162" s="8">
        <v>-23.5</v>
      </c>
      <c r="EI162" s="8">
        <v>-67.40000000000001</v>
      </c>
      <c r="EJ162" s="8">
        <v>-71.8</v>
      </c>
      <c r="EK162" s="8">
        <v>-15</v>
      </c>
      <c r="EL162" s="8">
        <v>-116.8</v>
      </c>
      <c r="EM162" s="8">
        <v>-129.9</v>
      </c>
      <c r="EN162" s="8">
        <v>-133.9</v>
      </c>
      <c r="EO162" s="8">
        <v>-129.4</v>
      </c>
      <c r="EP162" s="8">
        <v>-128.8</v>
      </c>
      <c r="EQ162" s="8">
        <v>-107.3</v>
      </c>
      <c r="ER162" s="8">
        <v>-74.8</v>
      </c>
      <c r="ES162" s="8">
        <v>-60.6</v>
      </c>
      <c r="ET162" s="8">
        <v>-57.7</v>
      </c>
      <c r="EU162" s="8">
        <v>-71.90000000000001</v>
      </c>
      <c r="EV162" s="8">
        <v>-63.2</v>
      </c>
    </row>
    <row r="163" spans="1:152">
      <c r="A163" s="7">
        <v>37.2</v>
      </c>
      <c r="F163" s="8">
        <v>-86.8</v>
      </c>
      <c r="G163" s="8">
        <v>-90.40000000000001</v>
      </c>
      <c r="H163" s="8">
        <v>-92.59999999999999</v>
      </c>
      <c r="I163" s="8">
        <v>-39.5</v>
      </c>
      <c r="J163" s="8">
        <v>77.8</v>
      </c>
      <c r="K163" s="8">
        <v>-70.7</v>
      </c>
      <c r="L163" s="8">
        <v>-147.2</v>
      </c>
      <c r="M163" s="8">
        <v>-99.59999999999999</v>
      </c>
      <c r="N163" s="8">
        <v>-49</v>
      </c>
      <c r="O163" s="8">
        <v>-80.59999999999999</v>
      </c>
      <c r="P163" s="8">
        <v>-105.4</v>
      </c>
      <c r="Q163" s="8">
        <v>-97.2</v>
      </c>
      <c r="R163" s="8">
        <v>-84.3</v>
      </c>
      <c r="S163" s="8">
        <v>-91</v>
      </c>
      <c r="T163" s="8">
        <v>-95</v>
      </c>
      <c r="U163" s="8">
        <v>-31.7</v>
      </c>
      <c r="V163" s="8">
        <v>92.2</v>
      </c>
      <c r="W163" s="8">
        <v>-8.800000000000001</v>
      </c>
      <c r="X163" s="8">
        <v>12.3</v>
      </c>
      <c r="Y163" s="8">
        <v>77.90000000000001</v>
      </c>
      <c r="Z163" s="8">
        <v>108.1</v>
      </c>
      <c r="AA163" s="8">
        <v>-28.8</v>
      </c>
      <c r="AB163" s="8">
        <v>-83.3</v>
      </c>
      <c r="AC163" s="8">
        <v>-71.59999999999999</v>
      </c>
      <c r="AD163" s="8">
        <v>-82</v>
      </c>
      <c r="AE163" s="8">
        <v>-81.90000000000001</v>
      </c>
      <c r="AF163" s="8">
        <v>-88.5</v>
      </c>
      <c r="AG163" s="8">
        <v>-102</v>
      </c>
      <c r="AH163" s="8">
        <v>-97.09999999999999</v>
      </c>
      <c r="AI163" s="8">
        <v>-91.7</v>
      </c>
      <c r="AJ163" s="8">
        <v>-108.2</v>
      </c>
      <c r="AK163" s="8">
        <v>-115</v>
      </c>
      <c r="AL163" s="8">
        <v>-103.2</v>
      </c>
      <c r="AM163" s="8">
        <v>-34.1</v>
      </c>
      <c r="AN163" s="8">
        <v>-94</v>
      </c>
      <c r="AO163" s="8">
        <v>-100.1</v>
      </c>
      <c r="AP163" s="8">
        <v>-96.09999999999999</v>
      </c>
      <c r="AQ163" s="8">
        <v>-124.2</v>
      </c>
      <c r="AR163" s="8">
        <v>-139.8</v>
      </c>
      <c r="AS163" s="8">
        <v>-140.7</v>
      </c>
      <c r="AT163" s="8">
        <v>-132.3</v>
      </c>
      <c r="AU163" s="8">
        <v>-125.5</v>
      </c>
      <c r="AV163" s="8">
        <v>-117.6</v>
      </c>
      <c r="AW163" s="8">
        <v>-105.3</v>
      </c>
      <c r="AX163" s="8">
        <v>-90.90000000000001</v>
      </c>
      <c r="AY163" s="8">
        <v>-69.7</v>
      </c>
      <c r="AZ163" s="8">
        <v>-84.3</v>
      </c>
      <c r="BA163" s="8">
        <v>-32.5</v>
      </c>
      <c r="BB163" s="8">
        <v>4.1</v>
      </c>
      <c r="BC163" s="8">
        <v>55.3</v>
      </c>
      <c r="BD163" s="8">
        <v>-27.8</v>
      </c>
      <c r="BE163" s="8">
        <v>-74.3</v>
      </c>
      <c r="BF163" s="8">
        <v>-71.8</v>
      </c>
      <c r="BG163" s="8">
        <v>-89.59999999999999</v>
      </c>
      <c r="BH163" s="8">
        <v>-106.1</v>
      </c>
      <c r="BI163" s="8">
        <v>-63.5</v>
      </c>
      <c r="BJ163" s="8">
        <v>-107.5</v>
      </c>
      <c r="BK163" s="8">
        <v>-56.8</v>
      </c>
      <c r="BL163" s="8">
        <v>-41.8</v>
      </c>
      <c r="BM163" s="8">
        <v>-43.5</v>
      </c>
      <c r="BN163" s="8">
        <v>-46.5</v>
      </c>
      <c r="BO163" s="8">
        <v>-34.4</v>
      </c>
      <c r="BP163" s="8">
        <v>-31.3</v>
      </c>
      <c r="BQ163" s="8">
        <v>-41.6</v>
      </c>
      <c r="BR163" s="8">
        <v>-49.7</v>
      </c>
      <c r="BS163" s="8">
        <v>-52.8</v>
      </c>
      <c r="BT163" s="8">
        <v>-53.3</v>
      </c>
      <c r="BU163" s="8">
        <v>-52.4</v>
      </c>
      <c r="BV163" s="8">
        <v>-55.9</v>
      </c>
      <c r="BW163" s="8">
        <v>-52.4</v>
      </c>
      <c r="BX163" s="8">
        <v>-53.7</v>
      </c>
      <c r="BY163" s="8">
        <v>-51.7</v>
      </c>
      <c r="BZ163" s="8">
        <v>-60.3</v>
      </c>
      <c r="CA163" s="8">
        <v>-62.8</v>
      </c>
      <c r="CB163" s="8">
        <v>-60.3</v>
      </c>
      <c r="CC163" s="8">
        <v>-71.3</v>
      </c>
      <c r="CD163" s="8">
        <v>-65.7</v>
      </c>
      <c r="CE163" s="8">
        <v>-60.6</v>
      </c>
      <c r="CF163" s="8">
        <v>-61.8</v>
      </c>
      <c r="CG163" s="8">
        <v>-65.8</v>
      </c>
      <c r="CH163" s="8">
        <v>-69.7</v>
      </c>
      <c r="CI163" s="8">
        <v>-69</v>
      </c>
      <c r="CJ163" s="8">
        <v>-78.7</v>
      </c>
      <c r="CK163" s="8">
        <v>-42.9</v>
      </c>
      <c r="CL163" s="8">
        <v>-22.8</v>
      </c>
      <c r="CM163" s="8">
        <v>15.2</v>
      </c>
      <c r="CN163" s="8">
        <v>-17.9</v>
      </c>
      <c r="CO163" s="8">
        <v>-93.8</v>
      </c>
      <c r="CP163" s="8">
        <v>-86.8</v>
      </c>
      <c r="CQ163" s="8">
        <v>-66.40000000000001</v>
      </c>
      <c r="CR163" s="8">
        <v>-37.1</v>
      </c>
      <c r="CS163" s="8">
        <v>-25.7</v>
      </c>
      <c r="CT163" s="8">
        <v>-8.800000000000001</v>
      </c>
      <c r="CU163" s="8">
        <v>-7.9</v>
      </c>
      <c r="CV163" s="8">
        <v>-2.9</v>
      </c>
      <c r="CW163" s="8">
        <v>56</v>
      </c>
      <c r="CX163" s="8">
        <v>9.199999999999999</v>
      </c>
      <c r="CY163" s="8">
        <v>-45</v>
      </c>
      <c r="CZ163" s="8">
        <v>-52</v>
      </c>
      <c r="DA163" s="8">
        <v>-32.2</v>
      </c>
      <c r="DB163" s="8">
        <v>-14.3</v>
      </c>
      <c r="DC163" s="8">
        <v>-29.6</v>
      </c>
      <c r="DD163" s="8">
        <v>-50</v>
      </c>
      <c r="DE163" s="8">
        <v>-60.2</v>
      </c>
      <c r="DF163" s="8">
        <v>-63.8</v>
      </c>
      <c r="DG163" s="8">
        <v>-68.59999999999999</v>
      </c>
      <c r="DH163" s="8">
        <v>-59.6</v>
      </c>
      <c r="DI163" s="8">
        <v>-48.5</v>
      </c>
      <c r="DJ163" s="8">
        <v>-50.5</v>
      </c>
      <c r="DK163" s="8">
        <v>-38.8</v>
      </c>
      <c r="DL163" s="8">
        <v>-23.3</v>
      </c>
      <c r="DM163" s="8">
        <v>-12.7</v>
      </c>
      <c r="DN163" s="8">
        <v>-18.2</v>
      </c>
      <c r="DO163" s="8">
        <v>-41.9</v>
      </c>
      <c r="DP163" s="8">
        <v>-5.5</v>
      </c>
      <c r="DQ163" s="8">
        <v>2.8</v>
      </c>
      <c r="DR163" s="8">
        <v>-13.4</v>
      </c>
      <c r="DS163" s="8">
        <v>-49.7</v>
      </c>
      <c r="DT163" s="8">
        <v>-72.09999999999999</v>
      </c>
      <c r="DU163" s="8">
        <v>-66.59999999999999</v>
      </c>
      <c r="DV163" s="8">
        <v>-93.59999999999999</v>
      </c>
      <c r="DW163" s="8">
        <v>-97.59999999999999</v>
      </c>
      <c r="DX163" s="8">
        <v>-103.9</v>
      </c>
      <c r="DY163" s="8">
        <v>-100.8</v>
      </c>
      <c r="DZ163" s="8">
        <v>-95.90000000000001</v>
      </c>
      <c r="EA163" s="8">
        <v>-107.6</v>
      </c>
      <c r="EB163" s="8">
        <v>-80.2</v>
      </c>
      <c r="EC163" s="8">
        <v>-64.7</v>
      </c>
      <c r="ED163" s="8">
        <v>-81.3</v>
      </c>
      <c r="EE163" s="8">
        <v>-98.59999999999999</v>
      </c>
      <c r="EF163" s="8">
        <v>-77.09999999999999</v>
      </c>
      <c r="EG163" s="8">
        <v>-58.3</v>
      </c>
      <c r="EH163" s="8">
        <v>-59.7</v>
      </c>
      <c r="EI163" s="8">
        <v>-91.8</v>
      </c>
      <c r="EJ163" s="8">
        <v>-113.3</v>
      </c>
      <c r="EK163" s="8">
        <v>-126.7</v>
      </c>
      <c r="EL163" s="8">
        <v>-127.7</v>
      </c>
      <c r="EM163" s="8">
        <v>-107.6</v>
      </c>
      <c r="EN163" s="8">
        <v>-101.7</v>
      </c>
      <c r="EO163" s="8">
        <v>-101.8</v>
      </c>
      <c r="EP163" s="8">
        <v>-78.40000000000001</v>
      </c>
      <c r="EQ163" s="8">
        <v>-69.5</v>
      </c>
      <c r="ER163" s="8">
        <v>-64.90000000000001</v>
      </c>
      <c r="ES163" s="8">
        <v>-24.5</v>
      </c>
      <c r="ET163" s="8">
        <v>-41.9</v>
      </c>
      <c r="EU163" s="8">
        <v>-44.4</v>
      </c>
      <c r="EV163" s="8">
        <v>-48</v>
      </c>
    </row>
    <row r="164" spans="1:152">
      <c r="A164" s="7">
        <v>37.225</v>
      </c>
      <c r="F164" s="8">
        <v>-91.90000000000001</v>
      </c>
      <c r="G164" s="8">
        <v>-99.8</v>
      </c>
      <c r="H164" s="8">
        <v>-62.1</v>
      </c>
      <c r="I164" s="8">
        <v>-104.3</v>
      </c>
      <c r="J164" s="8">
        <v>-116.4</v>
      </c>
      <c r="K164" s="8">
        <v>-147.6</v>
      </c>
      <c r="L164" s="8">
        <v>-97.5</v>
      </c>
      <c r="M164" s="8">
        <v>-70.3</v>
      </c>
      <c r="N164" s="8">
        <v>-65.2</v>
      </c>
      <c r="O164" s="8">
        <v>-75.3</v>
      </c>
      <c r="P164" s="8">
        <v>-90.8</v>
      </c>
      <c r="Q164" s="8">
        <v>-77.40000000000001</v>
      </c>
      <c r="R164" s="8">
        <v>-72.40000000000001</v>
      </c>
      <c r="S164" s="8">
        <v>-61</v>
      </c>
      <c r="T164" s="8">
        <v>-64.7</v>
      </c>
      <c r="U164" s="8">
        <v>-62.5</v>
      </c>
      <c r="V164" s="8">
        <v>-75.40000000000001</v>
      </c>
      <c r="W164" s="8">
        <v>278</v>
      </c>
      <c r="X164" s="8">
        <v>105.2</v>
      </c>
      <c r="Y164" s="8">
        <v>-29.4</v>
      </c>
      <c r="Z164" s="8">
        <v>217.1</v>
      </c>
      <c r="AA164" s="8">
        <v>10.1</v>
      </c>
      <c r="AB164" s="8">
        <v>-15.6</v>
      </c>
      <c r="AC164" s="8">
        <v>-34.6</v>
      </c>
      <c r="AD164" s="8">
        <v>-78.5</v>
      </c>
      <c r="AE164" s="8">
        <v>-82</v>
      </c>
      <c r="AF164" s="8">
        <v>-106</v>
      </c>
      <c r="AG164" s="8">
        <v>-100.4</v>
      </c>
      <c r="AH164" s="8">
        <v>-83.40000000000001</v>
      </c>
      <c r="AI164" s="8">
        <v>-108</v>
      </c>
      <c r="AJ164" s="8">
        <v>-95</v>
      </c>
      <c r="AK164" s="8">
        <v>-85.59999999999999</v>
      </c>
      <c r="AL164" s="8">
        <v>-102.3</v>
      </c>
      <c r="AM164" s="8">
        <v>-66.5</v>
      </c>
      <c r="AN164" s="8">
        <v>-80.7</v>
      </c>
      <c r="AO164" s="8">
        <v>-113.3</v>
      </c>
      <c r="AP164" s="8">
        <v>-105</v>
      </c>
      <c r="AQ164" s="8">
        <v>-109.4</v>
      </c>
      <c r="AR164" s="8">
        <v>-116.4</v>
      </c>
      <c r="AS164" s="8">
        <v>-107.3</v>
      </c>
      <c r="AT164" s="8">
        <v>-155.7</v>
      </c>
      <c r="AU164" s="8">
        <v>-96.2</v>
      </c>
      <c r="AV164" s="8">
        <v>-109.4</v>
      </c>
      <c r="AW164" s="8">
        <v>-115.9</v>
      </c>
      <c r="AX164" s="8">
        <v>-122.6</v>
      </c>
      <c r="AY164" s="8">
        <v>30.6</v>
      </c>
      <c r="AZ164" s="8">
        <v>117.8</v>
      </c>
      <c r="BA164" s="8">
        <v>131.2</v>
      </c>
      <c r="BB164" s="8">
        <v>68</v>
      </c>
      <c r="BC164" s="8">
        <v>18.1</v>
      </c>
      <c r="BD164" s="8">
        <v>-202.5</v>
      </c>
      <c r="BE164" s="8">
        <v>-95.90000000000001</v>
      </c>
      <c r="BF164" s="8">
        <v>-61.5</v>
      </c>
      <c r="BG164" s="8">
        <v>-84.5</v>
      </c>
      <c r="BH164" s="8">
        <v>-87.09999999999999</v>
      </c>
      <c r="BI164" s="8">
        <v>-75.59999999999999</v>
      </c>
      <c r="BJ164" s="8">
        <v>-65</v>
      </c>
      <c r="BK164" s="8">
        <v>10.1</v>
      </c>
      <c r="BL164" s="8">
        <v>72.09999999999999</v>
      </c>
      <c r="BM164" s="8">
        <v>38.1</v>
      </c>
      <c r="BN164" s="8">
        <v>-30.5</v>
      </c>
      <c r="BO164" s="8">
        <v>-44.9</v>
      </c>
      <c r="BP164" s="8">
        <v>-11.4</v>
      </c>
      <c r="BQ164" s="8">
        <v>-50</v>
      </c>
      <c r="BR164" s="8">
        <v>-58.2</v>
      </c>
      <c r="BS164" s="8">
        <v>-51.6</v>
      </c>
      <c r="BT164" s="8">
        <v>-55.4</v>
      </c>
      <c r="BU164" s="8">
        <v>-49.6</v>
      </c>
      <c r="BV164" s="8">
        <v>-42.1</v>
      </c>
      <c r="BW164" s="8">
        <v>-32.5</v>
      </c>
      <c r="BX164" s="8">
        <v>-19.5</v>
      </c>
      <c r="BY164" s="8">
        <v>-25.6</v>
      </c>
      <c r="BZ164" s="8">
        <v>-30.7</v>
      </c>
      <c r="CA164" s="8">
        <v>-37.7</v>
      </c>
      <c r="CB164" s="8">
        <v>-32.8</v>
      </c>
      <c r="CC164" s="8">
        <v>-46.1</v>
      </c>
      <c r="CD164" s="8">
        <v>-67</v>
      </c>
      <c r="CE164" s="8">
        <v>-59.4</v>
      </c>
      <c r="CF164" s="8">
        <v>-59.6</v>
      </c>
      <c r="CG164" s="8">
        <v>-63.4</v>
      </c>
      <c r="CH164" s="8">
        <v>-64.09999999999999</v>
      </c>
      <c r="CI164" s="8">
        <v>-54.5</v>
      </c>
      <c r="CJ164" s="8">
        <v>-74</v>
      </c>
      <c r="CK164" s="8">
        <v>-66.3</v>
      </c>
      <c r="CL164" s="8">
        <v>-45.9</v>
      </c>
      <c r="CM164" s="8">
        <v>-9.800000000000001</v>
      </c>
      <c r="CN164" s="8">
        <v>-84.2</v>
      </c>
      <c r="CO164" s="8">
        <v>-85.5</v>
      </c>
      <c r="CP164" s="8">
        <v>-81.7</v>
      </c>
      <c r="CQ164" s="8">
        <v>-67</v>
      </c>
      <c r="CR164" s="8">
        <v>-55</v>
      </c>
      <c r="CS164" s="8">
        <v>-37.4</v>
      </c>
      <c r="CT164" s="8">
        <v>-18.5</v>
      </c>
      <c r="CU164" s="8">
        <v>18</v>
      </c>
      <c r="CV164" s="8">
        <v>0.1</v>
      </c>
      <c r="CW164" s="8">
        <v>3.1</v>
      </c>
      <c r="CX164" s="8">
        <v>204.7</v>
      </c>
      <c r="CY164" s="8">
        <v>-17.7</v>
      </c>
      <c r="CZ164" s="8">
        <v>-31.5</v>
      </c>
      <c r="DA164" s="8">
        <v>-20.2</v>
      </c>
      <c r="DB164" s="8">
        <v>10.3</v>
      </c>
      <c r="DC164" s="8">
        <v>17.1</v>
      </c>
      <c r="DD164" s="8">
        <v>-11.2</v>
      </c>
      <c r="DE164" s="8">
        <v>-37</v>
      </c>
      <c r="DF164" s="8">
        <v>-54.6</v>
      </c>
      <c r="DG164" s="8">
        <v>-64.2</v>
      </c>
      <c r="DH164" s="8">
        <v>-49.3</v>
      </c>
      <c r="DI164" s="8">
        <v>-36.1</v>
      </c>
      <c r="DJ164" s="8">
        <v>-44.6</v>
      </c>
      <c r="DK164" s="8">
        <v>-37.2</v>
      </c>
      <c r="DL164" s="8">
        <v>-21.6</v>
      </c>
      <c r="DM164" s="8">
        <v>34.9</v>
      </c>
      <c r="DN164" s="8">
        <v>-0.9</v>
      </c>
      <c r="DO164" s="8">
        <v>10</v>
      </c>
      <c r="DP164" s="8">
        <v>-16</v>
      </c>
      <c r="DQ164" s="8">
        <v>-26.6</v>
      </c>
      <c r="DR164" s="8">
        <v>-61.1</v>
      </c>
      <c r="DS164" s="8">
        <v>-60.4</v>
      </c>
      <c r="DT164" s="8">
        <v>-38.3</v>
      </c>
      <c r="DU164" s="8">
        <v>-66.7</v>
      </c>
      <c r="DV164" s="8">
        <v>-69.2</v>
      </c>
      <c r="DW164" s="8">
        <v>-93.8</v>
      </c>
      <c r="DX164" s="8">
        <v>-98.7</v>
      </c>
      <c r="DY164" s="8">
        <v>-100.9</v>
      </c>
      <c r="DZ164" s="8">
        <v>-102.4</v>
      </c>
      <c r="EA164" s="8">
        <v>-106.9</v>
      </c>
      <c r="EB164" s="8">
        <v>-105.5</v>
      </c>
      <c r="EC164" s="8">
        <v>-63.4</v>
      </c>
      <c r="ED164" s="8">
        <v>-63.1</v>
      </c>
      <c r="EE164" s="8">
        <v>-73.3</v>
      </c>
      <c r="EF164" s="8">
        <v>-95.90000000000001</v>
      </c>
      <c r="EG164" s="8">
        <v>-87.5</v>
      </c>
      <c r="EH164" s="8">
        <v>-81.2</v>
      </c>
      <c r="EI164" s="8">
        <v>-105.4</v>
      </c>
      <c r="EJ164" s="8">
        <v>-107.4</v>
      </c>
      <c r="EK164" s="8">
        <v>-88.40000000000001</v>
      </c>
      <c r="EL164" s="8">
        <v>-67.09999999999999</v>
      </c>
      <c r="EM164" s="8">
        <v>-62.4</v>
      </c>
      <c r="EN164" s="8">
        <v>-62.3</v>
      </c>
      <c r="EO164" s="8">
        <v>-59.7</v>
      </c>
      <c r="EP164" s="8">
        <v>-15.1</v>
      </c>
      <c r="EQ164" s="8">
        <v>-3.4</v>
      </c>
      <c r="ER164" s="8">
        <v>-9.4</v>
      </c>
      <c r="ES164" s="8">
        <v>-6.3</v>
      </c>
      <c r="ET164" s="8">
        <v>-6.2</v>
      </c>
      <c r="EU164" s="8">
        <v>1.6</v>
      </c>
      <c r="EV164" s="8">
        <v>-1.2</v>
      </c>
    </row>
    <row r="165" spans="1:152">
      <c r="A165" s="7">
        <v>37.25</v>
      </c>
      <c r="F165" s="8">
        <v>-91.3</v>
      </c>
      <c r="G165" s="8">
        <v>-77.5</v>
      </c>
      <c r="H165" s="8">
        <v>-61.9</v>
      </c>
      <c r="I165" s="8">
        <v>-54.4</v>
      </c>
      <c r="J165" s="8">
        <v>-91.2</v>
      </c>
      <c r="K165" s="8">
        <v>-101.7</v>
      </c>
      <c r="L165" s="8">
        <v>-96.59999999999999</v>
      </c>
      <c r="M165" s="8">
        <v>-95.5</v>
      </c>
      <c r="N165" s="8">
        <v>-79.7</v>
      </c>
      <c r="O165" s="8">
        <v>-70.8</v>
      </c>
      <c r="P165" s="8">
        <v>-70.90000000000001</v>
      </c>
      <c r="Q165" s="8">
        <v>-58.5</v>
      </c>
      <c r="R165" s="8">
        <v>-63</v>
      </c>
      <c r="S165" s="8">
        <v>-53.8</v>
      </c>
      <c r="T165" s="8">
        <v>-73.7</v>
      </c>
      <c r="U165" s="8">
        <v>-67.90000000000001</v>
      </c>
      <c r="V165" s="8">
        <v>-71.5</v>
      </c>
      <c r="W165" s="8">
        <v>97.59999999999999</v>
      </c>
      <c r="X165" s="8">
        <v>192.2</v>
      </c>
      <c r="Y165" s="8">
        <v>90.40000000000001</v>
      </c>
      <c r="Z165" s="8">
        <v>168</v>
      </c>
      <c r="AA165" s="8">
        <v>54.6</v>
      </c>
      <c r="AB165" s="8">
        <v>-46.7</v>
      </c>
      <c r="AC165" s="8">
        <v>-146.2</v>
      </c>
      <c r="AD165" s="8">
        <v>-119</v>
      </c>
      <c r="AE165" s="8">
        <v>-63.4</v>
      </c>
      <c r="AF165" s="8">
        <v>-99.2</v>
      </c>
      <c r="AG165" s="8">
        <v>-102.2</v>
      </c>
      <c r="AH165" s="8">
        <v>2.1</v>
      </c>
      <c r="AI165" s="8">
        <v>-53.3</v>
      </c>
      <c r="AJ165" s="8">
        <v>-97.3</v>
      </c>
      <c r="AK165" s="8">
        <v>-125.2</v>
      </c>
      <c r="AL165" s="8">
        <v>-98.59999999999999</v>
      </c>
      <c r="AM165" s="8">
        <v>-113.6</v>
      </c>
      <c r="AN165" s="8">
        <v>-99.5</v>
      </c>
      <c r="AO165" s="8">
        <v>-122.9</v>
      </c>
      <c r="AP165" s="8">
        <v>-116.8</v>
      </c>
      <c r="AQ165" s="8">
        <v>-115.5</v>
      </c>
      <c r="AR165" s="8">
        <v>-106.8</v>
      </c>
      <c r="AS165" s="8">
        <v>-109.5</v>
      </c>
      <c r="AT165" s="8">
        <v>-107</v>
      </c>
      <c r="AU165" s="8">
        <v>-132.5</v>
      </c>
      <c r="AV165" s="8">
        <v>-99.5</v>
      </c>
      <c r="AW165" s="8">
        <v>-122.6</v>
      </c>
      <c r="AX165" s="8">
        <v>-88.90000000000001</v>
      </c>
      <c r="AY165" s="8">
        <v>-46.6</v>
      </c>
      <c r="AZ165" s="8">
        <v>63.9</v>
      </c>
      <c r="BA165" s="8">
        <v>18.2</v>
      </c>
      <c r="BB165" s="8">
        <v>5.8</v>
      </c>
      <c r="BC165" s="8">
        <v>10.4</v>
      </c>
      <c r="BD165" s="8">
        <v>-122.5</v>
      </c>
      <c r="BE165" s="8">
        <v>-103.5</v>
      </c>
      <c r="BF165" s="8">
        <v>-94.40000000000001</v>
      </c>
      <c r="BG165" s="8">
        <v>-74.90000000000001</v>
      </c>
      <c r="BH165" s="8">
        <v>-135.7</v>
      </c>
      <c r="BI165" s="8">
        <v>-22.6</v>
      </c>
      <c r="BJ165" s="8">
        <v>-84.8</v>
      </c>
      <c r="BK165" s="8">
        <v>-62.8</v>
      </c>
      <c r="BL165" s="8">
        <v>-85.8</v>
      </c>
      <c r="BM165" s="8">
        <v>-67.2</v>
      </c>
      <c r="BN165" s="8">
        <v>13.3</v>
      </c>
      <c r="BO165" s="8">
        <v>2.2</v>
      </c>
      <c r="BP165" s="8">
        <v>-0.6</v>
      </c>
      <c r="BQ165" s="8">
        <v>-26.7</v>
      </c>
      <c r="BR165" s="8">
        <v>-45.1</v>
      </c>
      <c r="BS165" s="8">
        <v>-37.9</v>
      </c>
      <c r="BT165" s="8">
        <v>-62.7</v>
      </c>
      <c r="BU165" s="8">
        <v>-40.7</v>
      </c>
      <c r="BV165" s="8">
        <v>-36.6</v>
      </c>
      <c r="BW165" s="8">
        <v>-35.4</v>
      </c>
      <c r="BX165" s="8">
        <v>-35.1</v>
      </c>
      <c r="BY165" s="8">
        <v>-38.5</v>
      </c>
      <c r="BZ165" s="8">
        <v>-40.3</v>
      </c>
      <c r="CA165" s="8">
        <v>-43.3</v>
      </c>
      <c r="CB165" s="8">
        <v>-32.7</v>
      </c>
      <c r="CC165" s="8">
        <v>-34.1</v>
      </c>
      <c r="CD165" s="8">
        <v>-39</v>
      </c>
      <c r="CE165" s="8">
        <v>-60.8</v>
      </c>
      <c r="CF165" s="8">
        <v>-65.7</v>
      </c>
      <c r="CG165" s="8">
        <v>-73.3</v>
      </c>
      <c r="CH165" s="8">
        <v>-82.90000000000001</v>
      </c>
      <c r="CI165" s="8">
        <v>-96</v>
      </c>
      <c r="CJ165" s="8">
        <v>-107.4</v>
      </c>
      <c r="CK165" s="8">
        <v>-107.5</v>
      </c>
      <c r="CL165" s="8">
        <v>-134.6</v>
      </c>
      <c r="CM165" s="8">
        <v>-110.3</v>
      </c>
      <c r="CN165" s="8">
        <v>-132</v>
      </c>
      <c r="CO165" s="8">
        <v>-111.3</v>
      </c>
      <c r="CP165" s="8">
        <v>-69.59999999999999</v>
      </c>
      <c r="CQ165" s="8">
        <v>-50.3</v>
      </c>
      <c r="CR165" s="8">
        <v>-44.6</v>
      </c>
      <c r="CS165" s="8">
        <v>-25.9</v>
      </c>
      <c r="CT165" s="8">
        <v>-17.1</v>
      </c>
      <c r="CU165" s="8">
        <v>61.2</v>
      </c>
      <c r="CV165" s="8">
        <v>-2.4</v>
      </c>
      <c r="CW165" s="8">
        <v>-23.3</v>
      </c>
      <c r="CX165" s="8">
        <v>-8.1</v>
      </c>
      <c r="CY165" s="8">
        <v>-24.3</v>
      </c>
      <c r="CZ165" s="8">
        <v>-29.5</v>
      </c>
      <c r="DA165" s="8">
        <v>-10.2</v>
      </c>
      <c r="DB165" s="8">
        <v>25.7</v>
      </c>
      <c r="DC165" s="8">
        <v>53.8</v>
      </c>
      <c r="DD165" s="8">
        <v>10.9</v>
      </c>
      <c r="DE165" s="8">
        <v>-10.4</v>
      </c>
      <c r="DF165" s="8">
        <v>-40</v>
      </c>
      <c r="DG165" s="8">
        <v>-52.5</v>
      </c>
      <c r="DH165" s="8">
        <v>-53.2</v>
      </c>
      <c r="DI165" s="8">
        <v>-58.9</v>
      </c>
      <c r="DJ165" s="8">
        <v>-63.2</v>
      </c>
      <c r="DK165" s="8">
        <v>-58</v>
      </c>
      <c r="DL165" s="8">
        <v>-65.3</v>
      </c>
      <c r="DM165" s="8">
        <v>-56.2</v>
      </c>
      <c r="DN165" s="8">
        <v>-14.5</v>
      </c>
      <c r="DO165" s="8">
        <v>-16.3</v>
      </c>
      <c r="DP165" s="8">
        <v>-76.90000000000001</v>
      </c>
      <c r="DQ165" s="8">
        <v>-86.5</v>
      </c>
      <c r="DR165" s="8">
        <v>-113.2</v>
      </c>
      <c r="DS165" s="8">
        <v>-91.5</v>
      </c>
      <c r="DT165" s="8">
        <v>-94.90000000000001</v>
      </c>
      <c r="DU165" s="8">
        <v>-88.8</v>
      </c>
      <c r="DV165" s="8">
        <v>-65.59999999999999</v>
      </c>
      <c r="DW165" s="8">
        <v>-83.59999999999999</v>
      </c>
      <c r="DX165" s="8">
        <v>-82.09999999999999</v>
      </c>
      <c r="DY165" s="8">
        <v>-95.59999999999999</v>
      </c>
      <c r="DZ165" s="8">
        <v>-104</v>
      </c>
      <c r="EA165" s="8">
        <v>-102.4</v>
      </c>
      <c r="EB165" s="8">
        <v>-41.5</v>
      </c>
      <c r="EC165" s="8">
        <v>-57.7</v>
      </c>
      <c r="ED165" s="8">
        <v>-75.2</v>
      </c>
      <c r="EE165" s="8">
        <v>-84.09999999999999</v>
      </c>
      <c r="EF165" s="8">
        <v>-99.09999999999999</v>
      </c>
      <c r="EG165" s="8">
        <v>-104.8</v>
      </c>
      <c r="EH165" s="8">
        <v>-85.90000000000001</v>
      </c>
      <c r="EI165" s="8">
        <v>-94.8</v>
      </c>
      <c r="EJ165" s="8">
        <v>-76.59999999999999</v>
      </c>
      <c r="EK165" s="8">
        <v>-60.7</v>
      </c>
      <c r="EL165" s="8">
        <v>-29.3</v>
      </c>
      <c r="EM165" s="8">
        <v>-28.1</v>
      </c>
      <c r="EN165" s="8">
        <v>-35.3</v>
      </c>
      <c r="EO165" s="8">
        <v>-28.7</v>
      </c>
      <c r="EP165" s="8">
        <v>-7.6</v>
      </c>
      <c r="EQ165" s="8">
        <v>11.2</v>
      </c>
      <c r="ER165" s="8">
        <v>-11.2</v>
      </c>
      <c r="ES165" s="8">
        <v>-34.6</v>
      </c>
      <c r="ET165" s="8">
        <v>22.9</v>
      </c>
      <c r="EU165" s="8">
        <v>-6.6</v>
      </c>
      <c r="EV165" s="8">
        <v>14.9</v>
      </c>
    </row>
    <row r="166" spans="1:152">
      <c r="A166" s="7">
        <v>37.275</v>
      </c>
      <c r="L166" s="8">
        <v>-85.5</v>
      </c>
      <c r="M166" s="8">
        <v>-61.1</v>
      </c>
      <c r="N166" s="8">
        <v>-75.59999999999999</v>
      </c>
      <c r="O166" s="8">
        <v>-64.40000000000001</v>
      </c>
      <c r="P166" s="8">
        <v>-20.3</v>
      </c>
      <c r="Q166" s="8">
        <v>36.3</v>
      </c>
      <c r="R166" s="8">
        <v>29</v>
      </c>
      <c r="S166" s="8">
        <v>-11.7</v>
      </c>
      <c r="T166" s="8">
        <v>-33.2</v>
      </c>
      <c r="U166" s="8">
        <v>-65.7</v>
      </c>
      <c r="V166" s="8">
        <v>-40.3</v>
      </c>
      <c r="W166" s="8">
        <v>167.9</v>
      </c>
      <c r="X166" s="8">
        <v>144.3</v>
      </c>
      <c r="Y166" s="8">
        <v>8.6</v>
      </c>
      <c r="Z166" s="8">
        <v>33.6</v>
      </c>
      <c r="AA166" s="8">
        <v>39.9</v>
      </c>
      <c r="AB166" s="8">
        <v>65.2</v>
      </c>
      <c r="AC166" s="8">
        <v>-28.4</v>
      </c>
      <c r="AD166" s="8">
        <v>-29.7</v>
      </c>
      <c r="AE166" s="8">
        <v>-48.4</v>
      </c>
      <c r="AF166" s="8">
        <v>-67.59999999999999</v>
      </c>
      <c r="AG166" s="8">
        <v>-77.90000000000001</v>
      </c>
      <c r="AH166" s="8">
        <v>-72.40000000000001</v>
      </c>
      <c r="AI166" s="8">
        <v>-64</v>
      </c>
      <c r="AJ166" s="8">
        <v>-77</v>
      </c>
      <c r="AK166" s="8">
        <v>-64.5</v>
      </c>
      <c r="AL166" s="8">
        <v>-70.59999999999999</v>
      </c>
      <c r="AM166" s="8">
        <v>-77.7</v>
      </c>
      <c r="AN166" s="8">
        <v>-74.5</v>
      </c>
      <c r="AO166" s="8">
        <v>-75.09999999999999</v>
      </c>
      <c r="AP166" s="8">
        <v>-81.09999999999999</v>
      </c>
      <c r="AQ166" s="8">
        <v>-76.8</v>
      </c>
      <c r="AR166" s="8">
        <v>-79.3</v>
      </c>
      <c r="AS166" s="8">
        <v>-48</v>
      </c>
      <c r="AT166" s="8">
        <v>-16.4</v>
      </c>
      <c r="AU166" s="8">
        <v>-99.40000000000001</v>
      </c>
      <c r="AV166" s="8">
        <v>-101.1</v>
      </c>
      <c r="AW166" s="8">
        <v>-150.7</v>
      </c>
      <c r="AX166" s="8">
        <v>-62.4</v>
      </c>
      <c r="AY166" s="8">
        <v>69.40000000000001</v>
      </c>
      <c r="AZ166" s="8">
        <v>-148.7</v>
      </c>
      <c r="BA166" s="8">
        <v>-102.2</v>
      </c>
      <c r="BB166" s="8">
        <v>-127</v>
      </c>
      <c r="BC166" s="8">
        <v>-159.2</v>
      </c>
      <c r="BD166" s="8">
        <v>-159.6</v>
      </c>
      <c r="BE166" s="8">
        <v>-131</v>
      </c>
      <c r="BF166" s="8">
        <v>-44.5</v>
      </c>
      <c r="BG166" s="8">
        <v>-62.8</v>
      </c>
      <c r="BH166" s="8">
        <v>-72.7</v>
      </c>
      <c r="BI166" s="8">
        <v>-56.7</v>
      </c>
      <c r="BJ166" s="8">
        <v>-76.90000000000001</v>
      </c>
      <c r="BK166" s="8">
        <v>-69.59999999999999</v>
      </c>
      <c r="BL166" s="8">
        <v>-78.8</v>
      </c>
      <c r="BM166" s="8">
        <v>-95.7</v>
      </c>
      <c r="BN166" s="8">
        <v>-62.9</v>
      </c>
      <c r="BO166" s="8">
        <v>-71</v>
      </c>
      <c r="BP166" s="8">
        <v>-27.7</v>
      </c>
      <c r="BQ166" s="8">
        <v>-9.699999999999999</v>
      </c>
      <c r="BR166" s="8">
        <v>-31.4</v>
      </c>
      <c r="BS166" s="8">
        <v>-40.5</v>
      </c>
      <c r="BT166" s="8">
        <v>-51.6</v>
      </c>
      <c r="BU166" s="8">
        <v>-52.2</v>
      </c>
      <c r="BV166" s="8">
        <v>-44</v>
      </c>
      <c r="BW166" s="8">
        <v>-28.1</v>
      </c>
      <c r="BX166" s="8">
        <v>-33.8</v>
      </c>
      <c r="BY166" s="8">
        <v>-38</v>
      </c>
      <c r="BZ166" s="8">
        <v>-39.9</v>
      </c>
      <c r="CA166" s="8">
        <v>-34.6</v>
      </c>
      <c r="CB166" s="8">
        <v>-31.7</v>
      </c>
      <c r="CC166" s="8">
        <v>-34</v>
      </c>
      <c r="CD166" s="8">
        <v>-39.5</v>
      </c>
      <c r="CE166" s="8">
        <v>-41.3</v>
      </c>
      <c r="CF166" s="8">
        <v>-39.4</v>
      </c>
      <c r="CG166" s="8">
        <v>-52</v>
      </c>
      <c r="CH166" s="8">
        <v>-59.8</v>
      </c>
      <c r="CI166" s="8">
        <v>-72.09999999999999</v>
      </c>
      <c r="CJ166" s="8">
        <v>-48.9</v>
      </c>
      <c r="CK166" s="8">
        <v>-77.3</v>
      </c>
      <c r="CL166" s="8">
        <v>-80.8</v>
      </c>
      <c r="CM166" s="8">
        <v>-74.09999999999999</v>
      </c>
      <c r="CN166" s="8">
        <v>-87.90000000000001</v>
      </c>
      <c r="CO166" s="8">
        <v>-96</v>
      </c>
      <c r="CP166" s="8">
        <v>-83.3</v>
      </c>
      <c r="CQ166" s="8">
        <v>-96.59999999999999</v>
      </c>
      <c r="CR166" s="8">
        <v>-48.5</v>
      </c>
      <c r="CS166" s="8">
        <v>-67.5</v>
      </c>
      <c r="CT166" s="8">
        <v>-41.4</v>
      </c>
      <c r="CU166" s="8">
        <v>-46.4</v>
      </c>
      <c r="CV166" s="8">
        <v>-13</v>
      </c>
      <c r="CW166" s="8">
        <v>-8.699999999999999</v>
      </c>
      <c r="CX166" s="8">
        <v>-1.8</v>
      </c>
      <c r="CY166" s="8">
        <v>-2.6</v>
      </c>
      <c r="CZ166" s="8">
        <v>-3</v>
      </c>
      <c r="DA166" s="8">
        <v>-8.699999999999999</v>
      </c>
      <c r="DB166" s="8">
        <v>80.3</v>
      </c>
      <c r="DC166" s="8">
        <v>77.5</v>
      </c>
      <c r="DD166" s="8">
        <v>31.3</v>
      </c>
      <c r="DE166" s="8">
        <v>3.9</v>
      </c>
      <c r="DF166" s="8">
        <v>-27.5</v>
      </c>
      <c r="DG166" s="8">
        <v>-38.6</v>
      </c>
      <c r="DH166" s="8">
        <v>-7.5</v>
      </c>
      <c r="DI166" s="8">
        <v>-41.5</v>
      </c>
      <c r="DJ166" s="8">
        <v>-57.6</v>
      </c>
      <c r="DK166" s="8">
        <v>-68.3</v>
      </c>
      <c r="DL166" s="8">
        <v>-73.8</v>
      </c>
      <c r="DM166" s="8">
        <v>-75.09999999999999</v>
      </c>
      <c r="DN166" s="8">
        <v>-50.3</v>
      </c>
      <c r="DO166" s="8">
        <v>-35.6</v>
      </c>
      <c r="DP166" s="8">
        <v>-37.2</v>
      </c>
      <c r="DQ166" s="8">
        <v>-52.6</v>
      </c>
      <c r="DR166" s="8">
        <v>-67.3</v>
      </c>
      <c r="DS166" s="8">
        <v>-78.5</v>
      </c>
      <c r="DT166" s="8">
        <v>-53.8</v>
      </c>
      <c r="DU166" s="8">
        <v>-67.5</v>
      </c>
      <c r="DV166" s="8">
        <v>-87</v>
      </c>
      <c r="DW166" s="8">
        <v>-50</v>
      </c>
      <c r="DX166" s="8">
        <v>-71.40000000000001</v>
      </c>
      <c r="DY166" s="8">
        <v>-86.3</v>
      </c>
      <c r="DZ166" s="8">
        <v>-97.90000000000001</v>
      </c>
      <c r="EA166" s="8">
        <v>-97.09999999999999</v>
      </c>
      <c r="EB166" s="8">
        <v>-91.09999999999999</v>
      </c>
      <c r="EC166" s="8">
        <v>-62.3</v>
      </c>
      <c r="ED166" s="8">
        <v>-56.6</v>
      </c>
      <c r="EE166" s="8">
        <v>-65.7</v>
      </c>
      <c r="EF166" s="8">
        <v>-77.7</v>
      </c>
      <c r="EG166" s="8">
        <v>-73.8</v>
      </c>
      <c r="EH166" s="8">
        <v>-75.8</v>
      </c>
      <c r="EI166" s="8">
        <v>-69.7</v>
      </c>
      <c r="EJ166" s="8">
        <v>-37.3</v>
      </c>
      <c r="EK166" s="8">
        <v>-36.5</v>
      </c>
      <c r="EL166" s="8">
        <v>-57.3</v>
      </c>
      <c r="EM166" s="8">
        <v>-44</v>
      </c>
      <c r="EN166" s="8">
        <v>-33.1</v>
      </c>
      <c r="EO166" s="8">
        <v>-25.5</v>
      </c>
    </row>
    <row r="167" spans="1:152">
      <c r="A167" s="7">
        <v>37.3</v>
      </c>
      <c r="K167" s="8">
        <v>-111.1</v>
      </c>
      <c r="L167" s="8">
        <v>-122.2</v>
      </c>
      <c r="M167" s="8">
        <v>-99.40000000000001</v>
      </c>
      <c r="N167" s="8">
        <v>-63.9</v>
      </c>
      <c r="O167" s="8">
        <v>-68.59999999999999</v>
      </c>
      <c r="P167" s="8">
        <v>-30</v>
      </c>
      <c r="Q167" s="8">
        <v>26.3</v>
      </c>
      <c r="R167" s="8">
        <v>-5.3</v>
      </c>
      <c r="S167" s="8">
        <v>-21.6</v>
      </c>
      <c r="T167" s="8">
        <v>-51.7</v>
      </c>
      <c r="U167" s="8">
        <v>-107.1</v>
      </c>
      <c r="V167" s="8">
        <v>22.2</v>
      </c>
      <c r="W167" s="8">
        <v>-155.5</v>
      </c>
      <c r="X167" s="8">
        <v>-63.4</v>
      </c>
      <c r="Y167" s="8">
        <v>-31.8</v>
      </c>
      <c r="Z167" s="8">
        <v>-51.1</v>
      </c>
      <c r="AA167" s="8">
        <v>-11.4</v>
      </c>
      <c r="AB167" s="8">
        <v>58.3</v>
      </c>
      <c r="AC167" s="8">
        <v>57</v>
      </c>
      <c r="AD167" s="8">
        <v>39.3</v>
      </c>
      <c r="AE167" s="8">
        <v>-25.4</v>
      </c>
      <c r="AF167" s="8">
        <v>-64.3</v>
      </c>
      <c r="AG167" s="8">
        <v>-25.8</v>
      </c>
      <c r="AH167" s="8">
        <v>-72.3</v>
      </c>
      <c r="AI167" s="8">
        <v>-111.3</v>
      </c>
      <c r="AJ167" s="8">
        <v>-110.9</v>
      </c>
      <c r="AK167" s="8">
        <v>-116.8</v>
      </c>
      <c r="AL167" s="8">
        <v>-119.6</v>
      </c>
      <c r="AM167" s="8">
        <v>-115.6</v>
      </c>
      <c r="AN167" s="8">
        <v>-114.5</v>
      </c>
      <c r="AO167" s="8">
        <v>-91.3</v>
      </c>
      <c r="AP167" s="8">
        <v>-117.1</v>
      </c>
      <c r="AQ167" s="8">
        <v>-74</v>
      </c>
      <c r="AR167" s="8">
        <v>64.40000000000001</v>
      </c>
      <c r="AS167" s="8">
        <v>-33.4</v>
      </c>
      <c r="AT167" s="8">
        <v>-86.8</v>
      </c>
      <c r="AU167" s="8">
        <v>-88.59999999999999</v>
      </c>
      <c r="AV167" s="8">
        <v>-104.5</v>
      </c>
      <c r="AW167" s="8">
        <v>-111.4</v>
      </c>
      <c r="AX167" s="8">
        <v>-174.3</v>
      </c>
      <c r="AY167" s="8">
        <v>-31.2</v>
      </c>
      <c r="AZ167" s="8">
        <v>-71</v>
      </c>
      <c r="BA167" s="8">
        <v>-190</v>
      </c>
      <c r="BB167" s="8">
        <v>-166.4</v>
      </c>
      <c r="BC167" s="8">
        <v>-103.1</v>
      </c>
      <c r="BD167" s="8">
        <v>-149.5</v>
      </c>
      <c r="BE167" s="8">
        <v>-129.5</v>
      </c>
      <c r="BF167" s="8">
        <v>-75.7</v>
      </c>
      <c r="BG167" s="8">
        <v>-80.8</v>
      </c>
      <c r="BH167" s="8">
        <v>-78.40000000000001</v>
      </c>
      <c r="BI167" s="8">
        <v>-101.2</v>
      </c>
      <c r="BJ167" s="8">
        <v>-88.5</v>
      </c>
      <c r="BK167" s="8">
        <v>-70.09999999999999</v>
      </c>
      <c r="BL167" s="8">
        <v>-56.8</v>
      </c>
      <c r="BM167" s="8">
        <v>-50.2</v>
      </c>
      <c r="BN167" s="8">
        <v>-50</v>
      </c>
      <c r="BO167" s="8">
        <v>-45.4</v>
      </c>
      <c r="BP167" s="8">
        <v>-59.9</v>
      </c>
      <c r="BQ167" s="8">
        <v>-32.9</v>
      </c>
      <c r="BR167" s="8">
        <v>-50.8</v>
      </c>
      <c r="BS167" s="8">
        <v>-42.8</v>
      </c>
      <c r="BT167" s="8">
        <v>-45</v>
      </c>
      <c r="BU167" s="8">
        <v>-36.9</v>
      </c>
      <c r="BV167" s="8">
        <v>-36.4</v>
      </c>
      <c r="BW167" s="8">
        <v>-31</v>
      </c>
      <c r="BX167" s="8">
        <v>-35.1</v>
      </c>
      <c r="BY167" s="8">
        <v>-35.5</v>
      </c>
      <c r="BZ167" s="8">
        <v>-43.6</v>
      </c>
      <c r="CA167" s="8">
        <v>-43.8</v>
      </c>
      <c r="CB167" s="8">
        <v>-36.6</v>
      </c>
      <c r="CC167" s="8">
        <v>-30</v>
      </c>
      <c r="CD167" s="8">
        <v>-23.8</v>
      </c>
      <c r="CE167" s="8">
        <v>-35.6</v>
      </c>
      <c r="CF167" s="8">
        <v>-33.9</v>
      </c>
      <c r="CG167" s="8">
        <v>-48.4</v>
      </c>
      <c r="CH167" s="8">
        <v>-58</v>
      </c>
      <c r="CI167" s="8">
        <v>-71</v>
      </c>
      <c r="CJ167" s="8">
        <v>-70.8</v>
      </c>
      <c r="CK167" s="8">
        <v>-94.09999999999999</v>
      </c>
      <c r="CL167" s="8">
        <v>-101</v>
      </c>
      <c r="CM167" s="8">
        <v>-108.8</v>
      </c>
      <c r="CN167" s="8">
        <v>-137.7</v>
      </c>
      <c r="CO167" s="8">
        <v>-103.4</v>
      </c>
      <c r="CP167" s="8">
        <v>-114.7</v>
      </c>
      <c r="CQ167" s="8">
        <v>-101.8</v>
      </c>
      <c r="CR167" s="8">
        <v>-98.59999999999999</v>
      </c>
      <c r="CS167" s="8">
        <v>-74.90000000000001</v>
      </c>
      <c r="CT167" s="8">
        <v>-52.7</v>
      </c>
      <c r="CU167" s="8">
        <v>-30.2</v>
      </c>
      <c r="CV167" s="8">
        <v>-13.8</v>
      </c>
      <c r="CW167" s="8">
        <v>13.2</v>
      </c>
      <c r="CX167" s="8">
        <v>63.9</v>
      </c>
      <c r="CY167" s="8">
        <v>26.7</v>
      </c>
      <c r="CZ167" s="8">
        <v>19.8</v>
      </c>
      <c r="DA167" s="8">
        <v>0.2</v>
      </c>
      <c r="DB167" s="8">
        <v>-109.3</v>
      </c>
      <c r="DC167" s="8">
        <v>89.90000000000001</v>
      </c>
      <c r="DD167" s="8">
        <v>18.4</v>
      </c>
      <c r="DE167" s="8">
        <v>1.8</v>
      </c>
      <c r="DF167" s="8">
        <v>-23.8</v>
      </c>
      <c r="DG167" s="8">
        <v>-52.5</v>
      </c>
      <c r="DH167" s="8">
        <v>-72.3</v>
      </c>
      <c r="DI167" s="8">
        <v>-35.5</v>
      </c>
      <c r="DJ167" s="8">
        <v>-44.1</v>
      </c>
      <c r="DK167" s="8">
        <v>-61.7</v>
      </c>
      <c r="DL167" s="8">
        <v>-72.5</v>
      </c>
      <c r="DM167" s="8">
        <v>-80.7</v>
      </c>
      <c r="DN167" s="8">
        <v>-60.8</v>
      </c>
      <c r="DO167" s="8">
        <v>-1.5</v>
      </c>
      <c r="DP167" s="8">
        <v>-2.8</v>
      </c>
      <c r="DQ167" s="8">
        <v>-19.4</v>
      </c>
      <c r="DR167" s="8">
        <v>-103.7</v>
      </c>
      <c r="DS167" s="8">
        <v>-80.7</v>
      </c>
      <c r="DT167" s="8">
        <v>-73.7</v>
      </c>
      <c r="DU167" s="8">
        <v>-59.7</v>
      </c>
      <c r="DV167" s="8">
        <v>-87.8</v>
      </c>
      <c r="DW167" s="8">
        <v>-10.9</v>
      </c>
      <c r="DX167" s="8">
        <v>-37</v>
      </c>
      <c r="DY167" s="8">
        <v>-96.09999999999999</v>
      </c>
      <c r="DZ167" s="8">
        <v>-93.7</v>
      </c>
      <c r="EA167" s="8">
        <v>-107.2</v>
      </c>
      <c r="EB167" s="8">
        <v>-85.09999999999999</v>
      </c>
      <c r="EC167" s="8">
        <v>-56.8</v>
      </c>
      <c r="ED167" s="8">
        <v>-66.90000000000001</v>
      </c>
      <c r="EE167" s="8">
        <v>-44.8</v>
      </c>
      <c r="EF167" s="8">
        <v>-58.1</v>
      </c>
      <c r="EG167" s="8">
        <v>-40.1</v>
      </c>
      <c r="EH167" s="8">
        <v>-58.3</v>
      </c>
      <c r="EI167" s="8">
        <v>-35.7</v>
      </c>
      <c r="EJ167" s="8">
        <v>-48.6</v>
      </c>
      <c r="EK167" s="8">
        <v>-30.1</v>
      </c>
      <c r="EL167" s="8">
        <v>-46.3</v>
      </c>
      <c r="EM167" s="8">
        <v>-9.699999999999999</v>
      </c>
      <c r="EN167" s="8">
        <v>17.3</v>
      </c>
    </row>
    <row r="168" spans="1:152">
      <c r="A168" s="7">
        <v>37.325</v>
      </c>
      <c r="K168" s="8">
        <v>-111.7</v>
      </c>
      <c r="L168" s="8">
        <v>-116.7</v>
      </c>
      <c r="M168" s="8">
        <v>-112.5</v>
      </c>
      <c r="N168" s="8">
        <v>-66.5</v>
      </c>
      <c r="O168" s="8">
        <v>30.2</v>
      </c>
      <c r="P168" s="8">
        <v>-0.8</v>
      </c>
      <c r="Q168" s="8">
        <v>21</v>
      </c>
      <c r="R168" s="8">
        <v>-61.2</v>
      </c>
      <c r="S168" s="8">
        <v>-68.09999999999999</v>
      </c>
      <c r="T168" s="8">
        <v>-34.3</v>
      </c>
      <c r="U168" s="8">
        <v>-40</v>
      </c>
      <c r="V168" s="8">
        <v>-29.9</v>
      </c>
      <c r="W168" s="8">
        <v>-164.6</v>
      </c>
      <c r="X168" s="8">
        <v>-112.8</v>
      </c>
      <c r="Y168" s="8">
        <v>-54.9</v>
      </c>
      <c r="Z168" s="8">
        <v>-84</v>
      </c>
      <c r="AA168" s="8">
        <v>-39.3</v>
      </c>
      <c r="AB168" s="8">
        <v>-64.5</v>
      </c>
      <c r="AC168" s="8">
        <v>-59</v>
      </c>
      <c r="AD168" s="8">
        <v>-32.8</v>
      </c>
      <c r="AE168" s="8">
        <v>-105.8</v>
      </c>
      <c r="AF168" s="8">
        <v>-10.3</v>
      </c>
      <c r="AG168" s="8">
        <v>-30.9</v>
      </c>
      <c r="AH168" s="8">
        <v>-59.9</v>
      </c>
      <c r="AI168" s="8">
        <v>-126.5</v>
      </c>
      <c r="AJ168" s="8">
        <v>-36.4</v>
      </c>
      <c r="AK168" s="8">
        <v>-123.7</v>
      </c>
      <c r="AL168" s="8">
        <v>-114.7</v>
      </c>
      <c r="AM168" s="8">
        <v>-120.9</v>
      </c>
      <c r="AN168" s="8">
        <v>-99</v>
      </c>
      <c r="AO168" s="8">
        <v>-131.1</v>
      </c>
      <c r="AP168" s="8">
        <v>-228.7</v>
      </c>
      <c r="AQ168" s="8">
        <v>-95.09999999999999</v>
      </c>
      <c r="AR168" s="8">
        <v>35.6</v>
      </c>
      <c r="AS168" s="8">
        <v>-94.90000000000001</v>
      </c>
      <c r="AT168" s="8">
        <v>-6.8</v>
      </c>
      <c r="AU168" s="8">
        <v>-55.4</v>
      </c>
      <c r="AV168" s="8">
        <v>-64.09999999999999</v>
      </c>
      <c r="AW168" s="8">
        <v>-113.5</v>
      </c>
      <c r="AX168" s="8">
        <v>-24.7</v>
      </c>
      <c r="AY168" s="8">
        <v>-127.6</v>
      </c>
      <c r="AZ168" s="8">
        <v>-163.7</v>
      </c>
      <c r="BA168" s="8">
        <v>-156.2</v>
      </c>
      <c r="BB168" s="8">
        <v>-149.9</v>
      </c>
      <c r="BC168" s="8">
        <v>-38.9</v>
      </c>
      <c r="BD168" s="8">
        <v>-218.8</v>
      </c>
      <c r="BE168" s="8">
        <v>-102.4</v>
      </c>
      <c r="BF168" s="8">
        <v>-100.2</v>
      </c>
      <c r="BG168" s="8">
        <v>-101.3</v>
      </c>
      <c r="BH168" s="8">
        <v>-80.2</v>
      </c>
      <c r="BI168" s="8">
        <v>-83.90000000000001</v>
      </c>
      <c r="BJ168" s="8">
        <v>-81.2</v>
      </c>
      <c r="BK168" s="8">
        <v>-65.90000000000001</v>
      </c>
      <c r="BL168" s="8">
        <v>-53.4</v>
      </c>
      <c r="BM168" s="8">
        <v>-32.1</v>
      </c>
      <c r="BN168" s="8">
        <v>-54.2</v>
      </c>
      <c r="BO168" s="8">
        <v>-41.9</v>
      </c>
      <c r="BP168" s="8">
        <v>-61.9</v>
      </c>
      <c r="BQ168" s="8">
        <v>-48.6</v>
      </c>
      <c r="BR168" s="8">
        <v>-32.9</v>
      </c>
      <c r="BS168" s="8">
        <v>-15.8</v>
      </c>
      <c r="BT168" s="8">
        <v>-9.4</v>
      </c>
      <c r="BU168" s="8">
        <v>-16</v>
      </c>
      <c r="BV168" s="8">
        <v>-30.4</v>
      </c>
      <c r="BW168" s="8">
        <v>-31.5</v>
      </c>
      <c r="BX168" s="8">
        <v>-37.3</v>
      </c>
      <c r="BY168" s="8">
        <v>-43.5</v>
      </c>
      <c r="BZ168" s="8">
        <v>-41.8</v>
      </c>
      <c r="CA168" s="8">
        <v>-48.6</v>
      </c>
      <c r="CB168" s="8">
        <v>-39.8</v>
      </c>
      <c r="CC168" s="8">
        <v>-34.9</v>
      </c>
      <c r="CD168" s="8">
        <v>-24.1</v>
      </c>
      <c r="CE168" s="8">
        <v>-30.2</v>
      </c>
      <c r="CF168" s="8">
        <v>-33.8</v>
      </c>
      <c r="CG168" s="8">
        <v>-36.3</v>
      </c>
      <c r="CH168" s="8">
        <v>-40.4</v>
      </c>
      <c r="CI168" s="8">
        <v>-59.6</v>
      </c>
      <c r="CJ168" s="8">
        <v>-75.09999999999999</v>
      </c>
      <c r="CK168" s="8">
        <v>-81.09999999999999</v>
      </c>
      <c r="CL168" s="8">
        <v>-95.7</v>
      </c>
      <c r="CM168" s="8">
        <v>-107.8</v>
      </c>
      <c r="CN168" s="8">
        <v>-135.7</v>
      </c>
      <c r="CO168" s="8">
        <v>-69.5</v>
      </c>
      <c r="CP168" s="8">
        <v>-84.40000000000001</v>
      </c>
      <c r="CQ168" s="8">
        <v>-112.9</v>
      </c>
      <c r="CR168" s="8">
        <v>-95.40000000000001</v>
      </c>
      <c r="CS168" s="8">
        <v>-88.59999999999999</v>
      </c>
      <c r="CT168" s="8">
        <v>-55.8</v>
      </c>
      <c r="CU168" s="8">
        <v>-32.4</v>
      </c>
      <c r="CV168" s="8">
        <v>-19</v>
      </c>
      <c r="CW168" s="8">
        <v>-6.5</v>
      </c>
      <c r="CX168" s="8">
        <v>-2.5</v>
      </c>
      <c r="CY168" s="8">
        <v>10.1</v>
      </c>
      <c r="CZ168" s="8">
        <v>10.5</v>
      </c>
      <c r="DA168" s="8">
        <v>15.5</v>
      </c>
      <c r="DB168" s="8">
        <v>-35.4</v>
      </c>
      <c r="DC168" s="8">
        <v>-44.3</v>
      </c>
      <c r="DD168" s="8">
        <v>-11.6</v>
      </c>
      <c r="DE168" s="8">
        <v>-10.5</v>
      </c>
      <c r="DF168" s="8">
        <v>-33.2</v>
      </c>
      <c r="DG168" s="8">
        <v>-40.1</v>
      </c>
      <c r="DH168" s="8">
        <v>-17.5</v>
      </c>
      <c r="DI168" s="8">
        <v>-24.5</v>
      </c>
      <c r="DJ168" s="8">
        <v>-28.3</v>
      </c>
      <c r="DK168" s="8">
        <v>-51.8</v>
      </c>
      <c r="DL168" s="8">
        <v>-54.3</v>
      </c>
      <c r="DM168" s="8">
        <v>-55.7</v>
      </c>
      <c r="DN168" s="8">
        <v>-69</v>
      </c>
      <c r="DO168" s="8">
        <v>-45.5</v>
      </c>
      <c r="DP168" s="8">
        <v>-44.2</v>
      </c>
      <c r="DQ168" s="8">
        <v>-71</v>
      </c>
      <c r="DR168" s="8">
        <v>5.2</v>
      </c>
      <c r="DS168" s="8">
        <v>-103.7</v>
      </c>
      <c r="DT168" s="8">
        <v>-92.2</v>
      </c>
      <c r="DU168" s="8">
        <v>-83.90000000000001</v>
      </c>
      <c r="DV168" s="8">
        <v>-78.5</v>
      </c>
      <c r="DW168" s="8">
        <v>-110.2</v>
      </c>
      <c r="DX168" s="8">
        <v>-146.5</v>
      </c>
      <c r="DY168" s="8">
        <v>-135.5</v>
      </c>
      <c r="DZ168" s="8">
        <v>-109.9</v>
      </c>
      <c r="EA168" s="8">
        <v>-74</v>
      </c>
      <c r="EB168" s="8">
        <v>-19.6</v>
      </c>
      <c r="EC168" s="8">
        <v>-74.40000000000001</v>
      </c>
      <c r="ED168" s="8">
        <v>-67.5</v>
      </c>
      <c r="EE168" s="8">
        <v>-61.9</v>
      </c>
      <c r="EF168" s="8">
        <v>-61.9</v>
      </c>
      <c r="EG168" s="8">
        <v>-27.2</v>
      </c>
      <c r="EH168" s="8">
        <v>-25.1</v>
      </c>
      <c r="EI168" s="8">
        <v>28.3</v>
      </c>
      <c r="EJ168" s="8">
        <v>-58</v>
      </c>
      <c r="EK168" s="8">
        <v>-41.8</v>
      </c>
      <c r="EL168" s="8">
        <v>-17.7</v>
      </c>
      <c r="EM168" s="8">
        <v>-7.7</v>
      </c>
    </row>
    <row r="169" spans="1:152">
      <c r="A169" s="7">
        <v>37.35</v>
      </c>
      <c r="O169" s="8">
        <v>8.9</v>
      </c>
      <c r="P169" s="8">
        <v>32.2</v>
      </c>
      <c r="Q169" s="8">
        <v>25.7</v>
      </c>
      <c r="R169" s="8">
        <v>-29.5</v>
      </c>
      <c r="S169" s="8">
        <v>-14.4</v>
      </c>
      <c r="T169" s="8">
        <v>46.6</v>
      </c>
      <c r="U169" s="8">
        <v>-24.2</v>
      </c>
      <c r="V169" s="8">
        <v>-23.9</v>
      </c>
      <c r="W169" s="8">
        <v>-40.8</v>
      </c>
      <c r="X169" s="8">
        <v>-29.1</v>
      </c>
      <c r="Y169" s="8">
        <v>-7.8</v>
      </c>
      <c r="Z169" s="8">
        <v>-33.5</v>
      </c>
      <c r="AA169" s="8">
        <v>-49.9</v>
      </c>
      <c r="AB169" s="8">
        <v>-47.9</v>
      </c>
      <c r="AC169" s="8">
        <v>-44.7</v>
      </c>
      <c r="AD169" s="8">
        <v>-153.6</v>
      </c>
      <c r="AE169" s="8">
        <v>-163.9</v>
      </c>
      <c r="AF169" s="8">
        <v>-194.1</v>
      </c>
      <c r="AG169" s="8">
        <v>-160.4</v>
      </c>
      <c r="AH169" s="8">
        <v>-138.2</v>
      </c>
      <c r="AI169" s="8">
        <v>-149.6</v>
      </c>
      <c r="AJ169" s="8">
        <v>-64.3</v>
      </c>
      <c r="AK169" s="8">
        <v>-95.5</v>
      </c>
      <c r="AL169" s="8">
        <v>-112.2</v>
      </c>
      <c r="AM169" s="8">
        <v>-115.2</v>
      </c>
      <c r="AN169" s="8">
        <v>-148.5</v>
      </c>
      <c r="AO169" s="8">
        <v>-47.9</v>
      </c>
      <c r="AP169" s="8">
        <v>-180.2</v>
      </c>
      <c r="AQ169" s="8">
        <v>-90.09999999999999</v>
      </c>
      <c r="AR169" s="8">
        <v>-71.8</v>
      </c>
      <c r="AS169" s="8">
        <v>-74.8</v>
      </c>
      <c r="AT169" s="8">
        <v>-39.2</v>
      </c>
      <c r="AU169" s="8">
        <v>-49</v>
      </c>
      <c r="AV169" s="8">
        <v>-58.2</v>
      </c>
      <c r="AW169" s="8">
        <v>-82.2</v>
      </c>
      <c r="AX169" s="8">
        <v>-110.3</v>
      </c>
      <c r="AY169" s="8">
        <v>-125</v>
      </c>
      <c r="AZ169" s="8">
        <v>-141.7</v>
      </c>
      <c r="BA169" s="8">
        <v>-147.6</v>
      </c>
      <c r="BB169" s="8">
        <v>-130.7</v>
      </c>
      <c r="BC169" s="8">
        <v>-137.6</v>
      </c>
      <c r="BD169" s="8">
        <v>-189.9</v>
      </c>
      <c r="BE169" s="8">
        <v>-57.5</v>
      </c>
      <c r="BF169" s="8">
        <v>-85.90000000000001</v>
      </c>
      <c r="BG169" s="8">
        <v>-48.6</v>
      </c>
      <c r="BH169" s="8">
        <v>-6</v>
      </c>
      <c r="BI169" s="8">
        <v>-55.8</v>
      </c>
      <c r="BJ169" s="8">
        <v>-127.9</v>
      </c>
      <c r="BK169" s="8">
        <v>-54.8</v>
      </c>
      <c r="BL169" s="8">
        <v>-45.1</v>
      </c>
      <c r="BM169" s="8">
        <v>-45.4</v>
      </c>
      <c r="BN169" s="8">
        <v>-59.8</v>
      </c>
      <c r="BO169" s="8">
        <v>-55.2</v>
      </c>
      <c r="BP169" s="8">
        <v>-48.8</v>
      </c>
      <c r="BQ169" s="8">
        <v>-40.8</v>
      </c>
      <c r="BR169" s="8">
        <v>-37.8</v>
      </c>
      <c r="BS169" s="8">
        <v>-44.2</v>
      </c>
      <c r="BT169" s="8">
        <v>-49.1</v>
      </c>
      <c r="BU169" s="8">
        <v>8.4</v>
      </c>
      <c r="BV169" s="8">
        <v>4.1</v>
      </c>
      <c r="BW169" s="8">
        <v>-30.6</v>
      </c>
      <c r="BX169" s="8">
        <v>-37.8</v>
      </c>
      <c r="BY169" s="8">
        <v>-41.8</v>
      </c>
      <c r="BZ169" s="8">
        <v>-43.3</v>
      </c>
      <c r="CA169" s="8">
        <v>-46.3</v>
      </c>
      <c r="CB169" s="8">
        <v>-43.2</v>
      </c>
      <c r="CC169" s="8">
        <v>-41.2</v>
      </c>
      <c r="CD169" s="8">
        <v>-46.9</v>
      </c>
      <c r="CE169" s="8">
        <v>-25.7</v>
      </c>
      <c r="CF169" s="8">
        <v>-32.6</v>
      </c>
      <c r="CG169" s="8">
        <v>-44.4</v>
      </c>
      <c r="CH169" s="8">
        <v>-32.6</v>
      </c>
      <c r="CI169" s="8">
        <v>-56.3</v>
      </c>
      <c r="CJ169" s="8">
        <v>-73</v>
      </c>
      <c r="CK169" s="8">
        <v>-85.5</v>
      </c>
      <c r="CL169" s="8">
        <v>-83.8</v>
      </c>
      <c r="CM169" s="8">
        <v>-106.2</v>
      </c>
      <c r="CN169" s="8">
        <v>-97</v>
      </c>
      <c r="CO169" s="8">
        <v>-45.1</v>
      </c>
      <c r="CP169" s="8">
        <v>-56.6</v>
      </c>
      <c r="CQ169" s="8">
        <v>-109.8</v>
      </c>
      <c r="CR169" s="8">
        <v>-99.5</v>
      </c>
      <c r="CS169" s="8">
        <v>-105.6</v>
      </c>
      <c r="CT169" s="8">
        <v>-71.90000000000001</v>
      </c>
      <c r="CU169" s="8">
        <v>-47.1</v>
      </c>
      <c r="CV169" s="8">
        <v>-27.8</v>
      </c>
      <c r="CW169" s="8">
        <v>-5.6</v>
      </c>
      <c r="CX169" s="8">
        <v>9.699999999999999</v>
      </c>
      <c r="CY169" s="8">
        <v>-14.5</v>
      </c>
      <c r="CZ169" s="8">
        <v>-9.6</v>
      </c>
      <c r="DA169" s="8">
        <v>2.4</v>
      </c>
      <c r="DB169" s="8">
        <v>-16.3</v>
      </c>
      <c r="DC169" s="8">
        <v>-19.9</v>
      </c>
      <c r="DD169" s="8">
        <v>-30.6</v>
      </c>
      <c r="DE169" s="8">
        <v>-33.6</v>
      </c>
      <c r="DF169" s="8">
        <v>-46.8</v>
      </c>
      <c r="DG169" s="8">
        <v>-45.2</v>
      </c>
      <c r="DH169" s="8">
        <v>-23.7</v>
      </c>
      <c r="DI169" s="8">
        <v>-33.3</v>
      </c>
      <c r="DJ169" s="8">
        <v>-32.3</v>
      </c>
      <c r="DK169" s="8">
        <v>-41.1</v>
      </c>
      <c r="DL169" s="8">
        <v>-62.3</v>
      </c>
      <c r="DM169" s="8">
        <v>-81.90000000000001</v>
      </c>
      <c r="DN169" s="8">
        <v>-94.59999999999999</v>
      </c>
      <c r="DO169" s="8">
        <v>-43.2</v>
      </c>
      <c r="DP169" s="8">
        <v>-27.7</v>
      </c>
      <c r="DQ169" s="8">
        <v>-44.3</v>
      </c>
      <c r="DR169" s="8">
        <v>-1.9</v>
      </c>
      <c r="DS169" s="8">
        <v>-59.6</v>
      </c>
      <c r="DT169" s="8">
        <v>-107.8</v>
      </c>
      <c r="DU169" s="8">
        <v>-106.7</v>
      </c>
      <c r="DV169" s="8">
        <v>-94.59999999999999</v>
      </c>
      <c r="DW169" s="8">
        <v>-123.4</v>
      </c>
      <c r="DX169" s="8">
        <v>-116.3</v>
      </c>
      <c r="DY169" s="8">
        <v>-121.5</v>
      </c>
      <c r="DZ169" s="8">
        <v>-117.1</v>
      </c>
      <c r="EA169" s="8">
        <v>-81.40000000000001</v>
      </c>
      <c r="EB169" s="8">
        <v>-23</v>
      </c>
      <c r="EC169" s="8">
        <v>-42.8</v>
      </c>
      <c r="ED169" s="8">
        <v>-24.5</v>
      </c>
      <c r="EE169" s="8">
        <v>-17.8</v>
      </c>
      <c r="EF169" s="8">
        <v>-31.7</v>
      </c>
      <c r="EG169" s="8">
        <v>-48.1</v>
      </c>
      <c r="EH169" s="8">
        <v>2.4</v>
      </c>
      <c r="EI169" s="8">
        <v>18.6</v>
      </c>
      <c r="EJ169" s="8">
        <v>-71.59999999999999</v>
      </c>
      <c r="EK169" s="8">
        <v>-42.4</v>
      </c>
      <c r="EL169" s="8">
        <v>-8.1</v>
      </c>
    </row>
    <row r="170" spans="1:152">
      <c r="A170" s="7">
        <v>37.375</v>
      </c>
      <c r="O170" s="8">
        <v>68.2</v>
      </c>
      <c r="P170" s="8">
        <v>-8.6</v>
      </c>
      <c r="Q170" s="8">
        <v>-49.6</v>
      </c>
      <c r="R170" s="8">
        <v>-22.3</v>
      </c>
      <c r="S170" s="8">
        <v>-86.2</v>
      </c>
      <c r="T170" s="8">
        <v>-94.09999999999999</v>
      </c>
      <c r="U170" s="8">
        <v>-112.3</v>
      </c>
      <c r="V170" s="8">
        <v>-86.2</v>
      </c>
      <c r="W170" s="8">
        <v>14.2</v>
      </c>
      <c r="X170" s="8">
        <v>26.1</v>
      </c>
      <c r="Y170" s="8">
        <v>75.09999999999999</v>
      </c>
      <c r="Z170" s="8">
        <v>5.4</v>
      </c>
      <c r="AA170" s="8">
        <v>-95.59999999999999</v>
      </c>
      <c r="AB170" s="8">
        <v>-85.8</v>
      </c>
      <c r="AC170" s="8">
        <v>-136.3</v>
      </c>
      <c r="AD170" s="8">
        <v>-157.5</v>
      </c>
      <c r="AE170" s="8">
        <v>-156.3</v>
      </c>
      <c r="AF170" s="8">
        <v>-108.8</v>
      </c>
      <c r="AH170" s="8">
        <v>-110.9</v>
      </c>
      <c r="AI170" s="8">
        <v>-83.59999999999999</v>
      </c>
      <c r="AJ170" s="8">
        <v>-95.59999999999999</v>
      </c>
      <c r="AK170" s="8">
        <v>-160.7</v>
      </c>
      <c r="AL170" s="8">
        <v>-82.59999999999999</v>
      </c>
      <c r="AM170" s="8">
        <v>-97.09999999999999</v>
      </c>
      <c r="AN170" s="8">
        <v>-91.3</v>
      </c>
      <c r="AO170" s="8">
        <v>-115.9</v>
      </c>
      <c r="AP170" s="8">
        <v>-111.8</v>
      </c>
      <c r="AQ170" s="8">
        <v>-24</v>
      </c>
      <c r="AR170" s="8">
        <v>47.3</v>
      </c>
      <c r="AS170" s="8">
        <v>-31.9</v>
      </c>
      <c r="AT170" s="8">
        <v>-65.2</v>
      </c>
      <c r="AU170" s="8">
        <v>-106.5</v>
      </c>
      <c r="AV170" s="8">
        <v>-107.2</v>
      </c>
      <c r="AW170" s="8">
        <v>-145.6</v>
      </c>
      <c r="AX170" s="8">
        <v>-161.4</v>
      </c>
      <c r="AY170" s="8">
        <v>-41</v>
      </c>
      <c r="AZ170" s="8">
        <v>-128.9</v>
      </c>
      <c r="BA170" s="8">
        <v>-111.4</v>
      </c>
      <c r="BB170" s="8">
        <v>-110.5</v>
      </c>
      <c r="BC170" s="8">
        <v>-125.6</v>
      </c>
      <c r="BD170" s="8">
        <v>-154.1</v>
      </c>
      <c r="BE170" s="8">
        <v>-64.40000000000001</v>
      </c>
      <c r="BF170" s="8">
        <v>-115.2</v>
      </c>
      <c r="BG170" s="8">
        <v>-92.3</v>
      </c>
      <c r="BH170" s="8">
        <v>-96.40000000000001</v>
      </c>
      <c r="BI170" s="8">
        <v>-69.90000000000001</v>
      </c>
      <c r="BJ170" s="8">
        <v>-58.4</v>
      </c>
      <c r="BK170" s="8">
        <v>-64.2</v>
      </c>
      <c r="BL170" s="8">
        <v>-48.4</v>
      </c>
      <c r="BM170" s="8">
        <v>-53.2</v>
      </c>
      <c r="BN170" s="8">
        <v>-58.7</v>
      </c>
      <c r="BO170" s="8">
        <v>-54</v>
      </c>
      <c r="BP170" s="8">
        <v>-53.6</v>
      </c>
      <c r="BQ170" s="8">
        <v>-44.6</v>
      </c>
      <c r="BR170" s="8">
        <v>-39.2</v>
      </c>
      <c r="BS170" s="8">
        <v>-31.9</v>
      </c>
      <c r="BT170" s="8">
        <v>-38.7</v>
      </c>
      <c r="BU170" s="8">
        <v>-14.7</v>
      </c>
      <c r="BV170" s="8">
        <v>12</v>
      </c>
      <c r="BW170" s="8">
        <v>6.1</v>
      </c>
      <c r="BX170" s="8">
        <v>-11.3</v>
      </c>
      <c r="BY170" s="8">
        <v>-33.1</v>
      </c>
      <c r="BZ170" s="8">
        <v>-38</v>
      </c>
      <c r="CA170" s="8">
        <v>-48.3</v>
      </c>
      <c r="CB170" s="8">
        <v>-41.8</v>
      </c>
      <c r="CC170" s="8">
        <v>-39.6</v>
      </c>
      <c r="CD170" s="8">
        <v>-25.8</v>
      </c>
      <c r="CE170" s="8">
        <v>-12</v>
      </c>
      <c r="CF170" s="8">
        <v>-19.7</v>
      </c>
      <c r="CG170" s="8">
        <v>-33.1</v>
      </c>
      <c r="CH170" s="8">
        <v>-44.6</v>
      </c>
      <c r="CI170" s="8">
        <v>-50.2</v>
      </c>
      <c r="CJ170" s="8">
        <v>-58.8</v>
      </c>
      <c r="CK170" s="8">
        <v>-65.3</v>
      </c>
      <c r="CL170" s="8">
        <v>-75.8</v>
      </c>
      <c r="CM170" s="8">
        <v>-90.7</v>
      </c>
      <c r="CN170" s="8">
        <v>-88.3</v>
      </c>
      <c r="CO170" s="8">
        <v>-97.5</v>
      </c>
      <c r="CP170" s="8">
        <v>-177.8</v>
      </c>
      <c r="CQ170" s="8">
        <v>-101.7</v>
      </c>
      <c r="CR170" s="8">
        <v>-111.3</v>
      </c>
      <c r="CS170" s="8">
        <v>-98.3</v>
      </c>
      <c r="CT170" s="8">
        <v>-110.2</v>
      </c>
      <c r="CU170" s="8">
        <v>-101.1</v>
      </c>
      <c r="CV170" s="8">
        <v>-77.59999999999999</v>
      </c>
      <c r="CW170" s="8">
        <v>-5.8</v>
      </c>
      <c r="CX170" s="8">
        <v>-27</v>
      </c>
      <c r="CY170" s="8">
        <v>-10.2</v>
      </c>
      <c r="CZ170" s="8">
        <v>-16.6</v>
      </c>
      <c r="DA170" s="8">
        <v>-18</v>
      </c>
      <c r="DB170" s="8">
        <v>-16</v>
      </c>
      <c r="DC170" s="8">
        <v>-36.3</v>
      </c>
      <c r="DD170" s="8">
        <v>-39.9</v>
      </c>
      <c r="DE170" s="8">
        <v>-46.8</v>
      </c>
      <c r="DF170" s="8">
        <v>-52.5</v>
      </c>
      <c r="DG170" s="8">
        <v>-55.3</v>
      </c>
      <c r="DH170" s="8">
        <v>-69.7</v>
      </c>
      <c r="DI170" s="8">
        <v>-60.8</v>
      </c>
      <c r="DJ170" s="8">
        <v>-68.3</v>
      </c>
      <c r="DK170" s="8">
        <v>-46.4</v>
      </c>
      <c r="DL170" s="8">
        <v>-31.3</v>
      </c>
      <c r="DM170" s="8">
        <v>-76.40000000000001</v>
      </c>
      <c r="DN170" s="8">
        <v>-79.90000000000001</v>
      </c>
      <c r="DO170" s="8">
        <v>-92.09999999999999</v>
      </c>
      <c r="DP170" s="8">
        <v>-80.7</v>
      </c>
      <c r="DQ170" s="8">
        <v>-74.40000000000001</v>
      </c>
      <c r="DR170" s="8">
        <v>-41.9</v>
      </c>
      <c r="DS170" s="8">
        <v>-44.2</v>
      </c>
      <c r="DT170" s="8">
        <v>-45.4</v>
      </c>
      <c r="DU170" s="8">
        <v>-51.8</v>
      </c>
      <c r="DV170" s="8">
        <v>-44.9</v>
      </c>
      <c r="DW170" s="8">
        <v>-88.8</v>
      </c>
      <c r="DX170" s="8">
        <v>-71.59999999999999</v>
      </c>
      <c r="DY170" s="8">
        <v>-48.7</v>
      </c>
      <c r="DZ170" s="8">
        <v>-32.5</v>
      </c>
      <c r="EA170" s="8">
        <v>-9.199999999999999</v>
      </c>
      <c r="EB170" s="8">
        <v>35</v>
      </c>
      <c r="EC170" s="8">
        <v>86</v>
      </c>
      <c r="ED170" s="8">
        <v>95.7</v>
      </c>
      <c r="EE170" s="8">
        <v>30.4</v>
      </c>
      <c r="EF170" s="8">
        <v>-14.8</v>
      </c>
      <c r="EG170" s="8">
        <v>-41.2</v>
      </c>
      <c r="EH170" s="8">
        <v>-26.8</v>
      </c>
      <c r="EI170" s="8">
        <v>-61.8</v>
      </c>
      <c r="EJ170" s="8">
        <v>-66.59999999999999</v>
      </c>
      <c r="EK170" s="8">
        <v>-64.09999999999999</v>
      </c>
      <c r="EL170" s="8">
        <v>-41</v>
      </c>
    </row>
    <row r="171" spans="1:152">
      <c r="A171" s="7">
        <v>37.4</v>
      </c>
      <c r="O171" s="8">
        <v>5.1</v>
      </c>
      <c r="P171" s="8">
        <v>-105.6</v>
      </c>
      <c r="Q171" s="8">
        <v>-83.8</v>
      </c>
      <c r="R171" s="8">
        <v>-83.3</v>
      </c>
      <c r="S171" s="8">
        <v>-73.09999999999999</v>
      </c>
      <c r="T171" s="8">
        <v>-85</v>
      </c>
      <c r="U171" s="8">
        <v>-119.7</v>
      </c>
      <c r="V171" s="8">
        <v>-103.7</v>
      </c>
      <c r="W171" s="8">
        <v>-45.4</v>
      </c>
      <c r="X171" s="8">
        <v>-24.2</v>
      </c>
      <c r="Y171" s="8">
        <v>-7.5</v>
      </c>
      <c r="Z171" s="8">
        <v>-162.6</v>
      </c>
      <c r="AA171" s="8">
        <v>-140.5</v>
      </c>
      <c r="AB171" s="8">
        <v>-157.5</v>
      </c>
      <c r="AC171" s="8">
        <v>-165.7</v>
      </c>
      <c r="AD171" s="8">
        <v>-149.5</v>
      </c>
      <c r="AI171" s="8">
        <v>-75.90000000000001</v>
      </c>
      <c r="AJ171" s="8">
        <v>-59.2</v>
      </c>
      <c r="AK171" s="8">
        <v>-96.59999999999999</v>
      </c>
      <c r="AL171" s="8">
        <v>-101.9</v>
      </c>
      <c r="AM171" s="8">
        <v>-131.5</v>
      </c>
      <c r="AN171" s="8">
        <v>-82.3</v>
      </c>
      <c r="AO171" s="8">
        <v>-105.4</v>
      </c>
      <c r="AP171" s="8">
        <v>-134.7</v>
      </c>
      <c r="AQ171" s="8">
        <v>-79.3</v>
      </c>
      <c r="AR171" s="8">
        <v>-11.2</v>
      </c>
      <c r="AS171" s="8">
        <v>-95.40000000000001</v>
      </c>
      <c r="AT171" s="8">
        <v>-101.2</v>
      </c>
      <c r="AU171" s="8">
        <v>-121.7</v>
      </c>
      <c r="AV171" s="8">
        <v>-68.5</v>
      </c>
      <c r="AW171" s="8">
        <v>-133.5</v>
      </c>
      <c r="AX171" s="8">
        <v>-154.6</v>
      </c>
      <c r="AY171" s="8">
        <v>-144.3</v>
      </c>
      <c r="AZ171" s="8">
        <v>-156.5</v>
      </c>
      <c r="BA171" s="8">
        <v>-131.8</v>
      </c>
      <c r="BB171" s="8">
        <v>-125</v>
      </c>
      <c r="BC171" s="8">
        <v>-152.2</v>
      </c>
      <c r="BD171" s="8">
        <v>-164.8</v>
      </c>
      <c r="BE171" s="8">
        <v>-122.6</v>
      </c>
      <c r="BF171" s="8">
        <v>-83.7</v>
      </c>
      <c r="BG171" s="8">
        <v>-92.59999999999999</v>
      </c>
      <c r="BH171" s="8">
        <v>-39.1</v>
      </c>
      <c r="BI171" s="8">
        <v>-59.8</v>
      </c>
      <c r="BJ171" s="8">
        <v>-61.2</v>
      </c>
      <c r="BK171" s="8">
        <v>-68.2</v>
      </c>
      <c r="BL171" s="8">
        <v>-50.2</v>
      </c>
      <c r="BM171" s="8">
        <v>-65</v>
      </c>
      <c r="BN171" s="8">
        <v>-69.90000000000001</v>
      </c>
      <c r="BO171" s="8">
        <v>-65.40000000000001</v>
      </c>
      <c r="BP171" s="8">
        <v>-56.4</v>
      </c>
      <c r="BQ171" s="8">
        <v>-53.5</v>
      </c>
      <c r="BR171" s="8">
        <v>-41.5</v>
      </c>
      <c r="BS171" s="8">
        <v>-36.6</v>
      </c>
      <c r="BT171" s="8">
        <v>-33</v>
      </c>
      <c r="BU171" s="8">
        <v>-57.9</v>
      </c>
      <c r="BV171" s="8">
        <v>28.5</v>
      </c>
      <c r="BW171" s="8">
        <v>19.6</v>
      </c>
      <c r="BX171" s="8">
        <v>10.1</v>
      </c>
      <c r="BY171" s="8">
        <v>-9.4</v>
      </c>
      <c r="BZ171" s="8">
        <v>-44.9</v>
      </c>
      <c r="CA171" s="8">
        <v>-36.9</v>
      </c>
      <c r="CB171" s="8">
        <v>-35.9</v>
      </c>
      <c r="CC171" s="8">
        <v>-39.8</v>
      </c>
      <c r="CD171" s="8">
        <v>-24.6</v>
      </c>
      <c r="CE171" s="8">
        <v>2.5</v>
      </c>
      <c r="CF171" s="8">
        <v>-10.3</v>
      </c>
      <c r="CG171" s="8">
        <v>-17.3</v>
      </c>
      <c r="CH171" s="8">
        <v>-26.2</v>
      </c>
      <c r="CI171" s="8">
        <v>-31.7</v>
      </c>
      <c r="CJ171" s="8">
        <v>-43.5</v>
      </c>
      <c r="CK171" s="8">
        <v>-50.9</v>
      </c>
      <c r="CL171" s="8">
        <v>-54.3</v>
      </c>
      <c r="CM171" s="8">
        <v>-73.90000000000001</v>
      </c>
      <c r="CN171" s="8">
        <v>-85.7</v>
      </c>
      <c r="CO171" s="8">
        <v>-98.8</v>
      </c>
      <c r="CP171" s="8">
        <v>-110.2</v>
      </c>
      <c r="CQ171" s="8">
        <v>-109.4</v>
      </c>
      <c r="CR171" s="8">
        <v>-98.3</v>
      </c>
      <c r="CS171" s="8">
        <v>-111.9</v>
      </c>
      <c r="CT171" s="8">
        <v>-115.7</v>
      </c>
      <c r="CU171" s="8">
        <v>-119.6</v>
      </c>
      <c r="CV171" s="8">
        <v>-114.3</v>
      </c>
      <c r="CW171" s="8">
        <v>-124.8</v>
      </c>
      <c r="CX171" s="8">
        <v>-110.6</v>
      </c>
      <c r="CY171" s="8">
        <v>-95.59999999999999</v>
      </c>
      <c r="CZ171" s="8">
        <v>-106.5</v>
      </c>
      <c r="DA171" s="8">
        <v>-37.9</v>
      </c>
      <c r="DB171" s="8">
        <v>-55</v>
      </c>
      <c r="DC171" s="8">
        <v>-40.1</v>
      </c>
      <c r="DD171" s="8">
        <v>-58.3</v>
      </c>
      <c r="DE171" s="8">
        <v>-72.5</v>
      </c>
      <c r="DF171" s="8">
        <v>-75.09999999999999</v>
      </c>
      <c r="DG171" s="8">
        <v>-78.59999999999999</v>
      </c>
      <c r="DH171" s="8">
        <v>-74.7</v>
      </c>
      <c r="DI171" s="8">
        <v>-72.5</v>
      </c>
      <c r="DJ171" s="8">
        <v>-85.3</v>
      </c>
      <c r="DK171" s="8">
        <v>-89.59999999999999</v>
      </c>
      <c r="DL171" s="8">
        <v>-84.40000000000001</v>
      </c>
      <c r="DM171" s="8">
        <v>-80</v>
      </c>
      <c r="DN171" s="8">
        <v>-80.09999999999999</v>
      </c>
      <c r="DO171" s="8">
        <v>-71</v>
      </c>
      <c r="DP171" s="8">
        <v>-76.8</v>
      </c>
      <c r="DQ171" s="8">
        <v>-81.3</v>
      </c>
      <c r="DR171" s="8">
        <v>-90.3</v>
      </c>
      <c r="DS171" s="8">
        <v>-78.5</v>
      </c>
      <c r="DT171" s="8">
        <v>-56.5</v>
      </c>
      <c r="DU171" s="8">
        <v>-66.8</v>
      </c>
      <c r="DV171" s="8">
        <v>-60.7</v>
      </c>
      <c r="DW171" s="8">
        <v>-76</v>
      </c>
      <c r="DX171" s="8">
        <v>-51.9</v>
      </c>
      <c r="DY171" s="8">
        <v>-41.2</v>
      </c>
      <c r="DZ171" s="8">
        <v>-5.2</v>
      </c>
      <c r="EA171" s="8">
        <v>63.4</v>
      </c>
      <c r="EB171" s="8">
        <v>93.3</v>
      </c>
      <c r="EC171" s="8">
        <v>112.1</v>
      </c>
      <c r="ED171" s="8">
        <v>145.7</v>
      </c>
      <c r="EE171" s="8">
        <v>70.8</v>
      </c>
      <c r="EF171" s="8">
        <v>-2.2</v>
      </c>
      <c r="EG171" s="8">
        <v>46.7</v>
      </c>
      <c r="EH171" s="8">
        <v>-24.3</v>
      </c>
      <c r="EI171" s="8">
        <v>-43.3</v>
      </c>
      <c r="EJ171" s="8">
        <v>-78</v>
      </c>
      <c r="EK171" s="8">
        <v>-40.8</v>
      </c>
    </row>
    <row r="172" spans="1:152">
      <c r="A172" s="7">
        <v>37.425</v>
      </c>
      <c r="O172" s="8">
        <v>-152.8</v>
      </c>
      <c r="P172" s="8">
        <v>-79.3</v>
      </c>
      <c r="Q172" s="8">
        <v>-63.9</v>
      </c>
      <c r="R172" s="8">
        <v>-70</v>
      </c>
      <c r="S172" s="8">
        <v>-28.8</v>
      </c>
      <c r="T172" s="8">
        <v>-51</v>
      </c>
      <c r="U172" s="8">
        <v>-137.5</v>
      </c>
      <c r="V172" s="8">
        <v>-106.5</v>
      </c>
      <c r="W172" s="8">
        <v>-102</v>
      </c>
      <c r="X172" s="8">
        <v>-36.8</v>
      </c>
      <c r="Y172" s="8">
        <v>-133.5</v>
      </c>
      <c r="Z172" s="8">
        <v>-154</v>
      </c>
      <c r="AA172" s="8">
        <v>-139</v>
      </c>
      <c r="AB172" s="8">
        <v>-149.2</v>
      </c>
      <c r="AI172" s="8">
        <v>-122.5</v>
      </c>
      <c r="AJ172" s="8">
        <v>-40</v>
      </c>
      <c r="AK172" s="8">
        <v>-78.09999999999999</v>
      </c>
      <c r="AL172" s="8">
        <v>23.7</v>
      </c>
      <c r="AM172" s="8">
        <v>-93</v>
      </c>
      <c r="AN172" s="8">
        <v>-22.3</v>
      </c>
      <c r="AO172" s="8">
        <v>-75.40000000000001</v>
      </c>
      <c r="AP172" s="8">
        <v>-92.2</v>
      </c>
      <c r="AQ172" s="8">
        <v>-72.5</v>
      </c>
      <c r="AR172" s="8">
        <v>-72.7</v>
      </c>
      <c r="AS172" s="8">
        <v>-106.9</v>
      </c>
      <c r="AT172" s="8">
        <v>-95.90000000000001</v>
      </c>
      <c r="AU172" s="8">
        <v>-117.2</v>
      </c>
      <c r="AV172" s="8">
        <v>-88</v>
      </c>
      <c r="AW172" s="8">
        <v>-139.7</v>
      </c>
      <c r="AX172" s="8">
        <v>-135.9</v>
      </c>
      <c r="AY172" s="8">
        <v>-124.3</v>
      </c>
      <c r="AZ172" s="8">
        <v>-110</v>
      </c>
      <c r="BA172" s="8">
        <v>-101.3</v>
      </c>
      <c r="BB172" s="8">
        <v>-116.2</v>
      </c>
      <c r="BC172" s="8">
        <v>-112.5</v>
      </c>
      <c r="BD172" s="8">
        <v>-120.6</v>
      </c>
      <c r="BE172" s="8">
        <v>-133.9</v>
      </c>
      <c r="BF172" s="8">
        <v>-45.1</v>
      </c>
      <c r="BG172" s="8">
        <v>-54</v>
      </c>
      <c r="BH172" s="8">
        <v>-104.3</v>
      </c>
      <c r="BI172" s="8">
        <v>-26.3</v>
      </c>
      <c r="BJ172" s="8">
        <v>-86.2</v>
      </c>
      <c r="BK172" s="8">
        <v>-62.7</v>
      </c>
      <c r="BL172" s="8">
        <v>-55.4</v>
      </c>
      <c r="BM172" s="8">
        <v>-68.40000000000001</v>
      </c>
      <c r="BN172" s="8">
        <v>-73.2</v>
      </c>
      <c r="BO172" s="8">
        <v>-68.5</v>
      </c>
      <c r="BP172" s="8">
        <v>-66.09999999999999</v>
      </c>
      <c r="BQ172" s="8">
        <v>-54.5</v>
      </c>
      <c r="BR172" s="8">
        <v>-52.7</v>
      </c>
      <c r="BS172" s="8">
        <v>-44</v>
      </c>
      <c r="BT172" s="8">
        <v>-40.8</v>
      </c>
      <c r="BU172" s="8">
        <v>-50.5</v>
      </c>
      <c r="BV172" s="8">
        <v>-41</v>
      </c>
      <c r="BW172" s="8">
        <v>-1</v>
      </c>
      <c r="BX172" s="8">
        <v>6.9</v>
      </c>
      <c r="BY172" s="8">
        <v>-0.9</v>
      </c>
      <c r="BZ172" s="8">
        <v>-15.8</v>
      </c>
      <c r="CA172" s="8">
        <v>-22</v>
      </c>
      <c r="CB172" s="8">
        <v>-22.8</v>
      </c>
      <c r="CC172" s="8">
        <v>-21.5</v>
      </c>
      <c r="CD172" s="8">
        <v>-10.6</v>
      </c>
      <c r="CE172" s="8">
        <v>6.5</v>
      </c>
      <c r="CF172" s="8">
        <v>3.7</v>
      </c>
      <c r="CG172" s="8">
        <v>0.2</v>
      </c>
      <c r="CH172" s="8">
        <v>-5.2</v>
      </c>
      <c r="CI172" s="8">
        <v>-17.6</v>
      </c>
      <c r="CJ172" s="8">
        <v>-30.5</v>
      </c>
      <c r="CK172" s="8">
        <v>-38.3</v>
      </c>
      <c r="CL172" s="8">
        <v>-50.1</v>
      </c>
      <c r="CM172" s="8">
        <v>-51</v>
      </c>
      <c r="CN172" s="8">
        <v>-59.8</v>
      </c>
      <c r="CO172" s="8">
        <v>-75.5</v>
      </c>
      <c r="CP172" s="8">
        <v>-92.09999999999999</v>
      </c>
      <c r="CQ172" s="8">
        <v>-106.6</v>
      </c>
      <c r="CR172" s="8">
        <v>-112.1</v>
      </c>
      <c r="CS172" s="8">
        <v>-117.4</v>
      </c>
      <c r="CT172" s="8">
        <v>-116</v>
      </c>
      <c r="CU172" s="8">
        <v>-121.2</v>
      </c>
      <c r="CV172" s="8">
        <v>-124.7</v>
      </c>
      <c r="CW172" s="8">
        <v>-129</v>
      </c>
      <c r="CX172" s="8">
        <v>-136.3</v>
      </c>
      <c r="CY172" s="8">
        <v>-138.2</v>
      </c>
      <c r="CZ172" s="8">
        <v>-139.2</v>
      </c>
      <c r="DA172" s="8">
        <v>-171.8</v>
      </c>
      <c r="DB172" s="8">
        <v>-95</v>
      </c>
      <c r="DC172" s="8">
        <v>-93.7</v>
      </c>
      <c r="DD172" s="8">
        <v>-88.09999999999999</v>
      </c>
      <c r="DE172" s="8">
        <v>-89.8</v>
      </c>
      <c r="DF172" s="8">
        <v>-89.09999999999999</v>
      </c>
      <c r="DG172" s="8">
        <v>-74.09999999999999</v>
      </c>
      <c r="DH172" s="8">
        <v>-70.09999999999999</v>
      </c>
      <c r="DI172" s="8">
        <v>-77.5</v>
      </c>
      <c r="DJ172" s="8">
        <v>-60.8</v>
      </c>
      <c r="DK172" s="8">
        <v>-82</v>
      </c>
      <c r="DL172" s="8">
        <v>-78</v>
      </c>
      <c r="DM172" s="8">
        <v>-71.8</v>
      </c>
      <c r="DN172" s="8">
        <v>-67.59999999999999</v>
      </c>
      <c r="DO172" s="8">
        <v>-54.8</v>
      </c>
      <c r="DP172" s="8">
        <v>-49.8</v>
      </c>
      <c r="DQ172" s="8">
        <v>-57.5</v>
      </c>
      <c r="DR172" s="8">
        <v>-35</v>
      </c>
      <c r="DS172" s="8">
        <v>-62.4</v>
      </c>
      <c r="DT172" s="8">
        <v>-50.5</v>
      </c>
      <c r="DU172" s="8">
        <v>-61.5</v>
      </c>
      <c r="DV172" s="8">
        <v>-17.5</v>
      </c>
      <c r="DW172" s="8">
        <v>-54.4</v>
      </c>
      <c r="DX172" s="8">
        <v>-48.5</v>
      </c>
      <c r="DY172" s="8">
        <v>-39.7</v>
      </c>
      <c r="DZ172" s="8">
        <v>33.9</v>
      </c>
      <c r="EA172" s="8">
        <v>89.2</v>
      </c>
      <c r="EB172" s="8">
        <v>157.5</v>
      </c>
      <c r="EC172" s="8">
        <v>92</v>
      </c>
      <c r="ED172" s="8">
        <v>127.9</v>
      </c>
      <c r="EE172" s="8">
        <v>43.9</v>
      </c>
      <c r="EF172" s="8">
        <v>58.8</v>
      </c>
      <c r="EG172" s="8">
        <v>-32.7</v>
      </c>
      <c r="EH172" s="8">
        <v>-63.4</v>
      </c>
      <c r="EI172" s="8">
        <v>105.1</v>
      </c>
      <c r="EJ172" s="8">
        <v>13.5</v>
      </c>
    </row>
    <row r="173" spans="1:152">
      <c r="A173" s="7">
        <v>37.45</v>
      </c>
      <c r="O173" s="8">
        <v>-121.1</v>
      </c>
      <c r="P173" s="8">
        <v>-41.6</v>
      </c>
      <c r="Q173" s="8">
        <v>11</v>
      </c>
      <c r="R173" s="8">
        <v>-6.1</v>
      </c>
      <c r="S173" s="8">
        <v>-27.3</v>
      </c>
      <c r="T173" s="8">
        <v>9.5</v>
      </c>
      <c r="U173" s="8">
        <v>-14.3</v>
      </c>
      <c r="V173" s="8">
        <v>-32.8</v>
      </c>
      <c r="W173" s="8">
        <v>-21.9</v>
      </c>
      <c r="X173" s="8">
        <v>-80.2</v>
      </c>
      <c r="Y173" s="8">
        <v>-129.6</v>
      </c>
      <c r="Z173" s="8">
        <v>-142.5</v>
      </c>
      <c r="AA173" s="8">
        <v>-129.2</v>
      </c>
      <c r="AH173" s="8">
        <v>-118.2</v>
      </c>
      <c r="AI173" s="8">
        <v>-123.3</v>
      </c>
      <c r="AJ173" s="8">
        <v>-26.7</v>
      </c>
      <c r="AK173" s="8">
        <v>-66.5</v>
      </c>
      <c r="AL173" s="8">
        <v>-88</v>
      </c>
      <c r="AM173" s="8">
        <v>-66.40000000000001</v>
      </c>
      <c r="AN173" s="8">
        <v>-141.1</v>
      </c>
      <c r="AO173" s="8">
        <v>-69.8</v>
      </c>
      <c r="AP173" s="8">
        <v>-54.4</v>
      </c>
      <c r="AQ173" s="8">
        <v>-17.8</v>
      </c>
      <c r="AR173" s="8">
        <v>-90.40000000000001</v>
      </c>
      <c r="AS173" s="8">
        <v>-75.5</v>
      </c>
      <c r="AT173" s="8">
        <v>3.6</v>
      </c>
      <c r="AU173" s="8">
        <v>-121</v>
      </c>
      <c r="AV173" s="8">
        <v>-79.5</v>
      </c>
      <c r="AW173" s="8">
        <v>-124.6</v>
      </c>
      <c r="AX173" s="8">
        <v>-137</v>
      </c>
      <c r="AY173" s="8">
        <v>-121.9</v>
      </c>
      <c r="AZ173" s="8">
        <v>-135.3</v>
      </c>
      <c r="BA173" s="8">
        <v>-160.6</v>
      </c>
      <c r="BB173" s="8">
        <v>-133.4</v>
      </c>
      <c r="BC173" s="8">
        <v>-100.4</v>
      </c>
      <c r="BD173" s="8">
        <v>-140.8</v>
      </c>
      <c r="BE173" s="8">
        <v>-166.3</v>
      </c>
      <c r="BF173" s="8">
        <v>-96</v>
      </c>
      <c r="BG173" s="8">
        <v>-114.8</v>
      </c>
      <c r="BH173" s="8">
        <v>-114.7</v>
      </c>
      <c r="BI173" s="8">
        <v>-87.90000000000001</v>
      </c>
      <c r="BJ173" s="8">
        <v>-107.1</v>
      </c>
      <c r="BK173" s="8">
        <v>-57.7</v>
      </c>
      <c r="BL173" s="8">
        <v>-64.90000000000001</v>
      </c>
      <c r="BM173" s="8">
        <v>-80</v>
      </c>
      <c r="BN173" s="8">
        <v>-71</v>
      </c>
      <c r="BO173" s="8">
        <v>-72.2</v>
      </c>
      <c r="BP173" s="8">
        <v>-64.09999999999999</v>
      </c>
      <c r="BQ173" s="8">
        <v>-61.7</v>
      </c>
      <c r="BR173" s="8">
        <v>-63.4</v>
      </c>
      <c r="BS173" s="8">
        <v>-50.4</v>
      </c>
      <c r="BT173" s="8">
        <v>-45.3</v>
      </c>
      <c r="BU173" s="8">
        <v>-40.1</v>
      </c>
      <c r="BV173" s="8">
        <v>-53.4</v>
      </c>
      <c r="BW173" s="8">
        <v>-49.9</v>
      </c>
      <c r="BX173" s="8">
        <v>-57.7</v>
      </c>
      <c r="BY173" s="8">
        <v>-45.6</v>
      </c>
      <c r="BZ173" s="8">
        <v>21.5</v>
      </c>
      <c r="CA173" s="8">
        <v>-16.1</v>
      </c>
      <c r="CB173" s="8">
        <v>-32.8</v>
      </c>
      <c r="CC173" s="8">
        <v>11.3</v>
      </c>
      <c r="CD173" s="8">
        <v>44.3</v>
      </c>
      <c r="CE173" s="8">
        <v>28.1</v>
      </c>
      <c r="CF173" s="8">
        <v>24.4</v>
      </c>
      <c r="CG173" s="8">
        <v>18.6</v>
      </c>
      <c r="CH173" s="8">
        <v>15.8</v>
      </c>
      <c r="CI173" s="8">
        <v>1.3</v>
      </c>
      <c r="CJ173" s="8">
        <v>-10.8</v>
      </c>
      <c r="CK173" s="8">
        <v>-23.8</v>
      </c>
      <c r="CL173" s="8">
        <v>-15.6</v>
      </c>
      <c r="CM173" s="8">
        <v>-43.1</v>
      </c>
      <c r="CN173" s="8">
        <v>-48.4</v>
      </c>
      <c r="CO173" s="8">
        <v>-67.7</v>
      </c>
      <c r="CP173" s="8">
        <v>-69.3</v>
      </c>
      <c r="CQ173" s="8">
        <v>-75.2</v>
      </c>
      <c r="CR173" s="8">
        <v>-83.8</v>
      </c>
      <c r="CS173" s="8">
        <v>-98.40000000000001</v>
      </c>
      <c r="CT173" s="8">
        <v>-99</v>
      </c>
      <c r="CU173" s="8">
        <v>-107.7</v>
      </c>
      <c r="CV173" s="8">
        <v>-121.2</v>
      </c>
      <c r="CW173" s="8">
        <v>-131.9</v>
      </c>
      <c r="CX173" s="8">
        <v>-137.7</v>
      </c>
      <c r="CY173" s="8">
        <v>-139.2</v>
      </c>
      <c r="CZ173" s="8">
        <v>-132.1</v>
      </c>
      <c r="DA173" s="8">
        <v>-144.3</v>
      </c>
      <c r="DB173" s="8">
        <v>-135.5</v>
      </c>
      <c r="DC173" s="8">
        <v>-110.5</v>
      </c>
      <c r="DD173" s="8">
        <v>-109.3</v>
      </c>
      <c r="DE173" s="8">
        <v>-98.5</v>
      </c>
      <c r="DF173" s="8">
        <v>-93.3</v>
      </c>
      <c r="DG173" s="8">
        <v>-114.8</v>
      </c>
      <c r="DH173" s="8">
        <v>-58.2</v>
      </c>
      <c r="DI173" s="8">
        <v>-66.3</v>
      </c>
      <c r="DJ173" s="8">
        <v>-61.4</v>
      </c>
      <c r="DK173" s="8">
        <v>-56.5</v>
      </c>
      <c r="DL173" s="8">
        <v>-74.59999999999999</v>
      </c>
      <c r="DM173" s="8">
        <v>-56.4</v>
      </c>
      <c r="DN173" s="8">
        <v>-52</v>
      </c>
      <c r="DO173" s="8">
        <v>-36.5</v>
      </c>
      <c r="DP173" s="8">
        <v>-48.6</v>
      </c>
      <c r="DQ173" s="8">
        <v>-38.7</v>
      </c>
      <c r="DR173" s="8">
        <v>-49.2</v>
      </c>
      <c r="DS173" s="8">
        <v>-65.8</v>
      </c>
      <c r="DT173" s="8">
        <v>-37.4</v>
      </c>
      <c r="DU173" s="8">
        <v>-50.1</v>
      </c>
      <c r="DV173" s="8">
        <v>-44.7</v>
      </c>
      <c r="DW173" s="8">
        <v>-47.3</v>
      </c>
      <c r="DX173" s="8">
        <v>-62.6</v>
      </c>
      <c r="DY173" s="8">
        <v>-67.40000000000001</v>
      </c>
      <c r="DZ173" s="8">
        <v>52.9</v>
      </c>
      <c r="EA173" s="8">
        <v>16.4</v>
      </c>
      <c r="EB173" s="8">
        <v>3.3</v>
      </c>
      <c r="EC173" s="8">
        <v>48.7</v>
      </c>
      <c r="ED173" s="8">
        <v>107.6</v>
      </c>
      <c r="EE173" s="8">
        <v>84.5</v>
      </c>
      <c r="EF173" s="8">
        <v>28.9</v>
      </c>
      <c r="EG173" s="8">
        <v>9.199999999999999</v>
      </c>
      <c r="EH173" s="8">
        <v>-23.5</v>
      </c>
      <c r="EI173" s="8">
        <v>-89.40000000000001</v>
      </c>
    </row>
    <row r="174" spans="1:152">
      <c r="A174" s="7">
        <v>37.475</v>
      </c>
      <c r="O174" s="8">
        <v>-2</v>
      </c>
      <c r="P174" s="8">
        <v>-26.8</v>
      </c>
      <c r="Q174" s="8">
        <v>-47.6</v>
      </c>
      <c r="R174" s="8">
        <v>-24.4</v>
      </c>
      <c r="S174" s="8">
        <v>-38</v>
      </c>
      <c r="T174" s="8">
        <v>-103</v>
      </c>
      <c r="U174" s="8">
        <v>-119</v>
      </c>
      <c r="V174" s="8">
        <v>-138.2</v>
      </c>
      <c r="W174" s="8">
        <v>-138.5</v>
      </c>
      <c r="X174" s="8">
        <v>-99.3</v>
      </c>
      <c r="Y174" s="8">
        <v>-123.5</v>
      </c>
      <c r="Z174" s="8">
        <v>-130.3</v>
      </c>
      <c r="AH174" s="8">
        <v>-89.8</v>
      </c>
      <c r="AI174" s="8">
        <v>-108.7</v>
      </c>
      <c r="AJ174" s="8">
        <v>-90.3</v>
      </c>
      <c r="AK174" s="8">
        <v>-88.2</v>
      </c>
      <c r="AL174" s="8">
        <v>-98.5</v>
      </c>
      <c r="AM174" s="8">
        <v>-65.2</v>
      </c>
      <c r="AN174" s="8">
        <v>-110.9</v>
      </c>
      <c r="AO174" s="8">
        <v>-105.2</v>
      </c>
      <c r="AP174" s="8">
        <v>-31.1</v>
      </c>
      <c r="AQ174" s="8">
        <v>-63.5</v>
      </c>
      <c r="AR174" s="8">
        <v>-67.7</v>
      </c>
      <c r="AS174" s="8">
        <v>-129.5</v>
      </c>
      <c r="AT174" s="8">
        <v>38.2</v>
      </c>
      <c r="AU174" s="8">
        <v>-99.09999999999999</v>
      </c>
      <c r="AV174" s="8">
        <v>-35</v>
      </c>
      <c r="AW174" s="8">
        <v>-156.6</v>
      </c>
      <c r="AX174" s="8">
        <v>-36</v>
      </c>
      <c r="AY174" s="8">
        <v>-161</v>
      </c>
      <c r="AZ174" s="8">
        <v>-125.2</v>
      </c>
      <c r="BA174" s="8">
        <v>-159.7</v>
      </c>
      <c r="BB174" s="8">
        <v>-146.8</v>
      </c>
      <c r="BC174" s="8">
        <v>-166.3</v>
      </c>
      <c r="BD174" s="8">
        <v>-193.4</v>
      </c>
      <c r="BE174" s="8">
        <v>-74.7</v>
      </c>
      <c r="BF174" s="8">
        <v>-116.2</v>
      </c>
      <c r="BG174" s="8">
        <v>-115.5</v>
      </c>
      <c r="BH174" s="8">
        <v>-124</v>
      </c>
      <c r="BI174" s="8">
        <v>-58.8</v>
      </c>
      <c r="BJ174" s="8">
        <v>-167.7</v>
      </c>
      <c r="BK174" s="8">
        <v>-76.40000000000001</v>
      </c>
      <c r="BL174" s="8">
        <v>-79.5</v>
      </c>
      <c r="BM174" s="8">
        <v>-76.7</v>
      </c>
      <c r="BN174" s="8">
        <v>-77.90000000000001</v>
      </c>
      <c r="BO174" s="8">
        <v>-71</v>
      </c>
      <c r="BP174" s="8">
        <v>-63.7</v>
      </c>
      <c r="BQ174" s="8">
        <v>-62.5</v>
      </c>
      <c r="BR174" s="8">
        <v>-57.6</v>
      </c>
      <c r="BS174" s="8">
        <v>-45</v>
      </c>
      <c r="BT174" s="8">
        <v>-33.5</v>
      </c>
      <c r="BU174" s="8">
        <v>-30.6</v>
      </c>
      <c r="BV174" s="8">
        <v>-19.6</v>
      </c>
      <c r="BW174" s="8">
        <v>-60.5</v>
      </c>
      <c r="BX174" s="8">
        <v>-67.40000000000001</v>
      </c>
      <c r="BY174" s="8">
        <v>-49.9</v>
      </c>
      <c r="BZ174" s="8">
        <v>-32.7</v>
      </c>
      <c r="CA174" s="8">
        <v>-18.7</v>
      </c>
      <c r="CB174" s="8">
        <v>-37.7</v>
      </c>
      <c r="CC174" s="8">
        <v>-30.9</v>
      </c>
      <c r="CD174" s="8">
        <v>-33.6</v>
      </c>
      <c r="CE174" s="8">
        <v>29.5</v>
      </c>
      <c r="CF174" s="8">
        <v>33.7</v>
      </c>
      <c r="CG174" s="8">
        <v>35.4</v>
      </c>
      <c r="CH174" s="8">
        <v>32.2</v>
      </c>
      <c r="CI174" s="8">
        <v>21.4</v>
      </c>
      <c r="CJ174" s="8">
        <v>11.6</v>
      </c>
      <c r="CK174" s="8">
        <v>4.5</v>
      </c>
      <c r="CL174" s="8">
        <v>-1.9</v>
      </c>
      <c r="CM174" s="8">
        <v>-5.8</v>
      </c>
      <c r="CN174" s="8">
        <v>-45.3</v>
      </c>
      <c r="CO174" s="8">
        <v>-51.1</v>
      </c>
      <c r="CP174" s="8">
        <v>-59.5</v>
      </c>
      <c r="CQ174" s="8">
        <v>-71.7</v>
      </c>
      <c r="CR174" s="8">
        <v>-74.2</v>
      </c>
      <c r="CS174" s="8">
        <v>-62.9</v>
      </c>
      <c r="CT174" s="8">
        <v>-76.5</v>
      </c>
      <c r="CU174" s="8">
        <v>-82.2</v>
      </c>
      <c r="CV174" s="8">
        <v>-95</v>
      </c>
      <c r="CW174" s="8">
        <v>-121.4</v>
      </c>
      <c r="CX174" s="8">
        <v>-117.8</v>
      </c>
      <c r="CY174" s="8">
        <v>-123.4</v>
      </c>
      <c r="CZ174" s="8">
        <v>-62.5</v>
      </c>
      <c r="DA174" s="8">
        <v>-151.9</v>
      </c>
      <c r="DB174" s="8">
        <v>-114</v>
      </c>
      <c r="DC174" s="8">
        <v>-112.7</v>
      </c>
      <c r="DD174" s="8">
        <v>-12.3</v>
      </c>
      <c r="DE174" s="8">
        <v>-117</v>
      </c>
      <c r="DF174" s="8">
        <v>-94.2</v>
      </c>
      <c r="DG174" s="8">
        <v>-123</v>
      </c>
      <c r="DH174" s="8">
        <v>-61.5</v>
      </c>
      <c r="DI174" s="8">
        <v>-47.7</v>
      </c>
      <c r="DJ174" s="8">
        <v>-40.1</v>
      </c>
      <c r="DK174" s="8">
        <v>-38.9</v>
      </c>
      <c r="DL174" s="8">
        <v>-45.9</v>
      </c>
      <c r="DM174" s="8">
        <v>-37.8</v>
      </c>
      <c r="DN174" s="8">
        <v>-33</v>
      </c>
      <c r="DO174" s="8">
        <v>-30.1</v>
      </c>
      <c r="DP174" s="8">
        <v>-17.1</v>
      </c>
      <c r="DQ174" s="8">
        <v>-17.1</v>
      </c>
      <c r="DR174" s="8">
        <v>38.8</v>
      </c>
      <c r="DS174" s="8">
        <v>-60</v>
      </c>
      <c r="DT174" s="8">
        <v>-47.4</v>
      </c>
      <c r="DU174" s="8">
        <v>-33.8</v>
      </c>
      <c r="DV174" s="8">
        <v>-39.9</v>
      </c>
      <c r="DW174" s="8">
        <v>-38.6</v>
      </c>
      <c r="DX174" s="8">
        <v>-65</v>
      </c>
      <c r="DY174" s="8">
        <v>-109.5</v>
      </c>
      <c r="DZ174" s="8">
        <v>-65.5</v>
      </c>
      <c r="EA174" s="8">
        <v>11.8</v>
      </c>
      <c r="EB174" s="8">
        <v>15.2</v>
      </c>
      <c r="EC174" s="8">
        <v>4.5</v>
      </c>
      <c r="ED174" s="8">
        <v>120.8</v>
      </c>
      <c r="EE174" s="8">
        <v>-22.2</v>
      </c>
      <c r="EF174" s="8">
        <v>-19.6</v>
      </c>
      <c r="EG174" s="8">
        <v>-10.6</v>
      </c>
      <c r="EH174" s="8">
        <v>-33.3</v>
      </c>
      <c r="EI174" s="8">
        <v>-28.1</v>
      </c>
    </row>
    <row r="175" spans="1:152">
      <c r="A175" s="7">
        <v>37.5</v>
      </c>
      <c r="O175" s="8">
        <v>-91.2</v>
      </c>
      <c r="P175" s="8">
        <v>-104.8</v>
      </c>
      <c r="Q175" s="8">
        <v>-43.1</v>
      </c>
      <c r="R175" s="8">
        <v>171.7</v>
      </c>
      <c r="S175" s="8">
        <v>-119.6</v>
      </c>
      <c r="T175" s="8">
        <v>-99.5</v>
      </c>
      <c r="U175" s="8">
        <v>-130.1</v>
      </c>
      <c r="V175" s="8">
        <v>-51.7</v>
      </c>
      <c r="W175" s="8">
        <v>-105.5</v>
      </c>
      <c r="X175" s="8">
        <v>-148.7</v>
      </c>
      <c r="Y175" s="8">
        <v>-140.5</v>
      </c>
      <c r="AH175" s="8">
        <v>-124.1</v>
      </c>
      <c r="AI175" s="8">
        <v>-127.8</v>
      </c>
      <c r="AJ175" s="8">
        <v>-125.7</v>
      </c>
      <c r="AK175" s="8">
        <v>-135.4</v>
      </c>
      <c r="AL175" s="8">
        <v>-73.09999999999999</v>
      </c>
      <c r="AM175" s="8">
        <v>-76.3</v>
      </c>
      <c r="AN175" s="8">
        <v>-130.1</v>
      </c>
      <c r="AO175" s="8">
        <v>-39.4</v>
      </c>
      <c r="AP175" s="8">
        <v>-116.6</v>
      </c>
      <c r="AQ175" s="8">
        <v>31.2</v>
      </c>
      <c r="AR175" s="8">
        <v>-130.1</v>
      </c>
      <c r="AS175" s="8">
        <v>-144.2</v>
      </c>
      <c r="AT175" s="8">
        <v>-80.90000000000001</v>
      </c>
      <c r="AU175" s="8">
        <v>-33.7</v>
      </c>
      <c r="AV175" s="8">
        <v>-130.4</v>
      </c>
      <c r="AW175" s="8">
        <v>-196</v>
      </c>
      <c r="AX175" s="8">
        <v>-99.90000000000001</v>
      </c>
      <c r="AY175" s="8">
        <v>-159.6</v>
      </c>
      <c r="AZ175" s="8">
        <v>-148.7</v>
      </c>
      <c r="BA175" s="8">
        <v>233.2</v>
      </c>
      <c r="BB175" s="8">
        <v>-154.6</v>
      </c>
      <c r="BC175" s="8">
        <v>-154</v>
      </c>
      <c r="BD175" s="8">
        <v>9.800000000000001</v>
      </c>
      <c r="BE175" s="8">
        <v>-146.9</v>
      </c>
      <c r="BF175" s="8">
        <v>-175.5</v>
      </c>
      <c r="BG175" s="8">
        <v>-126.9</v>
      </c>
      <c r="BH175" s="8">
        <v>-9.699999999999999</v>
      </c>
      <c r="BI175" s="8">
        <v>-43.8</v>
      </c>
      <c r="BJ175" s="8">
        <v>-72.2</v>
      </c>
      <c r="BK175" s="8">
        <v>-92.8</v>
      </c>
      <c r="BL175" s="8">
        <v>-70.8</v>
      </c>
      <c r="BM175" s="8">
        <v>-63.3</v>
      </c>
      <c r="BN175" s="8">
        <v>-71.40000000000001</v>
      </c>
      <c r="BO175" s="8">
        <v>-60</v>
      </c>
      <c r="BP175" s="8">
        <v>-61.5</v>
      </c>
      <c r="BQ175" s="8">
        <v>-56.5</v>
      </c>
      <c r="BR175" s="8">
        <v>-24.1</v>
      </c>
      <c r="BS175" s="8">
        <v>-37.5</v>
      </c>
      <c r="BT175" s="8">
        <v>-36.5</v>
      </c>
      <c r="BU175" s="8">
        <v>-33.6</v>
      </c>
      <c r="BV175" s="8">
        <v>-42.4</v>
      </c>
      <c r="BW175" s="8">
        <v>-51.8</v>
      </c>
      <c r="BX175" s="8">
        <v>-63.2</v>
      </c>
      <c r="BY175" s="8">
        <v>-129.9</v>
      </c>
      <c r="BZ175" s="8">
        <v>-74</v>
      </c>
      <c r="CA175" s="8">
        <v>-84.09999999999999</v>
      </c>
      <c r="CB175" s="8">
        <v>-75.59999999999999</v>
      </c>
      <c r="CC175" s="8">
        <v>-27.5</v>
      </c>
      <c r="CD175" s="8">
        <v>-37.4</v>
      </c>
      <c r="CE175" s="8">
        <v>46.4</v>
      </c>
      <c r="CF175" s="8">
        <v>61.1</v>
      </c>
      <c r="CG175" s="8">
        <v>51.9</v>
      </c>
      <c r="CH175" s="8">
        <v>60.4</v>
      </c>
      <c r="CI175" s="8">
        <v>-6.3</v>
      </c>
      <c r="CJ175" s="8">
        <v>41.2</v>
      </c>
      <c r="CK175" s="8">
        <v>19.2</v>
      </c>
      <c r="CL175" s="8">
        <v>26.9</v>
      </c>
      <c r="CM175" s="8">
        <v>21.1</v>
      </c>
      <c r="CN175" s="8">
        <v>16.4</v>
      </c>
      <c r="CO175" s="8">
        <v>-57.6</v>
      </c>
      <c r="CP175" s="8">
        <v>-64.90000000000001</v>
      </c>
      <c r="CQ175" s="8">
        <v>-68</v>
      </c>
      <c r="CR175" s="8">
        <v>-80.59999999999999</v>
      </c>
      <c r="CS175" s="8">
        <v>-83.7</v>
      </c>
      <c r="CT175" s="8">
        <v>-84.3</v>
      </c>
      <c r="CU175" s="8">
        <v>-63.7</v>
      </c>
      <c r="CV175" s="8">
        <v>-86.3</v>
      </c>
      <c r="CW175" s="8">
        <v>-97.59999999999999</v>
      </c>
      <c r="CX175" s="8">
        <v>-88.5</v>
      </c>
      <c r="CY175" s="8">
        <v>-102</v>
      </c>
      <c r="CZ175" s="8">
        <v>-99.2</v>
      </c>
      <c r="DA175" s="8">
        <v>-95.2</v>
      </c>
      <c r="DB175" s="8">
        <v>-117</v>
      </c>
      <c r="DC175" s="8">
        <v>-120.9</v>
      </c>
      <c r="DD175" s="8">
        <v>-130</v>
      </c>
      <c r="DE175" s="8">
        <v>-104.5</v>
      </c>
      <c r="DF175" s="8">
        <v>-99.3</v>
      </c>
      <c r="DG175" s="8">
        <v>-76.59999999999999</v>
      </c>
      <c r="DH175" s="8">
        <v>-43.7</v>
      </c>
      <c r="DI175" s="8">
        <v>-45.7</v>
      </c>
      <c r="DJ175" s="8">
        <v>-55.3</v>
      </c>
      <c r="DK175" s="8">
        <v>-56.3</v>
      </c>
      <c r="DL175" s="8">
        <v>-47.3</v>
      </c>
      <c r="DM175" s="8">
        <v>-11.5</v>
      </c>
      <c r="DN175" s="8">
        <v>-21.2</v>
      </c>
      <c r="DO175" s="8">
        <v>-8.5</v>
      </c>
      <c r="DP175" s="8">
        <v>-11.8</v>
      </c>
      <c r="DQ175" s="8">
        <v>-34.4</v>
      </c>
      <c r="DR175" s="8">
        <v>-67.5</v>
      </c>
      <c r="DS175" s="8">
        <v>-63.2</v>
      </c>
      <c r="DT175" s="8">
        <v>-50.6</v>
      </c>
      <c r="DU175" s="8">
        <v>-36.1</v>
      </c>
      <c r="DV175" s="8">
        <v>-50.5</v>
      </c>
      <c r="DW175" s="8">
        <v>-66.2</v>
      </c>
      <c r="DX175" s="8">
        <v>-83.5</v>
      </c>
      <c r="DY175" s="8">
        <v>-92.90000000000001</v>
      </c>
      <c r="DZ175" s="8">
        <v>-142</v>
      </c>
      <c r="EA175" s="8">
        <v>-124.4</v>
      </c>
      <c r="EB175" s="8">
        <v>-119.6</v>
      </c>
      <c r="EC175" s="8">
        <v>-83.2</v>
      </c>
      <c r="ED175" s="8">
        <v>-167.5</v>
      </c>
      <c r="EE175" s="8">
        <v>-95.90000000000001</v>
      </c>
      <c r="EF175" s="8">
        <v>-124.7</v>
      </c>
      <c r="EG175" s="8">
        <v>-73.8</v>
      </c>
      <c r="EH175" s="8">
        <v>-38.2</v>
      </c>
      <c r="EI175" s="8">
        <v>-51.9</v>
      </c>
      <c r="EJ175" s="8">
        <v>-52.3</v>
      </c>
      <c r="EK175" s="8">
        <v>-62.2</v>
      </c>
      <c r="EL175" s="8">
        <v>-57.3</v>
      </c>
    </row>
    <row r="176" spans="1:152">
      <c r="A176" s="7">
        <v>37.525</v>
      </c>
      <c r="BJ176" s="8">
        <v>-65.8</v>
      </c>
      <c r="BK176" s="8">
        <v>-64.7</v>
      </c>
      <c r="BL176" s="8">
        <v>-68.7</v>
      </c>
      <c r="BM176" s="8">
        <v>-66.59999999999999</v>
      </c>
      <c r="BN176" s="8">
        <v>-67.09999999999999</v>
      </c>
      <c r="BO176" s="8">
        <v>-58.8</v>
      </c>
      <c r="BP176" s="8">
        <v>-58.5</v>
      </c>
      <c r="BQ176" s="8">
        <v>-54.2</v>
      </c>
      <c r="BR176" s="8">
        <v>-49.9</v>
      </c>
      <c r="BS176" s="8">
        <v>-42.3</v>
      </c>
      <c r="BT176" s="8">
        <v>-16.6</v>
      </c>
      <c r="BU176" s="8">
        <v>-54</v>
      </c>
      <c r="BV176" s="8">
        <v>-56.2</v>
      </c>
      <c r="BW176" s="8">
        <v>-51</v>
      </c>
      <c r="BX176" s="8">
        <v>-49.7</v>
      </c>
      <c r="BY176" s="8">
        <v>-44.4</v>
      </c>
      <c r="BZ176" s="8">
        <v>-20.5</v>
      </c>
      <c r="CA176" s="8">
        <v>3.6</v>
      </c>
      <c r="CB176" s="8">
        <v>-36.5</v>
      </c>
      <c r="CC176" s="8">
        <v>-31.4</v>
      </c>
      <c r="CD176" s="8">
        <v>-16.5</v>
      </c>
      <c r="CE176" s="8">
        <v>6.6</v>
      </c>
      <c r="CF176" s="8">
        <v>35.7</v>
      </c>
      <c r="CG176" s="8">
        <v>28.7</v>
      </c>
      <c r="CH176" s="8">
        <v>20.5</v>
      </c>
      <c r="CI176" s="8">
        <v>7.2</v>
      </c>
      <c r="CJ176" s="8">
        <v>-8.4</v>
      </c>
      <c r="CK176" s="8">
        <v>-14.6</v>
      </c>
      <c r="CL176" s="8">
        <v>-23.9</v>
      </c>
      <c r="CM176" s="8">
        <v>-38.7</v>
      </c>
      <c r="CN176" s="8">
        <v>-45.6</v>
      </c>
      <c r="CO176" s="8">
        <v>-57.7</v>
      </c>
      <c r="CP176" s="8">
        <v>-59.1</v>
      </c>
      <c r="CQ176" s="8">
        <v>-61.3</v>
      </c>
      <c r="CR176" s="8">
        <v>-66.59999999999999</v>
      </c>
      <c r="CS176" s="8">
        <v>-82.3</v>
      </c>
      <c r="CT176" s="8">
        <v>-85.40000000000001</v>
      </c>
      <c r="CU176" s="8">
        <v>-84.3</v>
      </c>
      <c r="CV176" s="8">
        <v>-70.2</v>
      </c>
      <c r="CW176" s="8">
        <v>-78.09999999999999</v>
      </c>
      <c r="CX176" s="8">
        <v>-86</v>
      </c>
      <c r="CY176" s="8">
        <v>-88.09999999999999</v>
      </c>
      <c r="CZ176" s="8">
        <v>-84.09999999999999</v>
      </c>
      <c r="DA176" s="8">
        <v>-83.90000000000001</v>
      </c>
      <c r="DB176" s="8">
        <v>-113.8</v>
      </c>
      <c r="DC176" s="8">
        <v>-139.1</v>
      </c>
      <c r="DD176" s="8">
        <v>-120.1</v>
      </c>
      <c r="DE176" s="8">
        <v>-99.90000000000001</v>
      </c>
      <c r="DF176" s="8">
        <v>-135.2</v>
      </c>
      <c r="DG176" s="8">
        <v>58.2</v>
      </c>
      <c r="DH176" s="8">
        <v>-30.1</v>
      </c>
      <c r="DI176" s="8">
        <v>-47.1</v>
      </c>
      <c r="DJ176" s="8">
        <v>-60.2</v>
      </c>
      <c r="DK176" s="8">
        <v>-81.5</v>
      </c>
      <c r="DL176" s="8">
        <v>-79</v>
      </c>
      <c r="DM176" s="8">
        <v>-73.2</v>
      </c>
      <c r="DN176" s="8">
        <v>-53.9</v>
      </c>
      <c r="DO176" s="8">
        <v>-30.4</v>
      </c>
      <c r="DP176" s="8">
        <v>-26.6</v>
      </c>
      <c r="DQ176" s="8">
        <v>-43.1</v>
      </c>
      <c r="DR176" s="8">
        <v>-64.7</v>
      </c>
      <c r="DS176" s="8">
        <v>-53.1</v>
      </c>
      <c r="DT176" s="8">
        <v>-56</v>
      </c>
      <c r="DU176" s="8">
        <v>-50.8</v>
      </c>
      <c r="DV176" s="8">
        <v>-60</v>
      </c>
      <c r="DW176" s="8">
        <v>-63.1</v>
      </c>
      <c r="DX176" s="8">
        <v>-66.8</v>
      </c>
      <c r="DY176" s="8">
        <v>-56</v>
      </c>
      <c r="DZ176" s="8">
        <v>-67.40000000000001</v>
      </c>
      <c r="EA176" s="8">
        <v>-47.1</v>
      </c>
      <c r="EB176" s="8">
        <v>-98</v>
      </c>
      <c r="EC176" s="8">
        <v>-105.6</v>
      </c>
      <c r="ED176" s="8">
        <v>-114.2</v>
      </c>
      <c r="EE176" s="8">
        <v>-92.40000000000001</v>
      </c>
      <c r="EF176" s="8">
        <v>-44.2</v>
      </c>
      <c r="EG176" s="8">
        <v>-66.2</v>
      </c>
      <c r="EH176" s="8">
        <v>-52.6</v>
      </c>
      <c r="EI176" s="8">
        <v>-55.4</v>
      </c>
      <c r="EJ176" s="8">
        <v>-44.4</v>
      </c>
      <c r="EK176" s="8">
        <v>-44.1</v>
      </c>
      <c r="EL176" s="8">
        <v>-40</v>
      </c>
    </row>
    <row r="177" spans="1:142">
      <c r="A177" s="7">
        <v>37.55</v>
      </c>
      <c r="BJ177" s="8">
        <v>-6.2</v>
      </c>
      <c r="BK177" s="8">
        <v>-63.8</v>
      </c>
      <c r="BL177" s="8">
        <v>-56.3</v>
      </c>
      <c r="BM177" s="8">
        <v>-66.8</v>
      </c>
      <c r="BN177" s="8">
        <v>-65.3</v>
      </c>
      <c r="BO177" s="8">
        <v>-64.7</v>
      </c>
      <c r="BP177" s="8">
        <v>-64.8</v>
      </c>
      <c r="BQ177" s="8">
        <v>-49.1</v>
      </c>
      <c r="BR177" s="8">
        <v>-62.4</v>
      </c>
      <c r="BS177" s="8">
        <v>-53.7</v>
      </c>
      <c r="BT177" s="8">
        <v>-69.90000000000001</v>
      </c>
      <c r="BU177" s="8">
        <v>-70.2</v>
      </c>
      <c r="BV177" s="8">
        <v>-76.5</v>
      </c>
      <c r="BW177" s="8">
        <v>-57.7</v>
      </c>
      <c r="BX177" s="8">
        <v>-49.3</v>
      </c>
      <c r="BY177" s="8">
        <v>-48.7</v>
      </c>
      <c r="BZ177" s="8">
        <v>-42.8</v>
      </c>
      <c r="CA177" s="8">
        <v>-29.2</v>
      </c>
      <c r="CB177" s="8">
        <v>-14.7</v>
      </c>
      <c r="CC177" s="8">
        <v>-39.5</v>
      </c>
      <c r="CD177" s="8">
        <v>5</v>
      </c>
      <c r="CE177" s="8">
        <v>14</v>
      </c>
      <c r="CF177" s="8">
        <v>84.8</v>
      </c>
      <c r="CG177" s="8">
        <v>57.8</v>
      </c>
      <c r="CH177" s="8">
        <v>24.4</v>
      </c>
      <c r="CI177" s="8">
        <v>10.3</v>
      </c>
      <c r="CJ177" s="8">
        <v>-11.6</v>
      </c>
      <c r="CK177" s="8">
        <v>-32.9</v>
      </c>
      <c r="CL177" s="8">
        <v>-44.4</v>
      </c>
      <c r="CM177" s="8">
        <v>-38.5</v>
      </c>
      <c r="CN177" s="8">
        <v>-49.6</v>
      </c>
      <c r="CO177" s="8">
        <v>-53.2</v>
      </c>
      <c r="CP177" s="8">
        <v>-48.9</v>
      </c>
      <c r="CQ177" s="8">
        <v>-44.8</v>
      </c>
      <c r="CR177" s="8">
        <v>-48.1</v>
      </c>
      <c r="CS177" s="8">
        <v>-59.7</v>
      </c>
      <c r="CT177" s="8">
        <v>-72.7</v>
      </c>
      <c r="CU177" s="8">
        <v>-86</v>
      </c>
      <c r="CV177" s="8">
        <v>-90.59999999999999</v>
      </c>
      <c r="CW177" s="8">
        <v>-102</v>
      </c>
      <c r="CX177" s="8">
        <v>-84.90000000000001</v>
      </c>
      <c r="CY177" s="8">
        <v>-96.7</v>
      </c>
      <c r="CZ177" s="8">
        <v>-96.09999999999999</v>
      </c>
      <c r="DA177" s="8">
        <v>-97.8</v>
      </c>
      <c r="DB177" s="8">
        <v>-101.9</v>
      </c>
      <c r="DC177" s="8">
        <v>-121.9</v>
      </c>
      <c r="DD177" s="8">
        <v>-166.7</v>
      </c>
      <c r="DE177" s="8">
        <v>-155.8</v>
      </c>
      <c r="DF177" s="8">
        <v>-115.8</v>
      </c>
      <c r="DG177" s="8">
        <v>-141</v>
      </c>
      <c r="DH177" s="8">
        <v>25.8</v>
      </c>
      <c r="DI177" s="8">
        <v>-55.8</v>
      </c>
      <c r="DJ177" s="8">
        <v>-58.8</v>
      </c>
      <c r="DK177" s="8">
        <v>-67.5</v>
      </c>
      <c r="DL177" s="8">
        <v>-64.5</v>
      </c>
      <c r="DM177" s="8">
        <v>-62.5</v>
      </c>
      <c r="DN177" s="8">
        <v>-57.4</v>
      </c>
      <c r="DO177" s="8">
        <v>35.2</v>
      </c>
      <c r="DP177" s="8">
        <v>-42</v>
      </c>
      <c r="DQ177" s="8">
        <v>-49.3</v>
      </c>
      <c r="DR177" s="8">
        <v>-50.9</v>
      </c>
      <c r="DS177" s="8">
        <v>-46.8</v>
      </c>
      <c r="DT177" s="8">
        <v>-93.7</v>
      </c>
      <c r="DU177" s="8">
        <v>-92.59999999999999</v>
      </c>
      <c r="DV177" s="8">
        <v>-84.2</v>
      </c>
      <c r="DW177" s="8">
        <v>-92.90000000000001</v>
      </c>
      <c r="DX177" s="8">
        <v>-77.8</v>
      </c>
      <c r="DY177" s="8">
        <v>-101</v>
      </c>
      <c r="DZ177" s="8">
        <v>-50.3</v>
      </c>
      <c r="EA177" s="8">
        <v>-67.7</v>
      </c>
      <c r="EB177" s="8">
        <v>-81.3</v>
      </c>
      <c r="EC177" s="8">
        <v>-94.7</v>
      </c>
      <c r="ED177" s="8">
        <v>-96.2</v>
      </c>
      <c r="EE177" s="8">
        <v>-80.2</v>
      </c>
      <c r="EF177" s="8">
        <v>-99.90000000000001</v>
      </c>
      <c r="EG177" s="8">
        <v>-76.2</v>
      </c>
      <c r="EH177" s="8">
        <v>-58.2</v>
      </c>
      <c r="EI177" s="8">
        <v>-74</v>
      </c>
      <c r="EJ177" s="8">
        <v>-69.8</v>
      </c>
      <c r="EK177" s="8">
        <v>-63.6</v>
      </c>
      <c r="EL177" s="8">
        <v>-60.9</v>
      </c>
    </row>
    <row r="178" spans="1:142">
      <c r="A178" s="7">
        <v>37.575</v>
      </c>
      <c r="BJ178" s="8">
        <v>-79.7</v>
      </c>
      <c r="BK178" s="8">
        <v>-56.8</v>
      </c>
      <c r="BL178" s="8">
        <v>-74.90000000000001</v>
      </c>
      <c r="BM178" s="8">
        <v>-68.90000000000001</v>
      </c>
      <c r="BN178" s="8">
        <v>-69.40000000000001</v>
      </c>
      <c r="BO178" s="8">
        <v>-75.3</v>
      </c>
      <c r="BP178" s="8">
        <v>-77.09999999999999</v>
      </c>
      <c r="BQ178" s="8">
        <v>-60.1</v>
      </c>
      <c r="BR178" s="8">
        <v>-68.3</v>
      </c>
      <c r="BS178" s="8">
        <v>-69.59999999999999</v>
      </c>
      <c r="BT178" s="8">
        <v>-55.8</v>
      </c>
      <c r="BU178" s="8">
        <v>-45.4</v>
      </c>
      <c r="BV178" s="8">
        <v>-57.3</v>
      </c>
      <c r="BW178" s="8">
        <v>-64.8</v>
      </c>
      <c r="BX178" s="8">
        <v>-55.7</v>
      </c>
      <c r="BY178" s="8">
        <v>-27.6</v>
      </c>
      <c r="BZ178" s="8">
        <v>-37.7</v>
      </c>
      <c r="CA178" s="8">
        <v>-24.3</v>
      </c>
      <c r="CB178" s="8">
        <v>-1.9</v>
      </c>
      <c r="CC178" s="8">
        <v>-1.5</v>
      </c>
      <c r="CD178" s="8">
        <v>-3.4</v>
      </c>
      <c r="CE178" s="8">
        <v>15.9</v>
      </c>
      <c r="CF178" s="8">
        <v>82.3</v>
      </c>
      <c r="CG178" s="8">
        <v>67.09999999999999</v>
      </c>
      <c r="CH178" s="8">
        <v>50.7</v>
      </c>
      <c r="CI178" s="8">
        <v>32.5</v>
      </c>
      <c r="CJ178" s="8">
        <v>9.800000000000001</v>
      </c>
      <c r="CK178" s="8">
        <v>-18.2</v>
      </c>
      <c r="CL178" s="8">
        <v>-22.9</v>
      </c>
      <c r="CM178" s="8">
        <v>-50</v>
      </c>
      <c r="CN178" s="8">
        <v>-52.9</v>
      </c>
      <c r="CO178" s="8">
        <v>-37.2</v>
      </c>
      <c r="CP178" s="8">
        <v>-25</v>
      </c>
      <c r="CQ178" s="8">
        <v>-15.9</v>
      </c>
      <c r="CR178" s="8">
        <v>-15.8</v>
      </c>
      <c r="CS178" s="8">
        <v>-11.4</v>
      </c>
      <c r="CT178" s="8">
        <v>-38.2</v>
      </c>
      <c r="CU178" s="8">
        <v>-66</v>
      </c>
      <c r="CV178" s="8">
        <v>-89.09999999999999</v>
      </c>
      <c r="CW178" s="8">
        <v>-113.4</v>
      </c>
      <c r="CX178" s="8">
        <v>-94.5</v>
      </c>
      <c r="CY178" s="8">
        <v>-75.09999999999999</v>
      </c>
      <c r="CZ178" s="8">
        <v>-92.7</v>
      </c>
      <c r="DA178" s="8">
        <v>-74.2</v>
      </c>
      <c r="DB178" s="8">
        <v>-73.90000000000001</v>
      </c>
      <c r="DC178" s="8">
        <v>-86.90000000000001</v>
      </c>
      <c r="DD178" s="8">
        <v>-96.09999999999999</v>
      </c>
      <c r="DE178" s="8">
        <v>-104.1</v>
      </c>
      <c r="DF178" s="8">
        <v>-132.4</v>
      </c>
      <c r="DG178" s="8">
        <v>-116.6</v>
      </c>
      <c r="DH178" s="8">
        <v>70.2</v>
      </c>
      <c r="DI178" s="8">
        <v>-162.3</v>
      </c>
      <c r="DJ178" s="8">
        <v>-27.3</v>
      </c>
      <c r="DK178" s="8">
        <v>-81.2</v>
      </c>
      <c r="DL178" s="8">
        <v>-63.2</v>
      </c>
      <c r="DM178" s="8">
        <v>-82.59999999999999</v>
      </c>
      <c r="DN178" s="8">
        <v>-90.40000000000001</v>
      </c>
      <c r="DO178" s="8">
        <v>-83.5</v>
      </c>
      <c r="DP178" s="8">
        <v>-72.7</v>
      </c>
      <c r="DQ178" s="8">
        <v>-50.1</v>
      </c>
      <c r="DR178" s="8">
        <v>-65</v>
      </c>
      <c r="DS178" s="8">
        <v>-99.8</v>
      </c>
      <c r="DT178" s="8">
        <v>-105</v>
      </c>
      <c r="DU178" s="8">
        <v>-100.8</v>
      </c>
      <c r="DV178" s="8">
        <v>-89.7</v>
      </c>
      <c r="DW178" s="8">
        <v>-95.5</v>
      </c>
      <c r="DX178" s="8">
        <v>-51.5</v>
      </c>
      <c r="DY178" s="8">
        <v>-78</v>
      </c>
      <c r="DZ178" s="8">
        <v>-86.8</v>
      </c>
      <c r="EA178" s="8">
        <v>-50.4</v>
      </c>
      <c r="EB178" s="8">
        <v>-74</v>
      </c>
      <c r="EC178" s="8">
        <v>-65.8</v>
      </c>
      <c r="ED178" s="8">
        <v>-84.8</v>
      </c>
      <c r="EE178" s="8">
        <v>-103.7</v>
      </c>
      <c r="EF178" s="8">
        <v>-98.90000000000001</v>
      </c>
      <c r="EG178" s="8">
        <v>-64.7</v>
      </c>
      <c r="EH178" s="8">
        <v>-84.3</v>
      </c>
      <c r="EI178" s="8">
        <v>-77.5</v>
      </c>
      <c r="EJ178" s="8">
        <v>-72.7</v>
      </c>
      <c r="EK178" s="8">
        <v>-60.3</v>
      </c>
      <c r="EL178" s="8">
        <v>-57.2</v>
      </c>
    </row>
    <row r="179" spans="1:142">
      <c r="A179" s="7">
        <v>37.6</v>
      </c>
      <c r="BJ179" s="8">
        <v>-53.5</v>
      </c>
      <c r="BK179" s="8">
        <v>-65</v>
      </c>
      <c r="BL179" s="8">
        <v>-54.2</v>
      </c>
      <c r="BM179" s="8">
        <v>-56.4</v>
      </c>
      <c r="BN179" s="8">
        <v>-64.5</v>
      </c>
      <c r="BO179" s="8">
        <v>-65.90000000000001</v>
      </c>
      <c r="BP179" s="8">
        <v>-70.7</v>
      </c>
      <c r="BQ179" s="8">
        <v>-72.2</v>
      </c>
      <c r="BR179" s="8">
        <v>-69</v>
      </c>
      <c r="BS179" s="8">
        <v>-63.6</v>
      </c>
      <c r="BT179" s="8">
        <v>-9.9</v>
      </c>
      <c r="BU179" s="8">
        <v>-21.7</v>
      </c>
      <c r="BV179" s="8">
        <v>-9.5</v>
      </c>
      <c r="BW179" s="8">
        <v>-40.6</v>
      </c>
      <c r="BX179" s="8">
        <v>-58</v>
      </c>
      <c r="BY179" s="8">
        <v>-58.4</v>
      </c>
      <c r="BZ179" s="8">
        <v>-58.7</v>
      </c>
      <c r="CA179" s="8">
        <v>-67.40000000000001</v>
      </c>
      <c r="CB179" s="8">
        <v>-48.3</v>
      </c>
      <c r="CC179" s="8">
        <v>-30.3</v>
      </c>
      <c r="CD179" s="8">
        <v>-38.6</v>
      </c>
      <c r="CE179" s="8">
        <v>22.9</v>
      </c>
      <c r="CF179" s="8">
        <v>48.2</v>
      </c>
      <c r="CG179" s="8">
        <v>55.6</v>
      </c>
      <c r="CH179" s="8">
        <v>71.90000000000001</v>
      </c>
      <c r="CI179" s="8">
        <v>50.5</v>
      </c>
      <c r="CJ179" s="8">
        <v>25.6</v>
      </c>
      <c r="CK179" s="8">
        <v>-13.9</v>
      </c>
      <c r="CL179" s="8">
        <v>-39.3</v>
      </c>
      <c r="CM179" s="8">
        <v>-57.7</v>
      </c>
      <c r="CN179" s="8">
        <v>-60.7</v>
      </c>
      <c r="CO179" s="8">
        <v>-44.8</v>
      </c>
      <c r="CP179" s="8">
        <v>12.1</v>
      </c>
      <c r="CQ179" s="8">
        <v>-23</v>
      </c>
      <c r="CR179" s="8">
        <v>-31.4</v>
      </c>
      <c r="CS179" s="8">
        <v>-6.3</v>
      </c>
      <c r="CT179" s="8">
        <v>-18.9</v>
      </c>
      <c r="CU179" s="8">
        <v>-5</v>
      </c>
      <c r="CV179" s="8">
        <v>-49.3</v>
      </c>
      <c r="CW179" s="8">
        <v>-85.8</v>
      </c>
      <c r="CX179" s="8">
        <v>-75.2</v>
      </c>
      <c r="CY179" s="8">
        <v>-71.40000000000001</v>
      </c>
      <c r="CZ179" s="8">
        <v>-95.90000000000001</v>
      </c>
      <c r="DA179" s="8">
        <v>-93.7</v>
      </c>
      <c r="DB179" s="8">
        <v>-99.8</v>
      </c>
      <c r="DC179" s="8">
        <v>-76.7</v>
      </c>
      <c r="DD179" s="8">
        <v>-86.7</v>
      </c>
      <c r="DE179" s="8">
        <v>-106.1</v>
      </c>
      <c r="DF179" s="8">
        <v>-103.1</v>
      </c>
      <c r="DG179" s="8">
        <v>-108.8</v>
      </c>
      <c r="DH179" s="8">
        <v>-127.9</v>
      </c>
      <c r="DI179" s="8">
        <v>-103.5</v>
      </c>
      <c r="DJ179" s="8">
        <v>-77.5</v>
      </c>
      <c r="DK179" s="8">
        <v>-88.2</v>
      </c>
      <c r="DL179" s="8">
        <v>-88.2</v>
      </c>
      <c r="DM179" s="8">
        <v>-75.8</v>
      </c>
      <c r="DN179" s="8">
        <v>-83.7</v>
      </c>
      <c r="DO179" s="8">
        <v>-58.2</v>
      </c>
      <c r="DP179" s="8">
        <v>-83.3</v>
      </c>
      <c r="DQ179" s="8">
        <v>-71.5</v>
      </c>
      <c r="DR179" s="8">
        <v>-75.90000000000001</v>
      </c>
      <c r="DS179" s="8">
        <v>-99.90000000000001</v>
      </c>
      <c r="DT179" s="8">
        <v>-105.8</v>
      </c>
      <c r="DU179" s="8">
        <v>-101.4</v>
      </c>
      <c r="DV179" s="8">
        <v>-92.8</v>
      </c>
      <c r="DW179" s="8">
        <v>-76.2</v>
      </c>
      <c r="DX179" s="8">
        <v>-12.9</v>
      </c>
      <c r="DY179" s="8">
        <v>-62</v>
      </c>
      <c r="DZ179" s="8">
        <v>-78.3</v>
      </c>
      <c r="EA179" s="8">
        <v>-60.9</v>
      </c>
      <c r="EB179" s="8">
        <v>-77.3</v>
      </c>
      <c r="EC179" s="8">
        <v>-94.8</v>
      </c>
      <c r="ED179" s="8">
        <v>-73.3</v>
      </c>
      <c r="EE179" s="8">
        <v>-67.3</v>
      </c>
      <c r="EF179" s="8">
        <v>-98.40000000000001</v>
      </c>
      <c r="EG179" s="8">
        <v>-59.5</v>
      </c>
      <c r="EH179" s="8">
        <v>-73.5</v>
      </c>
      <c r="EI179" s="8">
        <v>-69.09999999999999</v>
      </c>
      <c r="EJ179" s="8">
        <v>-67.7</v>
      </c>
      <c r="EK179" s="8">
        <v>-64.59999999999999</v>
      </c>
      <c r="EL179" s="8">
        <v>-62.9</v>
      </c>
    </row>
    <row r="180" spans="1:142">
      <c r="A180" s="7">
        <v>37.625</v>
      </c>
      <c r="BJ180" s="8">
        <v>-62.3</v>
      </c>
      <c r="BK180" s="8">
        <v>-70.3</v>
      </c>
      <c r="BL180" s="8">
        <v>-65.90000000000001</v>
      </c>
      <c r="BM180" s="8">
        <v>-65.59999999999999</v>
      </c>
      <c r="BN180" s="8">
        <v>-63.4</v>
      </c>
      <c r="BO180" s="8">
        <v>-68.3</v>
      </c>
      <c r="BP180" s="8">
        <v>-71.5</v>
      </c>
      <c r="BQ180" s="8">
        <v>-72.8</v>
      </c>
      <c r="BR180" s="8">
        <v>-69.40000000000001</v>
      </c>
      <c r="BS180" s="8">
        <v>-59.8</v>
      </c>
      <c r="BT180" s="8">
        <v>-21.7</v>
      </c>
      <c r="BU180" s="8">
        <v>34.8</v>
      </c>
      <c r="BV180" s="8">
        <v>20.7</v>
      </c>
      <c r="BW180" s="8">
        <v>-22.6</v>
      </c>
      <c r="BX180" s="8">
        <v>-47.7</v>
      </c>
      <c r="BY180" s="8">
        <v>-61.7</v>
      </c>
      <c r="BZ180" s="8">
        <v>-77.2</v>
      </c>
      <c r="CA180" s="8">
        <v>-71.59999999999999</v>
      </c>
      <c r="CB180" s="8">
        <v>-53.5</v>
      </c>
      <c r="CC180" s="8">
        <v>51.9</v>
      </c>
      <c r="CD180" s="8">
        <v>-57.8</v>
      </c>
      <c r="CE180" s="8">
        <v>-63.9</v>
      </c>
      <c r="CF180" s="8">
        <v>-22.8</v>
      </c>
      <c r="CG180" s="8">
        <v>10.7</v>
      </c>
      <c r="CH180" s="8">
        <v>66.09999999999999</v>
      </c>
      <c r="CI180" s="8">
        <v>49.1</v>
      </c>
      <c r="CJ180" s="8">
        <v>3.2</v>
      </c>
      <c r="CK180" s="8">
        <v>-26.9</v>
      </c>
      <c r="CL180" s="8">
        <v>-69.8</v>
      </c>
      <c r="CM180" s="8">
        <v>-79.5</v>
      </c>
      <c r="CN180" s="8">
        <v>-66</v>
      </c>
      <c r="CO180" s="8">
        <v>-27.4</v>
      </c>
      <c r="CP180" s="8">
        <v>12.6</v>
      </c>
      <c r="CQ180" s="8">
        <v>-20.3</v>
      </c>
      <c r="CR180" s="8">
        <v>-16.2</v>
      </c>
      <c r="CS180" s="8">
        <v>112.7</v>
      </c>
      <c r="CT180" s="8">
        <v>-69.2</v>
      </c>
      <c r="CU180" s="8">
        <v>-69.59999999999999</v>
      </c>
      <c r="CV180" s="8">
        <v>-73.09999999999999</v>
      </c>
      <c r="CW180" s="8">
        <v>-79.59999999999999</v>
      </c>
      <c r="CX180" s="8">
        <v>-81.5</v>
      </c>
      <c r="CY180" s="8">
        <v>-19.9</v>
      </c>
      <c r="CZ180" s="8">
        <v>-62.5</v>
      </c>
      <c r="DA180" s="8">
        <v>-72.8</v>
      </c>
      <c r="DB180" s="8">
        <v>-88.09999999999999</v>
      </c>
      <c r="DC180" s="8">
        <v>-92.5</v>
      </c>
      <c r="DD180" s="8">
        <v>-92.3</v>
      </c>
      <c r="DE180" s="8">
        <v>-85.90000000000001</v>
      </c>
      <c r="DF180" s="8">
        <v>-86.5</v>
      </c>
      <c r="DG180" s="8">
        <v>-92.7</v>
      </c>
      <c r="DH180" s="8">
        <v>-80.09999999999999</v>
      </c>
      <c r="DI180" s="8">
        <v>-85.2</v>
      </c>
      <c r="DJ180" s="8">
        <v>-78.90000000000001</v>
      </c>
      <c r="DK180" s="8">
        <v>-106.2</v>
      </c>
      <c r="DL180" s="8">
        <v>-113.9</v>
      </c>
      <c r="DM180" s="8">
        <v>20.1</v>
      </c>
      <c r="DN180" s="8">
        <v>-67</v>
      </c>
      <c r="DO180" s="8">
        <v>-44.2</v>
      </c>
      <c r="DP180" s="8">
        <v>-75.40000000000001</v>
      </c>
      <c r="DQ180" s="8">
        <v>-68.90000000000001</v>
      </c>
      <c r="DR180" s="8">
        <v>-59.7</v>
      </c>
      <c r="DS180" s="8">
        <v>-84.90000000000001</v>
      </c>
      <c r="DT180" s="8">
        <v>-65.40000000000001</v>
      </c>
      <c r="DU180" s="8">
        <v>-60.4</v>
      </c>
      <c r="DV180" s="8">
        <v>-64.90000000000001</v>
      </c>
      <c r="DW180" s="8">
        <v>69.5</v>
      </c>
      <c r="DX180" s="8">
        <v>88.3</v>
      </c>
      <c r="DY180" s="8">
        <v>-18.4</v>
      </c>
      <c r="DZ180" s="8">
        <v>-35.1</v>
      </c>
      <c r="EA180" s="8">
        <v>-34.3</v>
      </c>
      <c r="EB180" s="8">
        <v>-30.1</v>
      </c>
      <c r="EC180" s="8">
        <v>8</v>
      </c>
      <c r="ED180" s="8">
        <v>-75.7</v>
      </c>
      <c r="EE180" s="8">
        <v>-59.3</v>
      </c>
      <c r="EF180" s="8">
        <v>-57.5</v>
      </c>
      <c r="EG180" s="8">
        <v>-22.1</v>
      </c>
      <c r="EH180" s="8">
        <v>-37.5</v>
      </c>
      <c r="EI180" s="8">
        <v>-34.1</v>
      </c>
      <c r="EJ180" s="8">
        <v>-27.1</v>
      </c>
      <c r="EK180" s="8">
        <v>-28.8</v>
      </c>
      <c r="EL180" s="8">
        <v>-34.5</v>
      </c>
    </row>
    <row r="181" spans="1:142">
      <c r="A181" s="7">
        <v>37.65</v>
      </c>
      <c r="BJ181" s="8">
        <v>-57.1</v>
      </c>
      <c r="BK181" s="8">
        <v>-60.4</v>
      </c>
      <c r="BL181" s="8">
        <v>-70</v>
      </c>
      <c r="BM181" s="8">
        <v>-57.7</v>
      </c>
      <c r="BN181" s="8">
        <v>-76.8</v>
      </c>
      <c r="BO181" s="8">
        <v>-65.59999999999999</v>
      </c>
      <c r="BP181" s="8">
        <v>-65.8</v>
      </c>
      <c r="BQ181" s="8">
        <v>-36.4</v>
      </c>
      <c r="BR181" s="8">
        <v>-59.4</v>
      </c>
      <c r="BS181" s="8">
        <v>-54.4</v>
      </c>
      <c r="BT181" s="8">
        <v>-54.8</v>
      </c>
      <c r="BU181" s="8">
        <v>37.1</v>
      </c>
      <c r="BV181" s="8">
        <v>35.6</v>
      </c>
      <c r="BW181" s="8">
        <v>-16.6</v>
      </c>
      <c r="BX181" s="8">
        <v>-38.4</v>
      </c>
      <c r="BY181" s="8">
        <v>-59</v>
      </c>
      <c r="BZ181" s="8">
        <v>-63.9</v>
      </c>
      <c r="CA181" s="8">
        <v>-82.3</v>
      </c>
      <c r="CB181" s="8">
        <v>-98.3</v>
      </c>
      <c r="CC181" s="8">
        <v>-81</v>
      </c>
      <c r="CD181" s="8">
        <v>-57.5</v>
      </c>
      <c r="CE181" s="8">
        <v>-62.2</v>
      </c>
      <c r="CF181" s="8">
        <v>-24.3</v>
      </c>
      <c r="CG181" s="8">
        <v>-33.1</v>
      </c>
      <c r="CH181" s="8">
        <v>-5.5</v>
      </c>
      <c r="CI181" s="8">
        <v>2.7</v>
      </c>
      <c r="CJ181" s="8">
        <v>23.4</v>
      </c>
      <c r="CK181" s="8">
        <v>-2.4</v>
      </c>
      <c r="CL181" s="8">
        <v>-27.9</v>
      </c>
      <c r="CM181" s="8">
        <v>-29.7</v>
      </c>
      <c r="CN181" s="8">
        <v>-19.8</v>
      </c>
      <c r="CO181" s="8">
        <v>-12</v>
      </c>
      <c r="CP181" s="8">
        <v>-24.3</v>
      </c>
      <c r="CQ181" s="8">
        <v>-26</v>
      </c>
      <c r="CR181" s="8">
        <v>-3.6</v>
      </c>
      <c r="CS181" s="8">
        <v>-43</v>
      </c>
      <c r="CT181" s="8">
        <v>-54.2</v>
      </c>
      <c r="CU181" s="8">
        <v>-47.2</v>
      </c>
      <c r="CV181" s="8">
        <v>-59.2</v>
      </c>
      <c r="CW181" s="8">
        <v>-59.3</v>
      </c>
      <c r="CX181" s="8">
        <v>-103.9</v>
      </c>
      <c r="CY181" s="8">
        <v>-27.5</v>
      </c>
      <c r="CZ181" s="8">
        <v>-40.2</v>
      </c>
      <c r="DA181" s="8">
        <v>-64.40000000000001</v>
      </c>
      <c r="DB181" s="8">
        <v>-69.5</v>
      </c>
      <c r="DC181" s="8">
        <v>-74.7</v>
      </c>
      <c r="DD181" s="8">
        <v>-74.09999999999999</v>
      </c>
      <c r="DE181" s="8">
        <v>-80.8</v>
      </c>
      <c r="DF181" s="8">
        <v>-87.59999999999999</v>
      </c>
      <c r="DG181" s="8">
        <v>-87.8</v>
      </c>
      <c r="DH181" s="8">
        <v>-85.59999999999999</v>
      </c>
      <c r="DI181" s="8">
        <v>-83</v>
      </c>
      <c r="DJ181" s="8">
        <v>-80.7</v>
      </c>
      <c r="DK181" s="8">
        <v>-82.7</v>
      </c>
      <c r="DL181" s="8">
        <v>-90.90000000000001</v>
      </c>
      <c r="DM181" s="8">
        <v>-83.7</v>
      </c>
      <c r="DN181" s="8">
        <v>-96.7</v>
      </c>
      <c r="DO181" s="8">
        <v>-117.9</v>
      </c>
      <c r="DP181" s="8">
        <v>-100.1</v>
      </c>
      <c r="DQ181" s="8">
        <v>-110.2</v>
      </c>
      <c r="DR181" s="8">
        <v>-108.3</v>
      </c>
      <c r="DS181" s="8">
        <v>-82.90000000000001</v>
      </c>
      <c r="DT181" s="8">
        <v>-78.40000000000001</v>
      </c>
      <c r="DU181" s="8">
        <v>-75.3</v>
      </c>
      <c r="DV181" s="8">
        <v>-48.5</v>
      </c>
      <c r="DW181" s="8">
        <v>-14.4</v>
      </c>
      <c r="DX181" s="8">
        <v>8</v>
      </c>
      <c r="DY181" s="8">
        <v>31.5</v>
      </c>
      <c r="DZ181" s="8">
        <v>17.6</v>
      </c>
      <c r="EA181" s="8">
        <v>-39.1</v>
      </c>
      <c r="EB181" s="8">
        <v>23.9</v>
      </c>
      <c r="EC181" s="8">
        <v>-26.5</v>
      </c>
      <c r="ED181" s="8">
        <v>-48</v>
      </c>
      <c r="EE181" s="8">
        <v>-59.9</v>
      </c>
      <c r="EF181" s="8">
        <v>-55.8</v>
      </c>
      <c r="EG181" s="8">
        <v>-48.3</v>
      </c>
      <c r="EH181" s="8">
        <v>-46.7</v>
      </c>
      <c r="EI181" s="8">
        <v>-48.3</v>
      </c>
      <c r="EJ181" s="8">
        <v>-43.3</v>
      </c>
      <c r="EK181" s="8">
        <v>-47.6</v>
      </c>
      <c r="EL181" s="8">
        <v>-49.3</v>
      </c>
    </row>
    <row r="182" spans="1:142">
      <c r="A182" s="7">
        <v>37.675</v>
      </c>
      <c r="BJ182" s="8">
        <v>-63</v>
      </c>
      <c r="BK182" s="8">
        <v>-30.3</v>
      </c>
      <c r="BL182" s="8">
        <v>-75.90000000000001</v>
      </c>
      <c r="BM182" s="8">
        <v>-72.5</v>
      </c>
      <c r="BN182" s="8">
        <v>-74.09999999999999</v>
      </c>
      <c r="BO182" s="8">
        <v>-71</v>
      </c>
      <c r="BP182" s="8">
        <v>-77.3</v>
      </c>
      <c r="BQ182" s="8">
        <v>-62.9</v>
      </c>
      <c r="BR182" s="8">
        <v>-63</v>
      </c>
      <c r="BS182" s="8">
        <v>-47.3</v>
      </c>
      <c r="BT182" s="8">
        <v>7.8</v>
      </c>
      <c r="BU182" s="8">
        <v>66.40000000000001</v>
      </c>
      <c r="BV182" s="8">
        <v>54.7</v>
      </c>
      <c r="BW182" s="8">
        <v>-3.1</v>
      </c>
      <c r="BX182" s="8">
        <v>-41.3</v>
      </c>
      <c r="BY182" s="8">
        <v>-57.1</v>
      </c>
      <c r="BZ182" s="8">
        <v>-70.7</v>
      </c>
      <c r="CA182" s="8">
        <v>-88.90000000000001</v>
      </c>
      <c r="CB182" s="8">
        <v>-94.2</v>
      </c>
      <c r="CC182" s="8">
        <v>-105.1</v>
      </c>
      <c r="CD182" s="8">
        <v>-118.5</v>
      </c>
      <c r="CE182" s="8">
        <v>-98.8</v>
      </c>
      <c r="CF182" s="8">
        <v>-87.8</v>
      </c>
      <c r="CG182" s="8">
        <v>-57.5</v>
      </c>
      <c r="CH182" s="8">
        <v>-37.1</v>
      </c>
      <c r="CI182" s="8">
        <v>-57</v>
      </c>
      <c r="CJ182" s="8">
        <v>-51.3</v>
      </c>
      <c r="CK182" s="8">
        <v>-43.6</v>
      </c>
      <c r="CL182" s="8">
        <v>-49.6</v>
      </c>
      <c r="CM182" s="8">
        <v>-21.5</v>
      </c>
      <c r="CN182" s="8">
        <v>-6.2</v>
      </c>
      <c r="CO182" s="8">
        <v>9.1</v>
      </c>
      <c r="CP182" s="8">
        <v>-13.7</v>
      </c>
      <c r="CQ182" s="8">
        <v>-30.5</v>
      </c>
      <c r="CR182" s="8">
        <v>22.3</v>
      </c>
      <c r="CS182" s="8">
        <v>-16.2</v>
      </c>
      <c r="CT182" s="8">
        <v>-51.3</v>
      </c>
      <c r="CU182" s="8">
        <v>-42.4</v>
      </c>
      <c r="CV182" s="8">
        <v>-46</v>
      </c>
      <c r="CW182" s="8">
        <v>-66.09999999999999</v>
      </c>
      <c r="CX182" s="8">
        <v>-43</v>
      </c>
      <c r="CY182" s="8">
        <v>-47.9</v>
      </c>
      <c r="CZ182" s="8">
        <v>98.8</v>
      </c>
      <c r="DA182" s="8">
        <v>-50.6</v>
      </c>
      <c r="DB182" s="8">
        <v>-65</v>
      </c>
      <c r="DC182" s="8">
        <v>-64.5</v>
      </c>
      <c r="DD182" s="8">
        <v>-68.40000000000001</v>
      </c>
      <c r="DE182" s="8">
        <v>-67.2</v>
      </c>
      <c r="DF182" s="8">
        <v>-58</v>
      </c>
      <c r="DG182" s="8">
        <v>-70.90000000000001</v>
      </c>
      <c r="DH182" s="8">
        <v>-77.7</v>
      </c>
      <c r="DI182" s="8">
        <v>-36.2</v>
      </c>
      <c r="DJ182" s="8">
        <v>-82.3</v>
      </c>
      <c r="DK182" s="8">
        <v>-105.8</v>
      </c>
      <c r="DL182" s="8">
        <v>-110</v>
      </c>
      <c r="DM182" s="8">
        <v>-106.5</v>
      </c>
      <c r="DN182" s="8">
        <v>-121.1</v>
      </c>
      <c r="DO182" s="8">
        <v>-114.9</v>
      </c>
      <c r="DP182" s="8">
        <v>-102.9</v>
      </c>
      <c r="DQ182" s="8">
        <v>-94.8</v>
      </c>
      <c r="DR182" s="8">
        <v>-96.5</v>
      </c>
      <c r="DS182" s="8">
        <v>-90</v>
      </c>
      <c r="DT182" s="8">
        <v>-97.59999999999999</v>
      </c>
      <c r="DU182" s="8">
        <v>-83.40000000000001</v>
      </c>
      <c r="DV182" s="8">
        <v>-82.40000000000001</v>
      </c>
      <c r="DW182" s="8">
        <v>-132.2</v>
      </c>
      <c r="DX182" s="8">
        <v>-16.2</v>
      </c>
      <c r="DY182" s="8">
        <v>-124.7</v>
      </c>
      <c r="DZ182" s="8">
        <v>-60.4</v>
      </c>
      <c r="EA182" s="8">
        <v>-82.5</v>
      </c>
      <c r="EB182" s="8">
        <v>-40.7</v>
      </c>
      <c r="EC182" s="8">
        <v>-57.1</v>
      </c>
      <c r="ED182" s="8">
        <v>-97</v>
      </c>
      <c r="EE182" s="8">
        <v>-95.8</v>
      </c>
      <c r="EF182" s="8">
        <v>-86.7</v>
      </c>
      <c r="EG182" s="8">
        <v>-85</v>
      </c>
      <c r="EH182" s="8">
        <v>-81.59999999999999</v>
      </c>
      <c r="EI182" s="8">
        <v>-79.09999999999999</v>
      </c>
    </row>
    <row r="183" spans="1:142">
      <c r="A183" s="7">
        <v>37.7</v>
      </c>
      <c r="BJ183" s="8">
        <v>-74.09999999999999</v>
      </c>
      <c r="BK183" s="8">
        <v>-77.3</v>
      </c>
      <c r="BL183" s="8">
        <v>-81.7</v>
      </c>
      <c r="BM183" s="8">
        <v>-76.3</v>
      </c>
      <c r="BN183" s="8">
        <v>-76.3</v>
      </c>
      <c r="BO183" s="8">
        <v>-66.8</v>
      </c>
      <c r="BP183" s="8">
        <v>-70.3</v>
      </c>
      <c r="BQ183" s="8">
        <v>-63.4</v>
      </c>
      <c r="BR183" s="8">
        <v>-45.5</v>
      </c>
      <c r="BS183" s="8">
        <v>-35.7</v>
      </c>
      <c r="BT183" s="8">
        <v>-2.1</v>
      </c>
      <c r="BU183" s="8">
        <v>58.4</v>
      </c>
      <c r="BV183" s="8">
        <v>81.09999999999999</v>
      </c>
      <c r="BW183" s="8">
        <v>-11.1</v>
      </c>
      <c r="BX183" s="8">
        <v>-46.7</v>
      </c>
      <c r="BY183" s="8">
        <v>-81</v>
      </c>
      <c r="BZ183" s="8">
        <v>-76.7</v>
      </c>
      <c r="CA183" s="8">
        <v>-86.7</v>
      </c>
      <c r="CB183" s="8">
        <v>-92.3</v>
      </c>
      <c r="CC183" s="8">
        <v>-97.5</v>
      </c>
      <c r="CD183" s="8">
        <v>-127</v>
      </c>
      <c r="CE183" s="8">
        <v>-126.8</v>
      </c>
      <c r="CF183" s="8">
        <v>-119.4</v>
      </c>
      <c r="CG183" s="8">
        <v>-112.2</v>
      </c>
      <c r="CH183" s="8">
        <v>-84.3</v>
      </c>
      <c r="CI183" s="8">
        <v>-74.3</v>
      </c>
      <c r="CJ183" s="8">
        <v>-83.90000000000001</v>
      </c>
      <c r="CK183" s="8">
        <v>-102.2</v>
      </c>
      <c r="CL183" s="8">
        <v>-81.5</v>
      </c>
      <c r="CM183" s="8">
        <v>-82.59999999999999</v>
      </c>
      <c r="CN183" s="8">
        <v>-77.40000000000001</v>
      </c>
      <c r="CO183" s="8">
        <v>-30.2</v>
      </c>
      <c r="CP183" s="8">
        <v>-26.6</v>
      </c>
      <c r="CQ183" s="8">
        <v>-47.6</v>
      </c>
      <c r="CR183" s="8">
        <v>-64.40000000000001</v>
      </c>
      <c r="CS183" s="8">
        <v>-9.800000000000001</v>
      </c>
      <c r="CT183" s="8">
        <v>-50</v>
      </c>
      <c r="CU183" s="8">
        <v>-33.6</v>
      </c>
      <c r="CV183" s="8">
        <v>-27</v>
      </c>
      <c r="CW183" s="8">
        <v>-27.9</v>
      </c>
      <c r="CX183" s="8">
        <v>-14.4</v>
      </c>
      <c r="CY183" s="8">
        <v>-34.1</v>
      </c>
      <c r="CZ183" s="8">
        <v>-52.8</v>
      </c>
      <c r="DA183" s="8">
        <v>-58</v>
      </c>
      <c r="DB183" s="8">
        <v>-61.6</v>
      </c>
      <c r="DC183" s="8">
        <v>-66.3</v>
      </c>
      <c r="DD183" s="8">
        <v>-64.40000000000001</v>
      </c>
      <c r="DE183" s="8">
        <v>-61.4</v>
      </c>
      <c r="DF183" s="8">
        <v>-58.2</v>
      </c>
      <c r="DG183" s="8">
        <v>-52.6</v>
      </c>
      <c r="DH183" s="8">
        <v>-70.5</v>
      </c>
      <c r="DI183" s="8">
        <v>-92.90000000000001</v>
      </c>
      <c r="DJ183" s="8">
        <v>-73.40000000000001</v>
      </c>
      <c r="DK183" s="8">
        <v>-79.59999999999999</v>
      </c>
      <c r="DL183" s="8">
        <v>-88.09999999999999</v>
      </c>
      <c r="DM183" s="8">
        <v>-96.90000000000001</v>
      </c>
      <c r="DN183" s="8">
        <v>-101.4</v>
      </c>
      <c r="DO183" s="8">
        <v>-103.8</v>
      </c>
      <c r="DP183" s="8">
        <v>-100.7</v>
      </c>
      <c r="DQ183" s="8">
        <v>-95.3</v>
      </c>
      <c r="DR183" s="8">
        <v>-90.5</v>
      </c>
      <c r="DS183" s="8">
        <v>-87.40000000000001</v>
      </c>
      <c r="DT183" s="8">
        <v>-92.40000000000001</v>
      </c>
      <c r="DU183" s="8">
        <v>-106.8</v>
      </c>
      <c r="DV183" s="8">
        <v>-117.4</v>
      </c>
      <c r="DW183" s="8">
        <v>-149</v>
      </c>
      <c r="DX183" s="8">
        <v>-155.6</v>
      </c>
      <c r="DY183" s="8">
        <v>-173.4</v>
      </c>
      <c r="DZ183" s="8">
        <v>-138.8</v>
      </c>
      <c r="EA183" s="8">
        <v>-67.2</v>
      </c>
      <c r="EB183" s="8">
        <v>-146.8</v>
      </c>
      <c r="EC183" s="8">
        <v>-115.8</v>
      </c>
      <c r="ED183" s="8">
        <v>-109.7</v>
      </c>
      <c r="EE183" s="8">
        <v>-93.09999999999999</v>
      </c>
      <c r="EF183" s="8">
        <v>-78.90000000000001</v>
      </c>
      <c r="EG183" s="8">
        <v>-63.2</v>
      </c>
      <c r="EH183" s="8">
        <v>-62.3</v>
      </c>
    </row>
    <row r="184" spans="1:142">
      <c r="A184" s="7">
        <v>37.725</v>
      </c>
      <c r="BJ184" s="8">
        <v>-62.6</v>
      </c>
      <c r="BK184" s="8">
        <v>-73.3</v>
      </c>
      <c r="BL184" s="8">
        <v>-78.7</v>
      </c>
      <c r="BM184" s="8">
        <v>-75.09999999999999</v>
      </c>
      <c r="BN184" s="8">
        <v>-81.5</v>
      </c>
      <c r="BO184" s="8">
        <v>-84.59999999999999</v>
      </c>
      <c r="BP184" s="8">
        <v>-79.7</v>
      </c>
      <c r="BQ184" s="8">
        <v>-39.7</v>
      </c>
      <c r="BR184" s="8">
        <v>-23.1</v>
      </c>
      <c r="BS184" s="8">
        <v>10.1</v>
      </c>
      <c r="BT184" s="8">
        <v>21.6</v>
      </c>
      <c r="BU184" s="8">
        <v>71.59999999999999</v>
      </c>
      <c r="BV184" s="8">
        <v>165.6</v>
      </c>
      <c r="BW184" s="8">
        <v>-15</v>
      </c>
      <c r="BX184" s="8">
        <v>-51.4</v>
      </c>
      <c r="BY184" s="8">
        <v>-85.40000000000001</v>
      </c>
      <c r="BZ184" s="8">
        <v>-90</v>
      </c>
      <c r="CA184" s="8">
        <v>-92.40000000000001</v>
      </c>
      <c r="CB184" s="8">
        <v>-80.2</v>
      </c>
      <c r="CC184" s="8">
        <v>-89.3</v>
      </c>
      <c r="CD184" s="8">
        <v>-87.2</v>
      </c>
      <c r="CE184" s="8">
        <v>-111.1</v>
      </c>
      <c r="CF184" s="8">
        <v>-118.9</v>
      </c>
      <c r="CG184" s="8">
        <v>-121.6</v>
      </c>
      <c r="CH184" s="8">
        <v>-112.6</v>
      </c>
      <c r="CI184" s="8">
        <v>-94.09999999999999</v>
      </c>
      <c r="CJ184" s="8">
        <v>-91.7</v>
      </c>
      <c r="CK184" s="8">
        <v>-107.1</v>
      </c>
      <c r="CL184" s="8">
        <v>-123.1</v>
      </c>
      <c r="CM184" s="8">
        <v>-108.6</v>
      </c>
      <c r="CN184" s="8">
        <v>-112.9</v>
      </c>
      <c r="CO184" s="8">
        <v>-99.8</v>
      </c>
      <c r="CP184" s="8">
        <v>-57.7</v>
      </c>
      <c r="CQ184" s="8">
        <v>-70.5</v>
      </c>
      <c r="CR184" s="8">
        <v>-80</v>
      </c>
      <c r="CS184" s="8">
        <v>-72.3</v>
      </c>
      <c r="CT184" s="8">
        <v>-64.7</v>
      </c>
      <c r="CU184" s="8">
        <v>-52.7</v>
      </c>
      <c r="CV184" s="8">
        <v>-39</v>
      </c>
      <c r="CW184" s="8">
        <v>-29.2</v>
      </c>
      <c r="CX184" s="8">
        <v>-15</v>
      </c>
      <c r="CY184" s="8">
        <v>31.9</v>
      </c>
      <c r="CZ184" s="8">
        <v>-29.5</v>
      </c>
      <c r="DA184" s="8">
        <v>-46.3</v>
      </c>
      <c r="DB184" s="8">
        <v>-54.7</v>
      </c>
      <c r="DC184" s="8">
        <v>-50.8</v>
      </c>
      <c r="DD184" s="8">
        <v>-45.7</v>
      </c>
      <c r="DE184" s="8">
        <v>-39.8</v>
      </c>
      <c r="DF184" s="8">
        <v>-28.9</v>
      </c>
      <c r="DG184" s="8">
        <v>-45.6</v>
      </c>
      <c r="DH184" s="8">
        <v>-63.4</v>
      </c>
      <c r="DI184" s="8">
        <v>-71.7</v>
      </c>
      <c r="DJ184" s="8">
        <v>-82.2</v>
      </c>
      <c r="DK184" s="8">
        <v>-75.59999999999999</v>
      </c>
      <c r="DL184" s="8">
        <v>-82.90000000000001</v>
      </c>
      <c r="DM184" s="8">
        <v>-93.90000000000001</v>
      </c>
      <c r="DN184" s="8">
        <v>-95.8</v>
      </c>
      <c r="DO184" s="8">
        <v>-102.3</v>
      </c>
      <c r="DP184" s="8">
        <v>-101.8</v>
      </c>
      <c r="DQ184" s="8">
        <v>-105</v>
      </c>
      <c r="DR184" s="8">
        <v>-108.9</v>
      </c>
      <c r="DS184" s="8">
        <v>-86.90000000000001</v>
      </c>
      <c r="DT184" s="8">
        <v>-81.3</v>
      </c>
      <c r="DU184" s="8">
        <v>-88.90000000000001</v>
      </c>
      <c r="DV184" s="8">
        <v>-92.5</v>
      </c>
      <c r="DW184" s="8">
        <v>-106.6</v>
      </c>
      <c r="DX184" s="8">
        <v>-114.8</v>
      </c>
      <c r="DY184" s="8">
        <v>-109.2</v>
      </c>
      <c r="DZ184" s="8">
        <v>-109.8</v>
      </c>
      <c r="EA184" s="8">
        <v>-101.3</v>
      </c>
      <c r="EB184" s="8">
        <v>-107</v>
      </c>
      <c r="EC184" s="8">
        <v>-100.5</v>
      </c>
      <c r="ED184" s="8">
        <v>-95.7</v>
      </c>
      <c r="EE184" s="8">
        <v>-75.09999999999999</v>
      </c>
      <c r="EF184" s="8">
        <v>-52.2</v>
      </c>
      <c r="EG184" s="8">
        <v>-48</v>
      </c>
    </row>
    <row r="185" spans="1:142">
      <c r="A185" s="7">
        <v>37.75</v>
      </c>
      <c r="BJ185" s="8">
        <v>-72.2</v>
      </c>
      <c r="BK185" s="8">
        <v>-72.40000000000001</v>
      </c>
      <c r="BL185" s="8">
        <v>-73.7</v>
      </c>
      <c r="BM185" s="8">
        <v>-74.5</v>
      </c>
      <c r="BN185" s="8">
        <v>-86.40000000000001</v>
      </c>
      <c r="BO185" s="8">
        <v>-97.40000000000001</v>
      </c>
      <c r="BP185" s="8">
        <v>-97.2</v>
      </c>
      <c r="BQ185" s="8">
        <v>-74.2</v>
      </c>
      <c r="BR185" s="8">
        <v>13.6</v>
      </c>
      <c r="BS185" s="8">
        <v>159.6</v>
      </c>
      <c r="BT185" s="8">
        <v>64.90000000000001</v>
      </c>
      <c r="BU185" s="8">
        <v>60.9</v>
      </c>
      <c r="BV185" s="8">
        <v>24</v>
      </c>
      <c r="BW185" s="8">
        <v>-38.8</v>
      </c>
      <c r="BX185" s="8">
        <v>-70.7</v>
      </c>
      <c r="BY185" s="8">
        <v>-78.2</v>
      </c>
      <c r="BZ185" s="8">
        <v>-80.7</v>
      </c>
      <c r="CA185" s="8">
        <v>-72.5</v>
      </c>
      <c r="CB185" s="8">
        <v>-57.5</v>
      </c>
      <c r="CC185" s="8">
        <v>-61.3</v>
      </c>
      <c r="CD185" s="8">
        <v>-68.09999999999999</v>
      </c>
      <c r="CE185" s="8">
        <v>-80.59999999999999</v>
      </c>
      <c r="CF185" s="8">
        <v>-81</v>
      </c>
      <c r="CG185" s="8">
        <v>-92.3</v>
      </c>
      <c r="CH185" s="8">
        <v>-93</v>
      </c>
      <c r="CI185" s="8">
        <v>-78.5</v>
      </c>
      <c r="CJ185" s="8">
        <v>-78.90000000000001</v>
      </c>
      <c r="CK185" s="8">
        <v>-81.2</v>
      </c>
      <c r="CL185" s="8">
        <v>-98.40000000000001</v>
      </c>
      <c r="CM185" s="8">
        <v>-121.7</v>
      </c>
      <c r="CN185" s="8">
        <v>-105</v>
      </c>
      <c r="CO185" s="8">
        <v>-130.4</v>
      </c>
      <c r="CP185" s="8">
        <v>-100.1</v>
      </c>
      <c r="CQ185" s="8">
        <v>-108.2</v>
      </c>
      <c r="CR185" s="8">
        <v>-103.4</v>
      </c>
      <c r="CS185" s="8">
        <v>-95.3</v>
      </c>
      <c r="CT185" s="8">
        <v>-96.59999999999999</v>
      </c>
      <c r="CU185" s="8">
        <v>-70.09999999999999</v>
      </c>
      <c r="CV185" s="8">
        <v>-59.5</v>
      </c>
      <c r="CW185" s="8">
        <v>36</v>
      </c>
      <c r="CX185" s="8">
        <v>-81.2</v>
      </c>
      <c r="CY185" s="8">
        <v>27.9</v>
      </c>
      <c r="CZ185" s="8">
        <v>11</v>
      </c>
      <c r="DA185" s="8">
        <v>-11.7</v>
      </c>
      <c r="DB185" s="8">
        <v>-9.6</v>
      </c>
      <c r="DC185" s="8">
        <v>-29.7</v>
      </c>
      <c r="DD185" s="8">
        <v>-40.6</v>
      </c>
      <c r="DE185" s="8">
        <v>-46.1</v>
      </c>
      <c r="DF185" s="8">
        <v>-29.2</v>
      </c>
      <c r="DG185" s="8">
        <v>-72.09999999999999</v>
      </c>
      <c r="DH185" s="8">
        <v>-118.7</v>
      </c>
      <c r="DI185" s="8">
        <v>-91.5</v>
      </c>
      <c r="DJ185" s="8">
        <v>-37.5</v>
      </c>
      <c r="DK185" s="8">
        <v>-48.1</v>
      </c>
      <c r="DL185" s="8">
        <v>-36.5</v>
      </c>
      <c r="DM185" s="8">
        <v>-43.6</v>
      </c>
      <c r="DN185" s="8">
        <v>-49.7</v>
      </c>
      <c r="DO185" s="8">
        <v>-40.3</v>
      </c>
      <c r="DP185" s="8">
        <v>-27.9</v>
      </c>
      <c r="DQ185" s="8">
        <v>-27.8</v>
      </c>
      <c r="DR185" s="8">
        <v>-57</v>
      </c>
      <c r="DS185" s="8">
        <v>-74.40000000000001</v>
      </c>
      <c r="DT185" s="8">
        <v>-71.8</v>
      </c>
      <c r="DU185" s="8">
        <v>-78.8</v>
      </c>
      <c r="DV185" s="8">
        <v>-91.2</v>
      </c>
      <c r="DW185" s="8">
        <v>-85.09999999999999</v>
      </c>
      <c r="DX185" s="8">
        <v>-60.9</v>
      </c>
      <c r="DY185" s="8">
        <v>-88.5</v>
      </c>
      <c r="DZ185" s="8">
        <v>-59.3</v>
      </c>
      <c r="EA185" s="8">
        <v>-76.40000000000001</v>
      </c>
      <c r="EB185" s="8">
        <v>-59</v>
      </c>
      <c r="EC185" s="8">
        <v>-61.7</v>
      </c>
      <c r="ED185" s="8">
        <v>-67.40000000000001</v>
      </c>
      <c r="EE185" s="8">
        <v>-57.7</v>
      </c>
      <c r="EF185" s="8">
        <v>-51.7</v>
      </c>
      <c r="EG185" s="8">
        <v>-50.3</v>
      </c>
    </row>
    <row r="186" spans="1:142">
      <c r="A186" s="7">
        <v>37.775</v>
      </c>
      <c r="BT186" s="8">
        <v>-23.2</v>
      </c>
      <c r="BU186" s="8">
        <v>-12.7</v>
      </c>
      <c r="BV186" s="8">
        <v>-34.4</v>
      </c>
      <c r="BW186" s="8">
        <v>-97.09999999999999</v>
      </c>
      <c r="BX186" s="8">
        <v>-88</v>
      </c>
      <c r="BY186" s="8">
        <v>-86.7</v>
      </c>
      <c r="BZ186" s="8">
        <v>-80.8</v>
      </c>
      <c r="CA186" s="8">
        <v>-73.2</v>
      </c>
      <c r="CB186" s="8">
        <v>-46.5</v>
      </c>
      <c r="CC186" s="8">
        <v>-50.6</v>
      </c>
      <c r="CD186" s="8">
        <v>-56.3</v>
      </c>
      <c r="CE186" s="8">
        <v>-61</v>
      </c>
      <c r="CF186" s="8">
        <v>-81.5</v>
      </c>
      <c r="CG186" s="8">
        <v>-89.8</v>
      </c>
      <c r="CH186" s="8">
        <v>-86.7</v>
      </c>
      <c r="CI186" s="8">
        <v>-80.7</v>
      </c>
      <c r="CJ186" s="8">
        <v>-76</v>
      </c>
      <c r="CK186" s="8">
        <v>-75.3</v>
      </c>
      <c r="CL186" s="8">
        <v>-88.09999999999999</v>
      </c>
      <c r="CM186" s="8">
        <v>-87.7</v>
      </c>
      <c r="CN186" s="8">
        <v>-105.9</v>
      </c>
      <c r="CO186" s="8">
        <v>-78.3</v>
      </c>
      <c r="CP186" s="8">
        <v>-75.59999999999999</v>
      </c>
      <c r="CQ186" s="8">
        <v>-73.3</v>
      </c>
      <c r="CR186" s="8">
        <v>-72.3</v>
      </c>
      <c r="CS186" s="8">
        <v>-78.2</v>
      </c>
      <c r="CT186" s="8">
        <v>-71.40000000000001</v>
      </c>
      <c r="CU186" s="8">
        <v>-75.3</v>
      </c>
      <c r="CV186" s="8">
        <v>-68.59999999999999</v>
      </c>
      <c r="CW186" s="8">
        <v>-38.8</v>
      </c>
      <c r="CX186" s="8">
        <v>-28</v>
      </c>
      <c r="CY186" s="8">
        <v>-20.3</v>
      </c>
      <c r="CZ186" s="8">
        <v>-15.9</v>
      </c>
      <c r="DA186" s="8">
        <v>-0.2</v>
      </c>
      <c r="DB186" s="8">
        <v>-31.8</v>
      </c>
      <c r="DC186" s="8">
        <v>-76.59999999999999</v>
      </c>
      <c r="DD186" s="8">
        <v>-73.8</v>
      </c>
      <c r="DE186" s="8">
        <v>-62.7</v>
      </c>
      <c r="DF186" s="8">
        <v>-84.09999999999999</v>
      </c>
      <c r="DG186" s="8">
        <v>-86.40000000000001</v>
      </c>
      <c r="DH186" s="8">
        <v>-93.3</v>
      </c>
      <c r="DI186" s="8">
        <v>-50.8</v>
      </c>
      <c r="DJ186" s="8">
        <v>-50.6</v>
      </c>
      <c r="DK186" s="8">
        <v>-66.3</v>
      </c>
      <c r="DL186" s="8">
        <v>-62.4</v>
      </c>
      <c r="DM186" s="8">
        <v>-65.7</v>
      </c>
      <c r="DN186" s="8">
        <v>-68.90000000000001</v>
      </c>
      <c r="DO186" s="8">
        <v>-72.40000000000001</v>
      </c>
      <c r="DP186" s="8">
        <v>-77.90000000000001</v>
      </c>
      <c r="DQ186" s="8">
        <v>-71</v>
      </c>
      <c r="DR186" s="8">
        <v>-72</v>
      </c>
      <c r="DS186" s="8">
        <v>-80.5</v>
      </c>
      <c r="DT186" s="8">
        <v>-76.2</v>
      </c>
      <c r="DU186" s="8">
        <v>-81.3</v>
      </c>
      <c r="DV186" s="8">
        <v>-82</v>
      </c>
      <c r="DW186" s="8">
        <v>-76.59999999999999</v>
      </c>
      <c r="DX186" s="8">
        <v>-92.3</v>
      </c>
      <c r="DY186" s="8">
        <v>-93.09999999999999</v>
      </c>
      <c r="DZ186" s="8">
        <v>-62.2</v>
      </c>
      <c r="EA186" s="8">
        <v>-51.6</v>
      </c>
      <c r="EB186" s="8">
        <v>-67.2</v>
      </c>
      <c r="EC186" s="8">
        <v>-49.5</v>
      </c>
      <c r="ED186" s="8">
        <v>-49.1</v>
      </c>
      <c r="EE186" s="8">
        <v>-49.7</v>
      </c>
      <c r="EF186" s="8">
        <v>-46.8</v>
      </c>
      <c r="EG186" s="8">
        <v>-37.9</v>
      </c>
    </row>
    <row r="187" spans="1:142">
      <c r="A187" s="7">
        <v>37.8</v>
      </c>
      <c r="BT187" s="8">
        <v>-182.3</v>
      </c>
      <c r="BU187" s="8">
        <v>-161.2</v>
      </c>
      <c r="BV187" s="8">
        <v>-119.3</v>
      </c>
      <c r="BW187" s="8">
        <v>-81.09999999999999</v>
      </c>
      <c r="BX187" s="8">
        <v>-81.59999999999999</v>
      </c>
      <c r="BY187" s="8">
        <v>-101.5</v>
      </c>
      <c r="BZ187" s="8">
        <v>-72.90000000000001</v>
      </c>
      <c r="CA187" s="8">
        <v>-69.40000000000001</v>
      </c>
      <c r="CB187" s="8">
        <v>-43.7</v>
      </c>
      <c r="CC187" s="8">
        <v>13.5</v>
      </c>
      <c r="CD187" s="8">
        <v>46.8</v>
      </c>
      <c r="CE187" s="8">
        <v>-12.5</v>
      </c>
      <c r="CF187" s="8">
        <v>-64.5</v>
      </c>
      <c r="CG187" s="8">
        <v>-83.40000000000001</v>
      </c>
      <c r="CH187" s="8">
        <v>-77.90000000000001</v>
      </c>
      <c r="CI187" s="8">
        <v>-73.90000000000001</v>
      </c>
      <c r="CJ187" s="8">
        <v>-76.09999999999999</v>
      </c>
      <c r="CK187" s="8">
        <v>-69.8</v>
      </c>
      <c r="CL187" s="8">
        <v>-60.9</v>
      </c>
      <c r="CM187" s="8">
        <v>-79</v>
      </c>
      <c r="CN187" s="8">
        <v>-78.09999999999999</v>
      </c>
      <c r="CO187" s="8">
        <v>-79</v>
      </c>
      <c r="CP187" s="8">
        <v>-78</v>
      </c>
      <c r="CQ187" s="8">
        <v>-82.40000000000001</v>
      </c>
      <c r="CR187" s="8">
        <v>-74.8</v>
      </c>
      <c r="CS187" s="8">
        <v>-54</v>
      </c>
      <c r="CT187" s="8">
        <v>-52</v>
      </c>
      <c r="CU187" s="8">
        <v>-58.4</v>
      </c>
      <c r="CV187" s="8">
        <v>-67</v>
      </c>
      <c r="CW187" s="8">
        <v>-60.4</v>
      </c>
      <c r="CX187" s="8">
        <v>-6.5</v>
      </c>
      <c r="CY187" s="8">
        <v>-23.8</v>
      </c>
      <c r="CZ187" s="8">
        <v>1.2</v>
      </c>
      <c r="DA187" s="8">
        <v>-37.4</v>
      </c>
      <c r="DB187" s="8">
        <v>-116.1</v>
      </c>
      <c r="DC187" s="8">
        <v>-85.2</v>
      </c>
      <c r="DD187" s="8">
        <v>29.2</v>
      </c>
      <c r="DE187" s="8">
        <v>-115</v>
      </c>
      <c r="DF187" s="8">
        <v>-179.6</v>
      </c>
      <c r="DG187" s="8">
        <v>-51.8</v>
      </c>
      <c r="DH187" s="8">
        <v>-5.1</v>
      </c>
      <c r="DI187" s="8">
        <v>-52</v>
      </c>
      <c r="DJ187" s="8">
        <v>-55.4</v>
      </c>
      <c r="DK187" s="8">
        <v>-46.1</v>
      </c>
      <c r="DL187" s="8">
        <v>-47.2</v>
      </c>
      <c r="DM187" s="8">
        <v>-59.6</v>
      </c>
      <c r="DN187" s="8">
        <v>-61.4</v>
      </c>
      <c r="DO187" s="8">
        <v>-62.4</v>
      </c>
      <c r="DP187" s="8">
        <v>-64.59999999999999</v>
      </c>
      <c r="DQ187" s="8">
        <v>-25.5</v>
      </c>
      <c r="DR187" s="8">
        <v>-38</v>
      </c>
      <c r="DS187" s="8">
        <v>-61.2</v>
      </c>
      <c r="DT187" s="8">
        <v>-82.5</v>
      </c>
      <c r="DU187" s="8">
        <v>-89.7</v>
      </c>
      <c r="DV187" s="8">
        <v>-95.7</v>
      </c>
      <c r="DW187" s="8">
        <v>-84.59999999999999</v>
      </c>
      <c r="DX187" s="8">
        <v>-73.90000000000001</v>
      </c>
      <c r="DY187" s="8">
        <v>-87.3</v>
      </c>
      <c r="DZ187" s="8">
        <v>-92.90000000000001</v>
      </c>
      <c r="EA187" s="8">
        <v>-27.8</v>
      </c>
      <c r="EB187" s="8">
        <v>-61</v>
      </c>
      <c r="EC187" s="8">
        <v>-59.2</v>
      </c>
      <c r="ED187" s="8">
        <v>7.4</v>
      </c>
      <c r="EE187" s="8">
        <v>-37</v>
      </c>
      <c r="EF187" s="8">
        <v>-31.6</v>
      </c>
      <c r="EG187" s="8">
        <v>-15.6</v>
      </c>
    </row>
    <row r="188" spans="1:142">
      <c r="A188" s="7">
        <v>37.825</v>
      </c>
      <c r="BT188" s="8">
        <v>-154.4</v>
      </c>
      <c r="BU188" s="8">
        <v>-136.9</v>
      </c>
      <c r="BV188" s="8">
        <v>-106.8</v>
      </c>
      <c r="BW188" s="8">
        <v>-68.3</v>
      </c>
      <c r="BX188" s="8">
        <v>-66.40000000000001</v>
      </c>
      <c r="BY188" s="8">
        <v>-82.90000000000001</v>
      </c>
      <c r="BZ188" s="8">
        <v>-63.6</v>
      </c>
      <c r="CA188" s="8">
        <v>-86.8</v>
      </c>
      <c r="CB188" s="8">
        <v>-41.4</v>
      </c>
      <c r="CC188" s="8">
        <v>-8.6</v>
      </c>
      <c r="CD188" s="8">
        <v>-10.2</v>
      </c>
      <c r="CE188" s="8">
        <v>11.5</v>
      </c>
      <c r="CF188" s="8">
        <v>-31.4</v>
      </c>
      <c r="CG188" s="8">
        <v>-77.3</v>
      </c>
      <c r="CH188" s="8">
        <v>-86.3</v>
      </c>
      <c r="CI188" s="8">
        <v>-75.2</v>
      </c>
      <c r="CJ188" s="8">
        <v>-77</v>
      </c>
      <c r="CK188" s="8">
        <v>-81.59999999999999</v>
      </c>
      <c r="CL188" s="8">
        <v>-61.5</v>
      </c>
      <c r="CM188" s="8">
        <v>-48.2</v>
      </c>
      <c r="CN188" s="8">
        <v>-41.7</v>
      </c>
      <c r="CO188" s="8">
        <v>-61.2</v>
      </c>
      <c r="CP188" s="8">
        <v>-68.5</v>
      </c>
      <c r="CQ188" s="8">
        <v>-53.6</v>
      </c>
      <c r="CR188" s="8">
        <v>-51.6</v>
      </c>
      <c r="CS188" s="8">
        <v>-79.3</v>
      </c>
      <c r="CT188" s="8">
        <v>-24.7</v>
      </c>
      <c r="CU188" s="8">
        <v>-33.2</v>
      </c>
      <c r="CV188" s="8">
        <v>-54.9</v>
      </c>
      <c r="CW188" s="8">
        <v>15.4</v>
      </c>
      <c r="CX188" s="8">
        <v>-8</v>
      </c>
      <c r="CY188" s="8">
        <v>-52.8</v>
      </c>
      <c r="CZ188" s="8">
        <v>-108.1</v>
      </c>
      <c r="DA188" s="8">
        <v>-76.40000000000001</v>
      </c>
      <c r="DB188" s="8">
        <v>-86.09999999999999</v>
      </c>
      <c r="DC188" s="8">
        <v>-100.4</v>
      </c>
      <c r="DD188" s="8">
        <v>-75.90000000000001</v>
      </c>
      <c r="DE188" s="8">
        <v>-42.1</v>
      </c>
      <c r="DF188" s="8">
        <v>-63.9</v>
      </c>
      <c r="DG188" s="8">
        <v>-89.59999999999999</v>
      </c>
      <c r="DH188" s="8">
        <v>-84.7</v>
      </c>
      <c r="DI188" s="8">
        <v>-51.7</v>
      </c>
      <c r="DJ188" s="8">
        <v>-66.2</v>
      </c>
      <c r="DK188" s="8">
        <v>-51.1</v>
      </c>
      <c r="DL188" s="8">
        <v>-56.5</v>
      </c>
      <c r="DM188" s="8">
        <v>-49.4</v>
      </c>
      <c r="DN188" s="8">
        <v>-64.8</v>
      </c>
      <c r="DO188" s="8">
        <v>-63.7</v>
      </c>
      <c r="DP188" s="8">
        <v>-68.90000000000001</v>
      </c>
      <c r="DQ188" s="8">
        <v>-63.7</v>
      </c>
      <c r="DR188" s="8">
        <v>-63.2</v>
      </c>
      <c r="DS188" s="8">
        <v>-70.09999999999999</v>
      </c>
      <c r="DT188" s="8">
        <v>-61.9</v>
      </c>
      <c r="DU188" s="8">
        <v>-65.5</v>
      </c>
      <c r="DV188" s="8">
        <v>-71.2</v>
      </c>
      <c r="DW188" s="8">
        <v>-64.59999999999999</v>
      </c>
      <c r="DX188" s="8">
        <v>-63.5</v>
      </c>
      <c r="DY188" s="8">
        <v>-66.40000000000001</v>
      </c>
      <c r="DZ188" s="8">
        <v>-54.9</v>
      </c>
      <c r="EA188" s="8">
        <v>-58</v>
      </c>
      <c r="EB188" s="8">
        <v>-57.4</v>
      </c>
      <c r="EC188" s="8">
        <v>-44</v>
      </c>
      <c r="ED188" s="8">
        <v>-58.1</v>
      </c>
      <c r="EE188" s="8">
        <v>-44.7</v>
      </c>
      <c r="EF188" s="8">
        <v>-36.8</v>
      </c>
      <c r="EG188" s="8">
        <v>-10.4</v>
      </c>
    </row>
    <row r="189" spans="1:142">
      <c r="A189" s="7">
        <v>37.85</v>
      </c>
      <c r="BT189" s="8">
        <v>-121.7</v>
      </c>
      <c r="BU189" s="8">
        <v>-41.6</v>
      </c>
      <c r="BV189" s="8">
        <v>-111.5</v>
      </c>
      <c r="BW189" s="8">
        <v>-87.5</v>
      </c>
      <c r="BX189" s="8">
        <v>-86.8</v>
      </c>
      <c r="BY189" s="8">
        <v>-66.3</v>
      </c>
      <c r="BZ189" s="8">
        <v>-34.8</v>
      </c>
      <c r="CA189" s="8">
        <v>-31.2</v>
      </c>
      <c r="CB189" s="8">
        <v>-38.5</v>
      </c>
      <c r="CC189" s="8">
        <v>-15.8</v>
      </c>
      <c r="CD189" s="8">
        <v>-21.6</v>
      </c>
      <c r="CE189" s="8">
        <v>-18.7</v>
      </c>
      <c r="CF189" s="8">
        <v>-37</v>
      </c>
      <c r="CG189" s="8">
        <v>-31.8</v>
      </c>
      <c r="CH189" s="8">
        <v>-82.90000000000001</v>
      </c>
      <c r="CI189" s="8">
        <v>-73.40000000000001</v>
      </c>
      <c r="CJ189" s="8">
        <v>-82.90000000000001</v>
      </c>
      <c r="CK189" s="8">
        <v>-76.5</v>
      </c>
      <c r="CL189" s="8">
        <v>-77.59999999999999</v>
      </c>
      <c r="CM189" s="8">
        <v>-67.59999999999999</v>
      </c>
      <c r="CN189" s="8">
        <v>-90.8</v>
      </c>
      <c r="CO189" s="8">
        <v>-64.90000000000001</v>
      </c>
      <c r="CP189" s="8">
        <v>-62.3</v>
      </c>
      <c r="CQ189" s="8">
        <v>-79.8</v>
      </c>
      <c r="CR189" s="8">
        <v>-79.59999999999999</v>
      </c>
      <c r="CS189" s="8">
        <v>-75.59999999999999</v>
      </c>
      <c r="CT189" s="8">
        <v>-31.8</v>
      </c>
      <c r="CU189" s="8">
        <v>3.2</v>
      </c>
      <c r="CV189" s="8">
        <v>6.6</v>
      </c>
      <c r="CW189" s="8">
        <v>-29.9</v>
      </c>
      <c r="CX189" s="8">
        <v>-66.7</v>
      </c>
      <c r="CY189" s="8">
        <v>-12.1</v>
      </c>
      <c r="CZ189" s="8">
        <v>-114.1</v>
      </c>
      <c r="DA189" s="8">
        <v>-97.5</v>
      </c>
      <c r="DB189" s="8">
        <v>-92.5</v>
      </c>
      <c r="DC189" s="8">
        <v>-121</v>
      </c>
      <c r="DD189" s="8">
        <v>-75.5</v>
      </c>
      <c r="DE189" s="8">
        <v>-57.1</v>
      </c>
      <c r="DF189" s="8">
        <v>-49.7</v>
      </c>
      <c r="DG189" s="8">
        <v>-49.8</v>
      </c>
      <c r="DH189" s="8">
        <v>-17.1</v>
      </c>
      <c r="DI189" s="8">
        <v>-72.09999999999999</v>
      </c>
      <c r="DJ189" s="8">
        <v>-66.5</v>
      </c>
      <c r="DK189" s="8">
        <v>-62.6</v>
      </c>
      <c r="DL189" s="8">
        <v>-66.90000000000001</v>
      </c>
      <c r="DM189" s="8">
        <v>-72.90000000000001</v>
      </c>
      <c r="DN189" s="8">
        <v>-63.9</v>
      </c>
      <c r="DO189" s="8">
        <v>-76.3</v>
      </c>
      <c r="DP189" s="8">
        <v>-77.2</v>
      </c>
      <c r="DQ189" s="8">
        <v>-75</v>
      </c>
      <c r="DR189" s="8">
        <v>-73.90000000000001</v>
      </c>
      <c r="DS189" s="8">
        <v>-68</v>
      </c>
      <c r="DT189" s="8">
        <v>-75.3</v>
      </c>
      <c r="DU189" s="8">
        <v>-73.2</v>
      </c>
      <c r="DV189" s="8">
        <v>-62.3</v>
      </c>
      <c r="DW189" s="8">
        <v>-68.09999999999999</v>
      </c>
      <c r="DX189" s="8">
        <v>-63.2</v>
      </c>
      <c r="DY189" s="8">
        <v>-73.8</v>
      </c>
      <c r="DZ189" s="8">
        <v>-47.7</v>
      </c>
      <c r="EA189" s="8">
        <v>-28.8</v>
      </c>
      <c r="EB189" s="8">
        <v>-64</v>
      </c>
      <c r="EC189" s="8">
        <v>-30.4</v>
      </c>
      <c r="ED189" s="8">
        <v>-36.2</v>
      </c>
      <c r="EE189" s="8">
        <v>-48.6</v>
      </c>
      <c r="EF189" s="8">
        <v>-56.8</v>
      </c>
    </row>
    <row r="190" spans="1:142">
      <c r="A190" s="7">
        <v>37.875</v>
      </c>
      <c r="BT190" s="8">
        <v>-96</v>
      </c>
      <c r="BU190" s="8">
        <v>-125.6</v>
      </c>
      <c r="BV190" s="8">
        <v>-109.5</v>
      </c>
      <c r="BW190" s="8">
        <v>-104.3</v>
      </c>
      <c r="BX190" s="8">
        <v>-91.09999999999999</v>
      </c>
      <c r="BY190" s="8">
        <v>-84.59999999999999</v>
      </c>
      <c r="BZ190" s="8">
        <v>-85.3</v>
      </c>
      <c r="CA190" s="8">
        <v>328.8</v>
      </c>
      <c r="CB190" s="8">
        <v>-33.5</v>
      </c>
      <c r="CC190" s="8">
        <v>-9.300000000000001</v>
      </c>
      <c r="CD190" s="8">
        <v>-17.8</v>
      </c>
      <c r="CE190" s="8">
        <v>-59.1</v>
      </c>
      <c r="CF190" s="8">
        <v>-61.5</v>
      </c>
      <c r="CG190" s="8">
        <v>-45.6</v>
      </c>
      <c r="CH190" s="8">
        <v>-79.90000000000001</v>
      </c>
      <c r="CI190" s="8">
        <v>-101</v>
      </c>
      <c r="CJ190" s="8">
        <v>-73.09999999999999</v>
      </c>
      <c r="CK190" s="8">
        <v>-85.2</v>
      </c>
      <c r="CL190" s="8">
        <v>-112.2</v>
      </c>
      <c r="CM190" s="8">
        <v>-72.8</v>
      </c>
      <c r="CN190" s="8">
        <v>-64.09999999999999</v>
      </c>
      <c r="CO190" s="8">
        <v>1.1</v>
      </c>
      <c r="CP190" s="8">
        <v>-70.59999999999999</v>
      </c>
      <c r="CQ190" s="8">
        <v>-65</v>
      </c>
      <c r="CR190" s="8">
        <v>-87.59999999999999</v>
      </c>
      <c r="CS190" s="8">
        <v>-54.9</v>
      </c>
      <c r="CT190" s="8">
        <v>-21</v>
      </c>
      <c r="CU190" s="8">
        <v>19</v>
      </c>
      <c r="CV190" s="8">
        <v>-12.2</v>
      </c>
      <c r="CW190" s="8">
        <v>-9.300000000000001</v>
      </c>
      <c r="CX190" s="8">
        <v>-63.3</v>
      </c>
      <c r="CY190" s="8">
        <v>-106.9</v>
      </c>
      <c r="CZ190" s="8">
        <v>-100.4</v>
      </c>
      <c r="DA190" s="8">
        <v>-108.9</v>
      </c>
      <c r="DB190" s="8">
        <v>-113.5</v>
      </c>
      <c r="DC190" s="8">
        <v>-92.09999999999999</v>
      </c>
      <c r="DD190" s="8">
        <v>-101.1</v>
      </c>
      <c r="DE190" s="8">
        <v>43.7</v>
      </c>
      <c r="DF190" s="8">
        <v>-79.90000000000001</v>
      </c>
      <c r="DG190" s="8">
        <v>-62.3</v>
      </c>
      <c r="DH190" s="8">
        <v>-39.1</v>
      </c>
      <c r="DI190" s="8">
        <v>-42.1</v>
      </c>
      <c r="DJ190" s="8">
        <v>-54.6</v>
      </c>
      <c r="DK190" s="8">
        <v>-66.5</v>
      </c>
      <c r="DL190" s="8">
        <v>-74.8</v>
      </c>
      <c r="DM190" s="8">
        <v>-48.1</v>
      </c>
      <c r="DN190" s="8">
        <v>-70.59999999999999</v>
      </c>
      <c r="DO190" s="8">
        <v>-64.5</v>
      </c>
      <c r="DP190" s="8">
        <v>-68.2</v>
      </c>
      <c r="DQ190" s="8">
        <v>-66.40000000000001</v>
      </c>
      <c r="DR190" s="8">
        <v>-64.7</v>
      </c>
      <c r="DS190" s="8">
        <v>-63.4</v>
      </c>
      <c r="DT190" s="8">
        <v>-59.7</v>
      </c>
      <c r="DU190" s="8">
        <v>-55.9</v>
      </c>
      <c r="DV190" s="8">
        <v>-63.6</v>
      </c>
      <c r="DW190" s="8">
        <v>-57.1</v>
      </c>
      <c r="DX190" s="8">
        <v>-50.6</v>
      </c>
      <c r="DY190" s="8">
        <v>-61.8</v>
      </c>
      <c r="DZ190" s="8">
        <v>-56.8</v>
      </c>
      <c r="EA190" s="8">
        <v>-50</v>
      </c>
      <c r="EB190" s="8">
        <v>-55.9</v>
      </c>
      <c r="EC190" s="8">
        <v>-59.3</v>
      </c>
    </row>
    <row r="191" spans="1:142">
      <c r="A191" s="7">
        <v>37.9</v>
      </c>
      <c r="CN191" s="8">
        <v>-65.90000000000001</v>
      </c>
      <c r="CO191" s="8">
        <v>-66.2</v>
      </c>
      <c r="CP191" s="8">
        <v>-76.90000000000001</v>
      </c>
      <c r="CQ191" s="8">
        <v>-55.6</v>
      </c>
      <c r="CR191" s="8">
        <v>-57.7</v>
      </c>
      <c r="CS191" s="8">
        <v>-93.09999999999999</v>
      </c>
      <c r="CT191" s="8">
        <v>-110.5</v>
      </c>
      <c r="CU191" s="8">
        <v>-108.4</v>
      </c>
      <c r="CV191" s="8">
        <v>-49.9</v>
      </c>
      <c r="CW191" s="8">
        <v>8.9</v>
      </c>
      <c r="CX191" s="8">
        <v>-3.8</v>
      </c>
      <c r="CY191" s="8">
        <v>-64.3</v>
      </c>
      <c r="CZ191" s="8">
        <v>-94.90000000000001</v>
      </c>
      <c r="DA191" s="8">
        <v>-100.9</v>
      </c>
      <c r="DB191" s="8">
        <v>-105.5</v>
      </c>
      <c r="DC191" s="8">
        <v>-84.8</v>
      </c>
      <c r="DD191" s="8">
        <v>-108.3</v>
      </c>
      <c r="DE191" s="8">
        <v>-45.6</v>
      </c>
      <c r="DF191" s="8">
        <v>-86.90000000000001</v>
      </c>
      <c r="DG191" s="8">
        <v>-73.3</v>
      </c>
      <c r="DH191" s="8">
        <v>-144.8</v>
      </c>
      <c r="DI191" s="8">
        <v>-55.3</v>
      </c>
      <c r="DJ191" s="8">
        <v>-50.5</v>
      </c>
      <c r="DK191" s="8">
        <v>-61.4</v>
      </c>
      <c r="DL191" s="8">
        <v>-66.3</v>
      </c>
      <c r="DM191" s="8">
        <v>-66.59999999999999</v>
      </c>
      <c r="DN191" s="8">
        <v>-71.40000000000001</v>
      </c>
      <c r="DO191" s="8">
        <v>-71.5</v>
      </c>
      <c r="DP191" s="8">
        <v>-69.09999999999999</v>
      </c>
      <c r="DQ191" s="8">
        <v>-70.90000000000001</v>
      </c>
      <c r="DR191" s="8">
        <v>-71.3</v>
      </c>
      <c r="DS191" s="8">
        <v>-62.6</v>
      </c>
      <c r="DT191" s="8">
        <v>-60.8</v>
      </c>
      <c r="DU191" s="8">
        <v>-61.6</v>
      </c>
      <c r="DV191" s="8">
        <v>-66.5</v>
      </c>
      <c r="DW191" s="8">
        <v>-51.5</v>
      </c>
      <c r="DX191" s="8">
        <v>-44.5</v>
      </c>
      <c r="DY191" s="8">
        <v>-55.3</v>
      </c>
      <c r="DZ191" s="8">
        <v>-55.9</v>
      </c>
      <c r="EA191" s="8">
        <v>-34.5</v>
      </c>
      <c r="EB191" s="8">
        <v>-30.4</v>
      </c>
      <c r="EC191" s="8">
        <v>-26.6</v>
      </c>
    </row>
    <row r="192" spans="1:142">
      <c r="A192" s="7">
        <v>37.925</v>
      </c>
      <c r="CN192" s="8">
        <v>-58.5</v>
      </c>
      <c r="CO192" s="8">
        <v>-86.2</v>
      </c>
      <c r="CP192" s="8">
        <v>-98.3</v>
      </c>
      <c r="CQ192" s="8">
        <v>-86</v>
      </c>
      <c r="CR192" s="8">
        <v>-36.1</v>
      </c>
      <c r="CS192" s="8">
        <v>-49</v>
      </c>
      <c r="CT192" s="8">
        <v>-52.1</v>
      </c>
      <c r="CU192" s="8">
        <v>-49.5</v>
      </c>
      <c r="CV192" s="8">
        <v>-50.1</v>
      </c>
      <c r="CW192" s="8">
        <v>-30</v>
      </c>
      <c r="CX192" s="8">
        <v>11.7</v>
      </c>
      <c r="CY192" s="8">
        <v>12.4</v>
      </c>
      <c r="CZ192" s="8">
        <v>-40.3</v>
      </c>
      <c r="DA192" s="8">
        <v>-51.6</v>
      </c>
      <c r="DB192" s="8">
        <v>-72.59999999999999</v>
      </c>
      <c r="DC192" s="8">
        <v>-66.2</v>
      </c>
      <c r="DD192" s="8">
        <v>-36.3</v>
      </c>
      <c r="DE192" s="8">
        <v>-57.9</v>
      </c>
      <c r="DF192" s="8">
        <v>-58.3</v>
      </c>
      <c r="DG192" s="8">
        <v>-55</v>
      </c>
      <c r="DH192" s="8">
        <v>-53</v>
      </c>
      <c r="DI192" s="8">
        <v>-51.7</v>
      </c>
      <c r="DJ192" s="8">
        <v>-44.7</v>
      </c>
      <c r="DK192" s="8">
        <v>-53.7</v>
      </c>
      <c r="DL192" s="8">
        <v>-55.1</v>
      </c>
      <c r="DM192" s="8">
        <v>-58.6</v>
      </c>
      <c r="DN192" s="8">
        <v>-57.9</v>
      </c>
      <c r="DO192" s="8">
        <v>-75.2</v>
      </c>
      <c r="DP192" s="8">
        <v>-65.09999999999999</v>
      </c>
      <c r="DQ192" s="8">
        <v>-73.3</v>
      </c>
      <c r="DR192" s="8">
        <v>-71</v>
      </c>
      <c r="DS192" s="8">
        <v>-56.7</v>
      </c>
      <c r="DT192" s="8">
        <v>-64.40000000000001</v>
      </c>
      <c r="DU192" s="8">
        <v>-58.6</v>
      </c>
      <c r="DV192" s="8">
        <v>-66.90000000000001</v>
      </c>
      <c r="DW192" s="8">
        <v>-67.40000000000001</v>
      </c>
      <c r="DX192" s="8">
        <v>-68.3</v>
      </c>
      <c r="DY192" s="8">
        <v>-72.7</v>
      </c>
      <c r="DZ192" s="8">
        <v>-76.59999999999999</v>
      </c>
      <c r="EA192" s="8">
        <v>-53.3</v>
      </c>
      <c r="EB192" s="8">
        <v>-82.8</v>
      </c>
    </row>
    <row r="193" spans="1:131">
      <c r="A193" s="7">
        <v>37.95</v>
      </c>
      <c r="CN193" s="8">
        <v>-77.8</v>
      </c>
      <c r="CO193" s="8">
        <v>-79</v>
      </c>
      <c r="CP193" s="8">
        <v>-68.09999999999999</v>
      </c>
      <c r="CQ193" s="8">
        <v>-83.8</v>
      </c>
      <c r="CR193" s="8">
        <v>-77.2</v>
      </c>
      <c r="CS193" s="8">
        <v>-63.3</v>
      </c>
      <c r="CT193" s="8">
        <v>-20.1</v>
      </c>
      <c r="CU193" s="8">
        <v>5.6</v>
      </c>
      <c r="CV193" s="8">
        <v>-0.7</v>
      </c>
      <c r="CW193" s="8">
        <v>-30.9</v>
      </c>
      <c r="CX193" s="8">
        <v>-93.09999999999999</v>
      </c>
      <c r="CY193" s="8">
        <v>-9.300000000000001</v>
      </c>
      <c r="CZ193" s="8">
        <v>-13.3</v>
      </c>
      <c r="DA193" s="8">
        <v>-41.1</v>
      </c>
      <c r="DB193" s="8">
        <v>-59.9</v>
      </c>
      <c r="DC193" s="8">
        <v>-56</v>
      </c>
      <c r="DD193" s="8">
        <v>-58.1</v>
      </c>
      <c r="DE193" s="8">
        <v>-49.1</v>
      </c>
      <c r="DF193" s="8">
        <v>-60.6</v>
      </c>
      <c r="DG193" s="8">
        <v>-63</v>
      </c>
      <c r="DH193" s="8">
        <v>-69.09999999999999</v>
      </c>
      <c r="DI193" s="8">
        <v>-43.1</v>
      </c>
      <c r="DJ193" s="8">
        <v>-39.4</v>
      </c>
      <c r="DK193" s="8">
        <v>-47.8</v>
      </c>
      <c r="DL193" s="8">
        <v>-44.4</v>
      </c>
      <c r="DM193" s="8">
        <v>-47</v>
      </c>
      <c r="DN193" s="8">
        <v>-37.2</v>
      </c>
      <c r="DO193" s="8">
        <v>-47.8</v>
      </c>
      <c r="DP193" s="8">
        <v>-41</v>
      </c>
      <c r="DQ193" s="8">
        <v>-36.7</v>
      </c>
      <c r="DR193" s="8">
        <v>-37.6</v>
      </c>
      <c r="DS193" s="8">
        <v>-42.9</v>
      </c>
      <c r="DT193" s="8">
        <v>-24.6</v>
      </c>
      <c r="DU193" s="8">
        <v>-18.7</v>
      </c>
      <c r="DV193" s="8">
        <v>-24.7</v>
      </c>
      <c r="DW193" s="8">
        <v>-11.9</v>
      </c>
      <c r="DX193" s="8">
        <v>-8.5</v>
      </c>
      <c r="DY193" s="8">
        <v>-9.300000000000001</v>
      </c>
      <c r="DZ193" s="8">
        <v>-10.8</v>
      </c>
      <c r="EA193" s="8">
        <v>-22.6</v>
      </c>
    </row>
    <row r="194" spans="1:131">
      <c r="A194" s="7">
        <v>37.975</v>
      </c>
      <c r="CN194" s="8">
        <v>-67.59999999999999</v>
      </c>
      <c r="CO194" s="8">
        <v>-62.3</v>
      </c>
      <c r="CP194" s="8">
        <v>-67</v>
      </c>
      <c r="CQ194" s="8">
        <v>-68.5</v>
      </c>
      <c r="CR194" s="8">
        <v>-67.09999999999999</v>
      </c>
      <c r="CS194" s="8">
        <v>-39.6</v>
      </c>
      <c r="CT194" s="8">
        <v>-24.7</v>
      </c>
      <c r="CU194" s="8">
        <v>0.9</v>
      </c>
      <c r="CV194" s="8">
        <v>-3.6</v>
      </c>
      <c r="CW194" s="8">
        <v>-34.3</v>
      </c>
      <c r="CX194" s="8">
        <v>-37.4</v>
      </c>
      <c r="CY194" s="8">
        <v>-40.7</v>
      </c>
      <c r="CZ194" s="8">
        <v>-20</v>
      </c>
      <c r="DA194" s="8">
        <v>-33</v>
      </c>
      <c r="DB194" s="8">
        <v>-31.7</v>
      </c>
      <c r="DC194" s="8">
        <v>-33.3</v>
      </c>
      <c r="DD194" s="8">
        <v>-55.1</v>
      </c>
      <c r="DE194" s="8">
        <v>-64.59999999999999</v>
      </c>
      <c r="DF194" s="8">
        <v>-31.6</v>
      </c>
      <c r="DG194" s="8">
        <v>-27.6</v>
      </c>
      <c r="DH194" s="8">
        <v>-82.5</v>
      </c>
      <c r="DI194" s="8">
        <v>-68.09999999999999</v>
      </c>
      <c r="DJ194" s="8">
        <v>-57</v>
      </c>
      <c r="DK194" s="8">
        <v>-53.7</v>
      </c>
      <c r="DL194" s="8">
        <v>-52.3</v>
      </c>
      <c r="DM194" s="8">
        <v>-42.9</v>
      </c>
      <c r="DN194" s="8">
        <v>-39.6</v>
      </c>
      <c r="DO194" s="8">
        <v>-50</v>
      </c>
      <c r="DP194" s="8">
        <v>-48.8</v>
      </c>
      <c r="DQ194" s="8">
        <v>-36.5</v>
      </c>
      <c r="DR194" s="8">
        <v>-32.3</v>
      </c>
      <c r="DS194" s="8">
        <v>-33</v>
      </c>
      <c r="DT194" s="8">
        <v>-15.7</v>
      </c>
      <c r="DU194" s="8">
        <v>-9.199999999999999</v>
      </c>
      <c r="DV194" s="8">
        <v>-19</v>
      </c>
      <c r="DW194" s="8">
        <v>-1.8</v>
      </c>
      <c r="DX194" s="8">
        <v>1.1</v>
      </c>
      <c r="DY194" s="8">
        <v>2.6</v>
      </c>
      <c r="DZ194" s="8">
        <v>-1.5</v>
      </c>
    </row>
    <row r="195" spans="1:131">
      <c r="A195" s="7">
        <v>38</v>
      </c>
      <c r="CN195" s="8">
        <v>-81.90000000000001</v>
      </c>
      <c r="CO195" s="8">
        <v>-73</v>
      </c>
      <c r="CP195" s="8">
        <v>-65.90000000000001</v>
      </c>
      <c r="CQ195" s="8">
        <v>-68.7</v>
      </c>
      <c r="CR195" s="8">
        <v>-101.3</v>
      </c>
      <c r="CS195" s="8">
        <v>-59.9</v>
      </c>
      <c r="CT195" s="8">
        <v>-48.4</v>
      </c>
      <c r="CU195" s="8">
        <v>-30.4</v>
      </c>
      <c r="CV195" s="8">
        <v>-46.3</v>
      </c>
      <c r="CW195" s="8">
        <v>-61.8</v>
      </c>
      <c r="CX195" s="8">
        <v>-69.7</v>
      </c>
      <c r="CY195" s="8">
        <v>-68.8</v>
      </c>
      <c r="CZ195" s="8">
        <v>-39.8</v>
      </c>
      <c r="DA195" s="8">
        <v>-41.3</v>
      </c>
      <c r="DB195" s="8">
        <v>-38.8</v>
      </c>
      <c r="DC195" s="8">
        <v>-40.3</v>
      </c>
      <c r="DD195" s="8">
        <v>-47.3</v>
      </c>
      <c r="DE195" s="8">
        <v>-46.9</v>
      </c>
      <c r="DF195" s="8">
        <v>-43.6</v>
      </c>
      <c r="DG195" s="8">
        <v>-34.9</v>
      </c>
      <c r="DH195" s="8">
        <v>-60.5</v>
      </c>
      <c r="DI195" s="8">
        <v>-53.5</v>
      </c>
      <c r="DJ195" s="8">
        <v>-63.7</v>
      </c>
      <c r="DK195" s="8">
        <v>-52.9</v>
      </c>
      <c r="DL195" s="8">
        <v>-64</v>
      </c>
      <c r="DM195" s="8">
        <v>-32.1</v>
      </c>
      <c r="DN195" s="8">
        <v>-49.5</v>
      </c>
      <c r="DO195" s="8">
        <v>-53.5</v>
      </c>
      <c r="DP195" s="8">
        <v>-50.3</v>
      </c>
      <c r="DQ195" s="8">
        <v>-41.2</v>
      </c>
      <c r="DR195" s="8">
        <v>-29.9</v>
      </c>
      <c r="DS195" s="8">
        <v>-22.2</v>
      </c>
      <c r="DT195" s="8">
        <v>-12</v>
      </c>
      <c r="DU195" s="8">
        <v>-0.8</v>
      </c>
      <c r="DV195" s="8">
        <v>1</v>
      </c>
      <c r="DW195" s="8">
        <v>4.7</v>
      </c>
      <c r="DX195" s="8">
        <v>10.4</v>
      </c>
      <c r="DY195" s="8">
        <v>14.8</v>
      </c>
      <c r="DZ195" s="8">
        <v>10</v>
      </c>
    </row>
    <row r="196" spans="1:131">
      <c r="A196" s="7">
        <v>38.025</v>
      </c>
      <c r="DH196" s="8">
        <v>-1.3</v>
      </c>
      <c r="DI196" s="8">
        <v>-46.4</v>
      </c>
      <c r="DJ196" s="8">
        <v>-50.4</v>
      </c>
      <c r="DK196" s="8">
        <v>-52.5</v>
      </c>
      <c r="DL196" s="8">
        <v>-51.7</v>
      </c>
      <c r="DM196" s="8">
        <v>-49.5</v>
      </c>
      <c r="DN196" s="8">
        <v>-35.9</v>
      </c>
      <c r="DO196" s="8">
        <v>-35.4</v>
      </c>
      <c r="DP196" s="8">
        <v>-26</v>
      </c>
      <c r="DQ196" s="8">
        <v>-20.3</v>
      </c>
    </row>
    <row r="197" spans="1:131">
      <c r="A197" s="7">
        <v>38.05</v>
      </c>
      <c r="DH197" s="8">
        <v>84.8</v>
      </c>
      <c r="DI197" s="8">
        <v>-43.3</v>
      </c>
      <c r="DJ197" s="8">
        <v>-44.6</v>
      </c>
      <c r="DK197" s="8">
        <v>-43</v>
      </c>
      <c r="DL197" s="8">
        <v>-39.8</v>
      </c>
      <c r="DM197" s="8">
        <v>-40.4</v>
      </c>
      <c r="DN197" s="8">
        <v>-36.1</v>
      </c>
      <c r="DO197" s="8">
        <v>-27.9</v>
      </c>
      <c r="DP197" s="8">
        <v>-30.6</v>
      </c>
    </row>
    <row r="198" spans="1:131">
      <c r="A198" s="7">
        <v>38.075</v>
      </c>
      <c r="DI198" s="8">
        <v>-69.2</v>
      </c>
      <c r="DJ198" s="8">
        <v>5.7</v>
      </c>
      <c r="DK198" s="8">
        <v>-24</v>
      </c>
      <c r="DL198" s="8">
        <v>-30.2</v>
      </c>
      <c r="DM198" s="8">
        <v>-39.4</v>
      </c>
      <c r="DN198" s="8">
        <v>-28.1</v>
      </c>
      <c r="DO198" s="8">
        <v>-5.8</v>
      </c>
      <c r="DP198" s="8">
        <v>-18.6</v>
      </c>
    </row>
    <row r="199" spans="1:131">
      <c r="A199" s="7">
        <v>38.1</v>
      </c>
      <c r="DJ199" s="8">
        <v>-9.699999999999999</v>
      </c>
      <c r="DK199" s="8">
        <v>-42.7</v>
      </c>
      <c r="DL199" s="8">
        <v>-37.3</v>
      </c>
      <c r="DM199" s="8">
        <v>-45.1</v>
      </c>
      <c r="DN199" s="8">
        <v>-16.8</v>
      </c>
      <c r="DO199" s="8">
        <v>-18.3</v>
      </c>
    </row>
    <row r="200" spans="1:131">
      <c r="A200" s="7">
        <v>38.125</v>
      </c>
      <c r="DK200" s="8">
        <v>4.6</v>
      </c>
      <c r="DL200" s="8">
        <v>-34.9</v>
      </c>
      <c r="DM200" s="8">
        <v>-31.1</v>
      </c>
      <c r="DN200" s="8">
        <v>-24.3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FormatPr defaultRowHeight="15"/>
  <cols>
    <col min="1" max="1" width="12.7109375" customWidth="1"/>
    <col min="2" max="4" width="16.7109375" customWidth="1"/>
  </cols>
  <sheetData>
    <row r="1" spans="1:4">
      <c r="A1" s="1" t="s">
        <v>7</v>
      </c>
    </row>
    <row r="2" spans="1:4">
      <c r="A2" t="s">
        <v>8</v>
      </c>
    </row>
    <row r="4" spans="1:4">
      <c r="A4" s="7" t="s">
        <v>9</v>
      </c>
      <c r="B4" s="7" t="s">
        <v>10</v>
      </c>
      <c r="C4" s="7" t="s">
        <v>11</v>
      </c>
      <c r="D4" s="7" t="s">
        <v>12</v>
      </c>
    </row>
    <row r="5" spans="1:4">
      <c r="A5" t="s">
        <v>13</v>
      </c>
      <c r="B5">
        <v>-0.2108352266600911</v>
      </c>
      <c r="C5">
        <v>0.1716237263644187</v>
      </c>
      <c r="D5">
        <v>8.313629090927206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sheetPr>
    <pageSetUpPr fitToPage="1"/>
  </sheetPr>
  <dimension ref="A1:G9"/>
  <sheetViews>
    <sheetView workbookViewId="0"/>
  </sheetViews>
  <sheetFormatPr defaultRowHeight="15"/>
  <cols>
    <col min="1" max="7" width="15.7109375" customWidth="1"/>
  </cols>
  <sheetData>
    <row r="1" spans="1:7">
      <c r="A1" s="1" t="s">
        <v>52</v>
      </c>
    </row>
    <row r="2" spans="1:7">
      <c r="A2" t="s">
        <v>53</v>
      </c>
    </row>
    <row r="4" spans="1:7">
      <c r="A4" s="7" t="s">
        <v>54</v>
      </c>
      <c r="B4" s="7" t="s">
        <v>55</v>
      </c>
      <c r="C4" s="7" t="s">
        <v>56</v>
      </c>
      <c r="D4" s="7" t="s">
        <v>57</v>
      </c>
      <c r="E4" s="7" t="s">
        <v>58</v>
      </c>
      <c r="F4" s="7" t="s">
        <v>59</v>
      </c>
      <c r="G4" s="7" t="s">
        <v>60</v>
      </c>
    </row>
    <row r="5" spans="1:7">
      <c r="A5">
        <v>36</v>
      </c>
      <c r="B5">
        <v>128</v>
      </c>
      <c r="C5">
        <v>0</v>
      </c>
      <c r="D5">
        <v>2027</v>
      </c>
      <c r="E5">
        <v>-8.853820045288165</v>
      </c>
      <c r="F5">
        <v>52.66728174557426</v>
      </c>
      <c r="G5">
        <v>50289.64658938496</v>
      </c>
    </row>
    <row r="6" spans="1:7">
      <c r="A6">
        <v>37.5665</v>
      </c>
      <c r="B6">
        <v>126.978</v>
      </c>
      <c r="C6">
        <v>50</v>
      </c>
      <c r="D6">
        <v>2026.5</v>
      </c>
      <c r="E6">
        <v>-9.207766412856783</v>
      </c>
      <c r="F6">
        <v>54.80662956875158</v>
      </c>
      <c r="G6">
        <v>51417.93652526486</v>
      </c>
    </row>
    <row r="7" spans="1:7">
      <c r="A7">
        <v>34.870311</v>
      </c>
      <c r="B7">
        <v>128.592862</v>
      </c>
      <c r="C7">
        <v>91</v>
      </c>
      <c r="D7">
        <v>2027</v>
      </c>
      <c r="E7">
        <v>-8.559958321473612</v>
      </c>
      <c r="F7">
        <v>51.08955052180538</v>
      </c>
      <c r="G7">
        <v>49485.66100842903</v>
      </c>
    </row>
    <row r="8" spans="1:7">
      <c r="A8">
        <v>35.800783</v>
      </c>
      <c r="B8">
        <v>128.187658</v>
      </c>
      <c r="C8">
        <v>190.9</v>
      </c>
      <c r="D8">
        <v>2027</v>
      </c>
      <c r="E8">
        <v>-8.807325155618004</v>
      </c>
      <c r="F8">
        <v>52.37390031929116</v>
      </c>
      <c r="G8">
        <v>49995.58127537311</v>
      </c>
    </row>
    <row r="9" spans="1:7">
      <c r="A9">
        <v>33.524</v>
      </c>
      <c r="B9">
        <v>126.894</v>
      </c>
      <c r="C9">
        <v>30</v>
      </c>
      <c r="D9">
        <v>2028</v>
      </c>
      <c r="E9">
        <v>-8.10017970754123</v>
      </c>
      <c r="F9">
        <v>49.72051007967806</v>
      </c>
      <c r="G9">
        <v>49158.5121528351</v>
      </c>
    </row>
  </sheetData>
  <pageMargins left="0.7" right="0.7" top="0.75" bottom="0.75" header="0.3" footer="0.3"/>
  <pageSetup fitToHeight="0" orientation="portrait"/>
</worksheet>
</file>

<file path=xl/worksheets/sheet8.xml><?xml version="1.0" encoding="utf-8"?>
<worksheet xmlns="http://schemas.openxmlformats.org/spreadsheetml/2006/main" xmlns:r="http://schemas.openxmlformats.org/officeDocument/2006/relationships">
  <sheetPr>
    <pageSetUpPr fitToPage="1"/>
  </sheetPr>
  <dimension ref="A1:A67"/>
  <sheetViews>
    <sheetView workbookViewId="0"/>
  </sheetViews>
  <sheetFormatPr defaultRowHeight="15"/>
  <cols>
    <col min="1" max="1" width="100.7109375" customWidth="1"/>
  </cols>
  <sheetData>
    <row r="1" spans="1:1">
      <c r="A1" s="1" t="s">
        <v>61</v>
      </c>
    </row>
    <row r="2" spans="1:1">
      <c r="A2" s="9"/>
    </row>
    <row r="3" spans="1:1">
      <c r="A3" s="2" t="s">
        <v>62</v>
      </c>
    </row>
    <row r="4" spans="1:1">
      <c r="A4" s="9" t="s">
        <v>63</v>
      </c>
    </row>
    <row r="5" spans="1:1">
      <c r="A5" s="9" t="s">
        <v>64</v>
      </c>
    </row>
    <row r="6" spans="1:1">
      <c r="A6" s="9" t="s">
        <v>65</v>
      </c>
    </row>
    <row r="7" spans="1:1">
      <c r="A7" s="9" t="s">
        <v>66</v>
      </c>
    </row>
    <row r="8" spans="1:1">
      <c r="A8" s="9" t="s">
        <v>67</v>
      </c>
    </row>
    <row r="9" spans="1:1">
      <c r="A9" s="9" t="s">
        <v>68</v>
      </c>
    </row>
    <row r="10" spans="1:1">
      <c r="A10" s="9" t="s">
        <v>69</v>
      </c>
    </row>
    <row r="11" spans="1:1">
      <c r="A11" s="9" t="s">
        <v>70</v>
      </c>
    </row>
    <row r="12" spans="1:1">
      <c r="A12" s="9" t="s">
        <v>71</v>
      </c>
    </row>
    <row r="13" spans="1:1">
      <c r="A13" s="9" t="s">
        <v>72</v>
      </c>
    </row>
    <row r="14" spans="1:1">
      <c r="A14" s="9" t="s">
        <v>73</v>
      </c>
    </row>
    <row r="15" spans="1:1">
      <c r="A15" s="9" t="s">
        <v>74</v>
      </c>
    </row>
    <row r="16" spans="1:1">
      <c r="A16" s="9" t="s">
        <v>75</v>
      </c>
    </row>
    <row r="17" spans="1:1">
      <c r="A17" s="9" t="s">
        <v>76</v>
      </c>
    </row>
    <row r="18" spans="1:1">
      <c r="A18" s="9" t="s">
        <v>77</v>
      </c>
    </row>
    <row r="19" spans="1:1">
      <c r="A19" s="9" t="s">
        <v>78</v>
      </c>
    </row>
    <row r="20" spans="1:1">
      <c r="A20" s="9" t="s">
        <v>79</v>
      </c>
    </row>
    <row r="21" spans="1:1">
      <c r="A21" s="9"/>
    </row>
    <row r="22" spans="1:1">
      <c r="A22" s="2" t="s">
        <v>80</v>
      </c>
    </row>
    <row r="23" spans="1:1">
      <c r="A23" s="9" t="s">
        <v>81</v>
      </c>
    </row>
    <row r="24" spans="1:1">
      <c r="A24" s="9"/>
    </row>
    <row r="25" spans="1:1">
      <c r="A25" s="2" t="s">
        <v>82</v>
      </c>
    </row>
    <row r="26" spans="1:1">
      <c r="A26" s="9" t="s">
        <v>83</v>
      </c>
    </row>
    <row r="27" spans="1:1">
      <c r="A27" s="9" t="s">
        <v>84</v>
      </c>
    </row>
    <row r="28" spans="1:1">
      <c r="A28" s="9" t="s">
        <v>85</v>
      </c>
    </row>
    <row r="29" spans="1:1">
      <c r="A29" s="9" t="s">
        <v>86</v>
      </c>
    </row>
    <row r="30" spans="1:1">
      <c r="A30" s="9" t="s">
        <v>87</v>
      </c>
    </row>
    <row r="31" spans="1:1">
      <c r="A31" s="9" t="s">
        <v>88</v>
      </c>
    </row>
    <row r="32" spans="1:1">
      <c r="A32" s="9" t="s">
        <v>89</v>
      </c>
    </row>
    <row r="33" spans="1:1">
      <c r="A33" s="9" t="s">
        <v>90</v>
      </c>
    </row>
    <row r="34" spans="1:1">
      <c r="A34" s="9" t="s">
        <v>91</v>
      </c>
    </row>
    <row r="35" spans="1:1">
      <c r="A35" s="9"/>
    </row>
    <row r="36" spans="1:1">
      <c r="A36" s="2" t="s">
        <v>92</v>
      </c>
    </row>
    <row r="37" spans="1:1">
      <c r="A37" s="9" t="s">
        <v>93</v>
      </c>
    </row>
    <row r="38" spans="1:1">
      <c r="A38" s="9" t="s">
        <v>94</v>
      </c>
    </row>
    <row r="39" spans="1:1">
      <c r="A39" s="9" t="s">
        <v>95</v>
      </c>
    </row>
    <row r="40" spans="1:1">
      <c r="A40" s="9" t="s">
        <v>96</v>
      </c>
    </row>
    <row r="41" spans="1:1">
      <c r="A41" s="9"/>
    </row>
    <row r="42" spans="1:1">
      <c r="A42" s="9" t="s">
        <v>97</v>
      </c>
    </row>
    <row r="43" spans="1:1">
      <c r="A43" s="9" t="s">
        <v>98</v>
      </c>
    </row>
    <row r="44" spans="1:1">
      <c r="A44" s="9" t="s">
        <v>99</v>
      </c>
    </row>
    <row r="45" spans="1:1">
      <c r="A45" s="9" t="s">
        <v>100</v>
      </c>
    </row>
    <row r="46" spans="1:1">
      <c r="A46" s="9" t="s">
        <v>101</v>
      </c>
    </row>
    <row r="47" spans="1:1">
      <c r="A47" s="9"/>
    </row>
    <row r="48" spans="1:1">
      <c r="A48" s="2" t="s">
        <v>102</v>
      </c>
    </row>
    <row r="49" spans="1:1">
      <c r="A49" s="9" t="s">
        <v>103</v>
      </c>
    </row>
    <row r="50" spans="1:1">
      <c r="A50" s="9"/>
    </row>
    <row r="51" spans="1:1">
      <c r="A51" s="9" t="s">
        <v>104</v>
      </c>
    </row>
    <row r="52" spans="1:1">
      <c r="A52" s="9" t="s">
        <v>105</v>
      </c>
    </row>
    <row r="53" spans="1:1">
      <c r="A53" s="9" t="s">
        <v>106</v>
      </c>
    </row>
    <row r="54" spans="1:1">
      <c r="A54" s="9" t="s">
        <v>107</v>
      </c>
    </row>
    <row r="55" spans="1:1">
      <c r="A55" s="9" t="s">
        <v>108</v>
      </c>
    </row>
    <row r="56" spans="1:1">
      <c r="A56" s="9" t="s">
        <v>109</v>
      </c>
    </row>
    <row r="57" spans="1:1">
      <c r="A57" s="9" t="s">
        <v>110</v>
      </c>
    </row>
    <row r="58" spans="1:1">
      <c r="A58" s="9"/>
    </row>
    <row r="59" spans="1:1">
      <c r="A59" s="9" t="s">
        <v>111</v>
      </c>
    </row>
    <row r="60" spans="1:1">
      <c r="A60" s="9" t="s">
        <v>112</v>
      </c>
    </row>
    <row r="61" spans="1:1">
      <c r="A61" s="9" t="s">
        <v>113</v>
      </c>
    </row>
    <row r="62" spans="1:1">
      <c r="A62" s="9"/>
    </row>
    <row r="63" spans="1:1">
      <c r="A63" s="9" t="s">
        <v>114</v>
      </c>
    </row>
    <row r="64" spans="1:1">
      <c r="A64" s="9" t="s">
        <v>115</v>
      </c>
    </row>
    <row r="65" spans="1:1">
      <c r="A65" s="9" t="s">
        <v>116</v>
      </c>
    </row>
    <row r="66" spans="1:1">
      <c r="A66" s="9" t="s">
        <v>117</v>
      </c>
    </row>
    <row r="67" spans="1:1">
      <c r="A67" s="9" t="s">
        <v>118</v>
      </c>
    </row>
  </sheetData>
  <pageMargins left="0.7" right="0.7" top="0.75" bottom="0.75" header="0.3" footer="0.3"/>
  <pageSetup fitToHeight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24</vt:i4>
      </vt:variant>
    </vt:vector>
  </HeadingPairs>
  <TitlesOfParts>
    <vt:vector size="32" baseType="lpstr">
      <vt:lpstr>계산</vt:lpstr>
      <vt:lpstr>IGRF_D</vt:lpstr>
      <vt:lpstr>IGRF_I</vt:lpstr>
      <vt:lpstr>IGRF_F</vt:lpstr>
      <vt:lpstr>CRUSTAL</vt:lpstr>
      <vt:lpstr>REGIONAL</vt:lpstr>
      <vt:lpstr>검증</vt:lpstr>
      <vt:lpstr>설명</vt:lpstr>
      <vt:lpstr>CR_LAT</vt:lpstr>
      <vt:lpstr>CR_LON</vt:lpstr>
      <vt:lpstr>CR_VAL</vt:lpstr>
      <vt:lpstr>IGD_LAT</vt:lpstr>
      <vt:lpstr>IGD_LATSV</vt:lpstr>
      <vt:lpstr>IGD_LON</vt:lpstr>
      <vt:lpstr>IGD_LONSV</vt:lpstr>
      <vt:lpstr>IGD_VAL</vt:lpstr>
      <vt:lpstr>IGD_VALSV</vt:lpstr>
      <vt:lpstr>IGF_LAT</vt:lpstr>
      <vt:lpstr>IGF_LATSV</vt:lpstr>
      <vt:lpstr>IGF_LON</vt:lpstr>
      <vt:lpstr>IGF_LONSV</vt:lpstr>
      <vt:lpstr>IGF_VAL</vt:lpstr>
      <vt:lpstr>IGF_VALSV</vt:lpstr>
      <vt:lpstr>IGI_LAT</vt:lpstr>
      <vt:lpstr>IGI_LATSV</vt:lpstr>
      <vt:lpstr>IGI_LON</vt:lpstr>
      <vt:lpstr>IGI_LONSV</vt:lpstr>
      <vt:lpstr>IGI_VAL</vt:lpstr>
      <vt:lpstr>IGI_VALSV</vt:lpstr>
      <vt:lpstr>REG_D</vt:lpstr>
      <vt:lpstr>REG_F</vt:lpstr>
      <vt:lpstr>REG_I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2026-08-19T13:05:48Z</dcterms:created>
  <dcterms:modified xsi:type="dcterms:W3CDTF">2026-08-19T13:05:48Z</dcterms:modified>
</cp:coreProperties>
</file>