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답사 개요" sheetId="1" state="visible" r:id="rId1"/>
    <sheet xmlns:r="http://schemas.openxmlformats.org/officeDocument/2006/relationships" name="① 현장 육안 조사" sheetId="2" state="visible" r:id="rId2"/>
    <sheet xmlns:r="http://schemas.openxmlformats.org/officeDocument/2006/relationships" name="② 그래디오미터 예비탐사" sheetId="3" state="visible" r:id="rId3"/>
    <sheet xmlns:r="http://schemas.openxmlformats.org/officeDocument/2006/relationships" name="③ DIM·총자기장계 위치검토" sheetId="4" state="visible" r:id="rId4"/>
    <sheet xmlns:r="http://schemas.openxmlformats.org/officeDocument/2006/relationships" name="④ 최종 선점 판정" sheetId="5" state="visible" r:id="rId5"/>
  </sheets>
  <definedNames>
    <definedName name="_xlnm.Print_Area" localSheetId="0">'답사 개요'!$A$1:$E$38</definedName>
    <definedName name="_xlnm.Print_Area" localSheetId="1">'① 현장 육안 조사'!$A$1:$H$22</definedName>
    <definedName name="_xlnm.Print_Area" localSheetId="2">'② 그래디오미터 예비탐사'!$A$1:$H$27</definedName>
    <definedName name="_xlnm.Print_Area" localSheetId="3">'③ DIM·총자기장계 위치검토'!$A$1:$G$21</definedName>
    <definedName name="_xlnm.Print_Area" localSheetId="4">'④ 최종 선점 판정'!$A$1:$E$25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맑은 고딕"/>
      <b val="1"/>
      <color rgb="00FFFFFF"/>
      <sz val="15"/>
    </font>
    <font>
      <name val="맑은 고딕"/>
      <color rgb="00FFFFFF"/>
      <sz val="9"/>
    </font>
    <font>
      <name val="맑은 고딕"/>
      <b val="1"/>
      <color rgb="00FFFFFF"/>
      <sz val="11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9C0006"/>
      <sz val="9"/>
    </font>
    <font>
      <name val="맑은 고딕"/>
      <color rgb="00595959"/>
      <sz val="9"/>
    </font>
    <font>
      <name val="맑은 고딕"/>
      <b val="1"/>
      <color rgb="00FFFFFF"/>
      <sz val="10"/>
    </font>
    <font>
      <name val="맑은 고딕"/>
      <color rgb="00000000"/>
      <sz val="9"/>
    </font>
    <font>
      <name val="맑은 고딕"/>
      <b val="1"/>
      <color rgb="00000000"/>
      <sz val="11"/>
    </font>
    <font>
      <name val="맑은 고딕"/>
      <b val="1"/>
      <color rgb="00000000"/>
      <sz val="12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4472C4"/>
      </patternFill>
    </fill>
    <fill>
      <patternFill patternType="solid">
        <fgColor rgb="00F2F2F2"/>
      </patternFill>
    </fill>
    <fill>
      <patternFill patternType="solid">
        <fgColor rgb="00FFFCEB"/>
      </patternFill>
    </fill>
    <fill>
      <patternFill patternType="solid">
        <fgColor rgb="00D6E4F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6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7" fillId="5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 wrapText="1"/>
    </xf>
    <xf numFmtId="0" fontId="10" fillId="7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6">
    <dxf>
      <font>
        <name val="맑은 고딕"/>
        <b val="1"/>
        <color rgb="00006100"/>
        <sz val="10"/>
      </font>
      <fill>
        <patternFill patternType="solid">
          <fgColor rgb="00C6EFCE"/>
        </patternFill>
      </fill>
    </dxf>
    <dxf>
      <font>
        <name val="맑은 고딕"/>
        <b val="1"/>
        <color rgb="009C5700"/>
        <sz val="10"/>
      </font>
      <fill>
        <patternFill patternType="solid">
          <fgColor rgb="00FFEB9C"/>
        </patternFill>
      </fill>
    </dxf>
    <dxf>
      <font>
        <name val="맑은 고딕"/>
        <b val="1"/>
        <color rgb="009C0006"/>
        <sz val="10"/>
      </font>
      <fill>
        <patternFill patternType="solid">
          <fgColor rgb="00FFC7CE"/>
        </patternFill>
      </fill>
    </dxf>
    <dxf>
      <font>
        <name val="맑은 고딕"/>
        <b val="1"/>
        <color rgb="00006100"/>
        <sz val="12"/>
      </font>
      <fill>
        <patternFill patternType="solid">
          <fgColor rgb="00C6EFCE"/>
        </patternFill>
      </fill>
    </dxf>
    <dxf>
      <font>
        <name val="맑은 고딕"/>
        <b val="1"/>
        <color rgb="009C0006"/>
        <sz val="12"/>
      </font>
      <fill>
        <patternFill patternType="solid">
          <fgColor rgb="00FFC7CE"/>
        </patternFill>
      </fill>
    </dxf>
    <dxf>
      <font>
        <name val="맑은 고딕"/>
        <b val="1"/>
        <color rgb="009C5700"/>
        <sz val="12"/>
      </font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24" customWidth="1" min="5" max="5"/>
  </cols>
  <sheetData>
    <row r="1" ht="34" customHeight="1">
      <c r="A1" s="1" t="inlineStr">
        <is>
          <t>지구자기장 측정 입지 — 사전 답사 체크리스트</t>
        </is>
      </c>
    </row>
    <row r="2" ht="20" customHeight="1">
      <c r="A2" s="2" t="inlineStr">
        <is>
          <t>도상 분석 선점 지도 기반 현장 답사 절차 점검표</t>
        </is>
      </c>
    </row>
    <row r="3"/>
    <row r="4" ht="24" customHeight="1">
      <c r="A4" s="3" t="inlineStr">
        <is>
          <t>1. 후보지 정보 (도상 분석 결과)</t>
        </is>
      </c>
    </row>
    <row r="5" ht="22" customHeight="1">
      <c r="A5" s="4" t="inlineStr">
        <is>
          <t>후보지 ID / 표지명</t>
        </is>
      </c>
      <c r="B5" s="5" t="inlineStr"/>
      <c r="C5" s="6" t="n"/>
      <c r="D5" s="6" t="n"/>
      <c r="E5" s="6" t="n"/>
    </row>
    <row r="6" ht="22" customHeight="1">
      <c r="A6" s="4" t="inlineStr">
        <is>
          <t>우선순위 등급</t>
        </is>
      </c>
      <c r="B6" s="5" t="inlineStr"/>
      <c r="C6" s="6" t="n"/>
      <c r="D6" s="6" t="n"/>
      <c r="E6" s="6" t="n"/>
    </row>
    <row r="7" ht="22" customHeight="1">
      <c r="A7" s="4" t="inlineStr">
        <is>
          <t>위도 (°N)</t>
        </is>
      </c>
      <c r="B7" s="5" t="inlineStr"/>
      <c r="C7" s="6" t="n"/>
      <c r="D7" s="6" t="n"/>
      <c r="E7" s="6" t="n"/>
    </row>
    <row r="8" ht="22" customHeight="1">
      <c r="A8" s="4" t="inlineStr">
        <is>
          <t>경도 (°E)</t>
        </is>
      </c>
      <c r="B8" s="5" t="inlineStr"/>
      <c r="C8" s="6" t="n"/>
      <c r="D8" s="6" t="n"/>
      <c r="E8" s="6" t="n"/>
    </row>
    <row r="9" ht="22" customHeight="1">
      <c r="A9" s="4" t="inlineStr">
        <is>
          <t>행정구역 (시·군·구)</t>
        </is>
      </c>
      <c r="B9" s="5" t="inlineStr"/>
      <c r="C9" s="6" t="n"/>
      <c r="D9" s="6" t="n"/>
      <c r="E9" s="6" t="n"/>
    </row>
    <row r="10" ht="22" customHeight="1">
      <c r="A10" s="4" t="inlineStr">
        <is>
          <t>도상 종합점수 (100점 환산)</t>
        </is>
      </c>
      <c r="B10" s="5" t="inlineStr"/>
      <c r="C10" s="6" t="n"/>
      <c r="D10" s="6" t="n"/>
      <c r="E10" s="6" t="n"/>
    </row>
    <row r="11" ht="22" customHeight="1">
      <c r="A11" s="4" t="inlineStr">
        <is>
          <t>점수 내역  s1 희소성 / s2 지형</t>
        </is>
      </c>
      <c r="B11" s="5" t="inlineStr"/>
      <c r="C11" s="6" t="n"/>
      <c r="D11" s="6" t="n"/>
      <c r="E11" s="6" t="n"/>
    </row>
    <row r="12" ht="22" customHeight="1">
      <c r="A12" s="4" t="inlineStr">
        <is>
          <t xml:space="preserve">           s3 전력·철도 / s4 인구</t>
        </is>
      </c>
      <c r="B12" s="5" t="inlineStr"/>
      <c r="C12" s="6" t="n"/>
      <c r="D12" s="6" t="n"/>
      <c r="E12" s="6" t="n"/>
    </row>
    <row r="13" ht="22" customHeight="1">
      <c r="A13" s="4" t="inlineStr">
        <is>
          <t xml:space="preserve">           s5 모델기여도 / s6 암상</t>
        </is>
      </c>
      <c r="B13" s="5" t="inlineStr"/>
      <c r="C13" s="6" t="n"/>
      <c r="D13" s="6" t="n"/>
      <c r="E13" s="6" t="n"/>
    </row>
    <row r="14" ht="22" customHeight="1">
      <c r="A14" s="4" t="inlineStr">
        <is>
          <t>지형 / 토지 이용 개요</t>
        </is>
      </c>
      <c r="B14" s="5" t="inlineStr"/>
      <c r="C14" s="6" t="n"/>
      <c r="D14" s="6" t="n"/>
      <c r="E14" s="6" t="n"/>
    </row>
    <row r="15"/>
    <row r="16" ht="24" customHeight="1">
      <c r="A16" s="3" t="inlineStr">
        <is>
          <t>2. 답사 정보</t>
        </is>
      </c>
    </row>
    <row r="17" ht="22" customHeight="1">
      <c r="A17" s="4" t="inlineStr">
        <is>
          <t>답사 일자</t>
        </is>
      </c>
      <c r="B17" s="5" t="inlineStr"/>
      <c r="C17" s="6" t="n"/>
      <c r="D17" s="6" t="n"/>
      <c r="E17" s="6" t="n"/>
    </row>
    <row r="18" ht="22" customHeight="1">
      <c r="A18" s="4" t="inlineStr">
        <is>
          <t>답사자 (성명·소속)</t>
        </is>
      </c>
      <c r="B18" s="5" t="inlineStr"/>
      <c r="C18" s="6" t="n"/>
      <c r="D18" s="6" t="n"/>
      <c r="E18" s="6" t="n"/>
    </row>
    <row r="19" ht="22" customHeight="1">
      <c r="A19" s="4" t="inlineStr">
        <is>
          <t>동행자</t>
        </is>
      </c>
      <c r="B19" s="5" t="inlineStr"/>
      <c r="C19" s="6" t="n"/>
      <c r="D19" s="6" t="n"/>
      <c r="E19" s="6" t="n"/>
    </row>
    <row r="20" ht="22" customHeight="1">
      <c r="A20" s="4" t="inlineStr">
        <is>
          <t>날씨 / 기온 / 풍속</t>
        </is>
      </c>
      <c r="B20" s="5" t="inlineStr"/>
      <c r="C20" s="6" t="n"/>
      <c r="D20" s="6" t="n"/>
      <c r="E20" s="6" t="n"/>
    </row>
    <row r="21" ht="22" customHeight="1">
      <c r="A21" s="4" t="inlineStr">
        <is>
          <t>토지 소유 구분 (국유·공유·사유)</t>
        </is>
      </c>
      <c r="B21" s="5" t="inlineStr"/>
      <c r="C21" s="6" t="n"/>
      <c r="D21" s="6" t="n"/>
      <c r="E21" s="6" t="n"/>
    </row>
    <row r="22" ht="22" customHeight="1">
      <c r="A22" s="4" t="inlineStr">
        <is>
          <t>접근 경로 / 차량 진입 가능 여부</t>
        </is>
      </c>
      <c r="B22" s="5" t="inlineStr"/>
      <c r="C22" s="6" t="n"/>
      <c r="D22" s="6" t="n"/>
      <c r="E22" s="6" t="n"/>
    </row>
    <row r="23"/>
    <row r="24" ht="24" customHeight="1">
      <c r="A24" s="3" t="inlineStr">
        <is>
          <t>3. 사용 장비</t>
        </is>
      </c>
    </row>
    <row r="25" ht="22" customHeight="1">
      <c r="A25" s="4" t="inlineStr">
        <is>
          <t>GPS 수신기 (모델)</t>
        </is>
      </c>
      <c r="B25" s="5" t="inlineStr"/>
      <c r="C25" s="6" t="n"/>
      <c r="D25" s="6" t="n"/>
      <c r="E25" s="6" t="n"/>
    </row>
    <row r="26" ht="22" customHeight="1">
      <c r="A26" s="4" t="inlineStr">
        <is>
          <t>그래디오미터 (모델)</t>
        </is>
      </c>
      <c r="B26" s="5" t="inlineStr"/>
      <c r="C26" s="6" t="n"/>
      <c r="D26" s="6" t="n"/>
      <c r="E26" s="6" t="n"/>
    </row>
    <row r="27" ht="22" customHeight="1">
      <c r="A27" s="4" t="inlineStr">
        <is>
          <t>DIM Fluxgate (모델)</t>
        </is>
      </c>
      <c r="B27" s="5" t="inlineStr"/>
      <c r="C27" s="6" t="n"/>
      <c r="D27" s="6" t="n"/>
      <c r="E27" s="6" t="n"/>
    </row>
    <row r="28" ht="22" customHeight="1">
      <c r="A28" s="4" t="inlineStr">
        <is>
          <t>총자기장계 (Proton·Overhauser)</t>
        </is>
      </c>
      <c r="B28" s="5" t="inlineStr"/>
      <c r="C28" s="6" t="n"/>
      <c r="D28" s="6" t="n"/>
      <c r="E28" s="6" t="n"/>
    </row>
    <row r="29" ht="22" customHeight="1">
      <c r="A29" s="4" t="inlineStr">
        <is>
          <t>디지털 카메라 / 방위 측정구</t>
        </is>
      </c>
      <c r="B29" s="5" t="inlineStr"/>
      <c r="C29" s="6" t="n"/>
      <c r="D29" s="6" t="n"/>
      <c r="E29" s="6" t="n"/>
    </row>
    <row r="30"/>
    <row r="31" ht="24" customHeight="1">
      <c r="A31" s="3" t="inlineStr">
        <is>
          <t>4. 단계별 판정 요약</t>
        </is>
      </c>
    </row>
    <row r="32" ht="22" customHeight="1">
      <c r="A32" s="4" t="inlineStr">
        <is>
          <t>① 현장 육안 조사</t>
        </is>
      </c>
      <c r="B32" s="7">
        <f>'① 현장 육안 조사'!G20</f>
        <v/>
      </c>
      <c r="C32" s="6" t="n"/>
      <c r="D32" s="6" t="n"/>
      <c r="E32" s="6" t="n"/>
    </row>
    <row r="33" ht="22" customHeight="1">
      <c r="A33" s="4" t="inlineStr">
        <is>
          <t>② 그래디오미터 예비탐사</t>
        </is>
      </c>
      <c r="B33" s="7">
        <f>'② 그래디오미터 예비탐사'!G27</f>
        <v/>
      </c>
      <c r="C33" s="6" t="n"/>
      <c r="D33" s="6" t="n"/>
      <c r="E33" s="6" t="n"/>
    </row>
    <row r="34" ht="22" customHeight="1">
      <c r="A34" s="4" t="inlineStr">
        <is>
          <t>③ DIM·총자기장계 위치 검토</t>
        </is>
      </c>
      <c r="B34" s="7">
        <f>'③ DIM·총자기장계 위치검토'!E19</f>
        <v/>
      </c>
      <c r="C34" s="6" t="n"/>
      <c r="D34" s="6" t="n"/>
      <c r="E34" s="6" t="n"/>
    </row>
    <row r="35" ht="22" customHeight="1">
      <c r="A35" s="4" t="inlineStr">
        <is>
          <t>④ 최종 선점 판정</t>
        </is>
      </c>
      <c r="B35" s="7">
        <f>'④ 최종 선점 판정'!C10</f>
        <v/>
      </c>
      <c r="C35" s="6" t="n"/>
      <c r="D35" s="6" t="n"/>
      <c r="E35" s="6" t="n"/>
    </row>
    <row r="36"/>
    <row r="37">
      <c r="A37" s="8" t="inlineStr">
        <is>
          <t>작성 안내</t>
        </is>
      </c>
    </row>
    <row r="38" ht="32" customHeight="1">
      <c r="A38" s="9" t="inlineStr">
        <is>
          <t>노란색 칸을 현장에서 직접 기입합니다. 각 시트(①~④)를 순서대로 점검하고, 단계별 판정 결과는 위 요약표에 자동 반영됩니다.</t>
        </is>
      </c>
    </row>
  </sheetData>
  <mergeCells count="32">
    <mergeCell ref="B9:E9"/>
    <mergeCell ref="A24:E24"/>
    <mergeCell ref="B6:E6"/>
    <mergeCell ref="B33:E33"/>
    <mergeCell ref="A1:E1"/>
    <mergeCell ref="B5:E5"/>
    <mergeCell ref="B20:E20"/>
    <mergeCell ref="B32:E32"/>
    <mergeCell ref="B26:E26"/>
    <mergeCell ref="B35:E35"/>
    <mergeCell ref="A16:E16"/>
    <mergeCell ref="B7:E7"/>
    <mergeCell ref="B25:E25"/>
    <mergeCell ref="B22:E22"/>
    <mergeCell ref="B18:E18"/>
    <mergeCell ref="B27:E27"/>
    <mergeCell ref="A2:E2"/>
    <mergeCell ref="B12:E12"/>
    <mergeCell ref="B21:E21"/>
    <mergeCell ref="B11:E11"/>
    <mergeCell ref="B14:E14"/>
    <mergeCell ref="B17:E17"/>
    <mergeCell ref="A4:E4"/>
    <mergeCell ref="B8:E8"/>
    <mergeCell ref="A38:E38"/>
    <mergeCell ref="B13:E13"/>
    <mergeCell ref="B29:E29"/>
    <mergeCell ref="B19:E19"/>
    <mergeCell ref="A31:E31"/>
    <mergeCell ref="B10:E10"/>
    <mergeCell ref="B28:E28"/>
    <mergeCell ref="B34:E34"/>
  </mergeCells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6" customWidth="1" min="3" max="3"/>
    <col width="11" customWidth="1" min="4" max="4"/>
    <col width="14" customWidth="1" min="5" max="5"/>
    <col width="9" customWidth="1" min="6" max="6"/>
    <col width="10" customWidth="1" min="7" max="7"/>
    <col width="26" customWidth="1" min="8" max="8"/>
  </cols>
  <sheetData>
    <row r="1" ht="34" customHeight="1">
      <c r="A1" s="1" t="inlineStr">
        <is>
          <t>① 현장 육안 조사 체크리스트</t>
        </is>
      </c>
    </row>
    <row r="2" ht="20" customHeight="1">
      <c r="A2" s="2" t="inlineStr">
        <is>
          <t>표지 예정점 주변 인공 자기 간섭 요소 및 금속물 육안 확인</t>
        </is>
      </c>
    </row>
    <row r="3" ht="24" customHeight="1">
      <c r="A3" s="3" t="inlineStr">
        <is>
          <t>후보지 정보</t>
        </is>
      </c>
    </row>
    <row r="4" ht="22" customHeight="1">
      <c r="A4" s="10" t="inlineStr">
        <is>
          <t>후보지 ID / 표지명</t>
        </is>
      </c>
      <c r="C4" s="11">
        <f>'답사 개요'!B5</f>
        <v/>
      </c>
      <c r="F4" s="10" t="inlineStr">
        <is>
          <t>답사일</t>
        </is>
      </c>
      <c r="G4" s="11">
        <f>'답사 개요'!B17</f>
        <v/>
      </c>
    </row>
    <row r="6" ht="32" customHeight="1">
      <c r="A6" s="12" t="inlineStr">
        <is>
          <t>번호</t>
        </is>
      </c>
      <c r="B6" s="12" t="inlineStr">
        <is>
          <t>점검 항목</t>
        </is>
      </c>
      <c r="C6" s="12" t="inlineStr">
        <is>
          <t>점검 내용</t>
        </is>
      </c>
      <c r="D6" s="12" t="inlineStr">
        <is>
          <t>발견 여부</t>
        </is>
      </c>
      <c r="E6" s="12" t="inlineStr">
        <is>
          <t>추정 이격거리(m)</t>
        </is>
      </c>
      <c r="F6" s="12" t="inlineStr">
        <is>
          <t>방위</t>
        </is>
      </c>
      <c r="G6" s="12" t="inlineStr">
        <is>
          <t>판정</t>
        </is>
      </c>
      <c r="H6" s="12" t="inlineStr">
        <is>
          <t>비고 / 위치 메모</t>
        </is>
      </c>
    </row>
    <row r="7" ht="30" customHeight="1">
      <c r="A7" s="13" t="n">
        <v>1</v>
      </c>
      <c r="B7" s="14" t="inlineStr">
        <is>
          <t>차량 (주차·통행)</t>
        </is>
      </c>
      <c r="C7" s="15" t="inlineStr">
        <is>
          <t>상시 주차 차량, 인접 통행 도로·농로</t>
        </is>
      </c>
      <c r="D7" s="11" t="n"/>
      <c r="E7" s="11" t="n"/>
      <c r="F7" s="11" t="n"/>
      <c r="G7" s="7" t="n"/>
      <c r="H7" s="16" t="n"/>
    </row>
    <row r="8" ht="30" customHeight="1">
      <c r="A8" s="13" t="n">
        <v>2</v>
      </c>
      <c r="B8" s="14" t="inlineStr">
        <is>
          <t>철제 울타리·펜스</t>
        </is>
      </c>
      <c r="C8" s="15" t="inlineStr">
        <is>
          <t>농지·축사·시설 경계의 금속 울타리</t>
        </is>
      </c>
      <c r="D8" s="11" t="n"/>
      <c r="E8" s="11" t="n"/>
      <c r="F8" s="11" t="n"/>
      <c r="G8" s="7" t="n"/>
      <c r="H8" s="16" t="n"/>
    </row>
    <row r="9" ht="30" customHeight="1">
      <c r="A9" s="13" t="n">
        <v>3</v>
      </c>
      <c r="B9" s="14" t="inlineStr">
        <is>
          <t>전신주·전봇대</t>
        </is>
      </c>
      <c r="C9" s="15" t="inlineStr">
        <is>
          <t>목주·콘크리트주·철주 (철근 포함)</t>
        </is>
      </c>
      <c r="D9" s="11" t="n"/>
      <c r="E9" s="11" t="n"/>
      <c r="F9" s="11" t="n"/>
      <c r="G9" s="7" t="n"/>
      <c r="H9" s="16" t="n"/>
    </row>
    <row r="10" ht="30" customHeight="1">
      <c r="A10" s="13" t="n">
        <v>4</v>
      </c>
      <c r="B10" s="14" t="inlineStr">
        <is>
          <t>가공 송·배전선</t>
        </is>
      </c>
      <c r="C10" s="15" t="inlineStr">
        <is>
          <t>표지점 머리 위를 통과하는 전력선</t>
        </is>
      </c>
      <c r="D10" s="11" t="n"/>
      <c r="E10" s="11" t="n"/>
      <c r="F10" s="11" t="n"/>
      <c r="G10" s="7" t="n"/>
      <c r="H10" s="16" t="n"/>
    </row>
    <row r="11" ht="30" customHeight="1">
      <c r="A11" s="13" t="n">
        <v>5</v>
      </c>
      <c r="B11" s="14" t="inlineStr">
        <is>
          <t>맨홀·철제 뚜껑</t>
        </is>
      </c>
      <c r="C11" s="15" t="inlineStr">
        <is>
          <t>통신·전력·상하수도 맨홀, 점검구</t>
        </is>
      </c>
      <c r="D11" s="11" t="n"/>
      <c r="E11" s="11" t="n"/>
      <c r="F11" s="11" t="n"/>
      <c r="G11" s="7" t="n"/>
      <c r="H11" s="16" t="n"/>
    </row>
    <row r="12" ht="30" customHeight="1">
      <c r="A12" s="13" t="n">
        <v>6</v>
      </c>
      <c r="B12" s="14" t="inlineStr">
        <is>
          <t>배수관·우수관·수도관</t>
        </is>
      </c>
      <c r="C12" s="15" t="inlineStr">
        <is>
          <t>지표 노출 및 지중 매설 배관</t>
        </is>
      </c>
      <c r="D12" s="11" t="n"/>
      <c r="E12" s="11" t="n"/>
      <c r="F12" s="11" t="n"/>
      <c r="G12" s="7" t="n"/>
      <c r="H12" s="16" t="n"/>
    </row>
    <row r="13" ht="30" customHeight="1">
      <c r="A13" s="13" t="n">
        <v>7</v>
      </c>
      <c r="B13" s="14" t="inlineStr">
        <is>
          <t>건축물·구조물</t>
        </is>
      </c>
      <c r="C13" s="15" t="inlineStr">
        <is>
          <t>주택·창고·축사, 비닐하우스 철골</t>
        </is>
      </c>
      <c r="D13" s="11" t="n"/>
      <c r="E13" s="11" t="n"/>
      <c r="F13" s="11" t="n"/>
      <c r="G13" s="7" t="n"/>
      <c r="H13" s="16" t="n"/>
    </row>
    <row r="14" ht="30" customHeight="1">
      <c r="A14" s="13" t="n">
        <v>8</v>
      </c>
      <c r="B14" s="14" t="inlineStr">
        <is>
          <t>농기계·농기구</t>
        </is>
      </c>
      <c r="C14" s="15" t="inlineStr">
        <is>
          <t>트랙터·경운기, 보관 중인 철물</t>
        </is>
      </c>
      <c r="D14" s="11" t="n"/>
      <c r="E14" s="11" t="n"/>
      <c r="F14" s="11" t="n"/>
      <c r="G14" s="7" t="n"/>
      <c r="H14" s="16" t="n"/>
    </row>
    <row r="15" ht="30" customHeight="1">
      <c r="A15" s="13" t="n">
        <v>9</v>
      </c>
      <c r="B15" s="14" t="inlineStr">
        <is>
          <t>지중 매설물</t>
        </is>
      </c>
      <c r="C15" s="15" t="inlineStr">
        <is>
          <t>가스관·송유관·통신케이블 매설 가능성</t>
        </is>
      </c>
      <c r="D15" s="11" t="n"/>
      <c r="E15" s="11" t="n"/>
      <c r="F15" s="11" t="n"/>
      <c r="G15" s="7" t="n"/>
      <c r="H15" s="16" t="n"/>
    </row>
    <row r="16" ht="30" customHeight="1">
      <c r="A16" s="13" t="n">
        <v>10</v>
      </c>
      <c r="B16" s="14" t="inlineStr">
        <is>
          <t>철탑·송전탑·기지국</t>
        </is>
      </c>
      <c r="C16" s="15" t="inlineStr">
        <is>
          <t>원거리 포함, 가시 범위 내 철구조물</t>
        </is>
      </c>
      <c r="D16" s="11" t="n"/>
      <c r="E16" s="11" t="n"/>
      <c r="F16" s="11" t="n"/>
      <c r="G16" s="7" t="n"/>
      <c r="H16" s="16" t="n"/>
    </row>
    <row r="17" ht="30" customHeight="1">
      <c r="A17" s="13" t="n">
        <v>11</v>
      </c>
      <c r="B17" s="14" t="inlineStr">
        <is>
          <t>철도·도로 시설물</t>
        </is>
      </c>
      <c r="C17" s="15" t="inlineStr">
        <is>
          <t>노반·레일, 가드레일·표지판</t>
        </is>
      </c>
      <c r="D17" s="11" t="n"/>
      <c r="E17" s="11" t="n"/>
      <c r="F17" s="11" t="n"/>
      <c r="G17" s="7" t="n"/>
      <c r="H17" s="16" t="n"/>
    </row>
    <row r="18" ht="30" customHeight="1">
      <c r="A18" s="13" t="n">
        <v>12</v>
      </c>
      <c r="B18" s="14" t="inlineStr">
        <is>
          <t>자연 자성체 (노두)</t>
        </is>
      </c>
      <c r="C18" s="15" t="inlineStr">
        <is>
          <t>현무암 등 자성 암반 노두 노출</t>
        </is>
      </c>
      <c r="D18" s="11" t="n"/>
      <c r="E18" s="11" t="n"/>
      <c r="F18" s="11" t="n"/>
      <c r="G18" s="7" t="n"/>
      <c r="H18" s="16" t="n"/>
    </row>
    <row r="19" ht="30" customHeight="1">
      <c r="A19" s="13" t="n">
        <v>13</v>
      </c>
      <c r="B19" s="14" t="inlineStr">
        <is>
          <t>기타 금속 구조물</t>
        </is>
      </c>
      <c r="C19" s="15" t="inlineStr">
        <is>
          <t>수문·게이트, 저수조, 폐자재 등</t>
        </is>
      </c>
      <c r="D19" s="11" t="n"/>
      <c r="E19" s="11" t="n"/>
      <c r="F19" s="11" t="n"/>
      <c r="G19" s="7" t="n"/>
      <c r="H19" s="16" t="n"/>
    </row>
    <row r="20" ht="28" customHeight="1">
      <c r="A20" s="17" t="inlineStr">
        <is>
          <t>①단계 종합 판정  (간섭 요소 1건이라도 부적합 시 재선점 검토)</t>
        </is>
      </c>
      <c r="G20" s="18" t="n"/>
      <c r="H20" s="16" t="n"/>
    </row>
    <row r="22">
      <c r="A22" s="19" t="inlineStr">
        <is>
          <t>방위 표기: N·NE·E·SE·S·SW·W·NW  |  발견 여부: 무 / 유</t>
        </is>
      </c>
    </row>
  </sheetData>
  <mergeCells count="7">
    <mergeCell ref="A4:B4"/>
    <mergeCell ref="G4:H4"/>
    <mergeCell ref="A3:H3"/>
    <mergeCell ref="A2:H2"/>
    <mergeCell ref="C4:E4"/>
    <mergeCell ref="A1:H1"/>
    <mergeCell ref="A20:F20"/>
  </mergeCells>
  <conditionalFormatting sqref="G7:G20">
    <cfRule type="cellIs" priority="1" operator="equal" dxfId="0">
      <formula>"양호"</formula>
    </cfRule>
    <cfRule type="cellIs" priority="2" operator="equal" dxfId="1">
      <formula>"주의"</formula>
    </cfRule>
    <cfRule type="cellIs" priority="3" operator="equal" dxfId="2">
      <formula>"부적합"</formula>
    </cfRule>
  </conditionalFormatting>
  <dataValidations count="2">
    <dataValidation sqref="D7:D19" showDropDown="0" showInputMessage="0" showErrorMessage="0" allowBlank="1" type="list">
      <formula1>"무,유"</formula1>
    </dataValidation>
    <dataValidation sqref="G7:G20" showDropDown="0" showInputMessage="0" showErrorMessage="0" allowBlank="1" error="양호 / 주의 / 부적합 중에서 선택하십시오." prompt="판정을 선택하십시오." type="list">
      <formula1>"양호,주의,부적합"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2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1" customWidth="1" min="3" max="3"/>
    <col width="9" customWidth="1" min="4" max="4"/>
    <col width="15" customWidth="1" min="5" max="5"/>
    <col width="17" customWidth="1" min="6" max="6"/>
    <col width="10" customWidth="1" min="7" max="7"/>
    <col width="24" customWidth="1" min="8" max="8"/>
  </cols>
  <sheetData>
    <row r="1" ht="34" customHeight="1">
      <c r="A1" s="1" t="inlineStr">
        <is>
          <t>② 그래디오미터 예비 탐사 기록</t>
        </is>
      </c>
    </row>
    <row r="2" ht="20" customHeight="1">
      <c r="A2" s="2" t="inlineStr">
        <is>
          <t>표지 예정점 중심 십자형·격자형 측정으로 국소 자기 이상 확인</t>
        </is>
      </c>
    </row>
    <row r="3" ht="24" customHeight="1">
      <c r="A3" s="3" t="inlineStr">
        <is>
          <t>탐사 설정</t>
        </is>
      </c>
    </row>
    <row r="4" ht="22" customHeight="1">
      <c r="A4" s="10" t="inlineStr">
        <is>
          <t>측정 패턴</t>
        </is>
      </c>
      <c r="C4" s="11" t="n"/>
      <c r="D4" s="10" t="inlineStr">
        <is>
          <t>측정 간격(m)</t>
        </is>
      </c>
      <c r="E4" s="11" t="n"/>
      <c r="F4" s="10" t="inlineStr">
        <is>
          <t>탐사 반경(m)</t>
        </is>
      </c>
      <c r="G4" s="11" t="n"/>
      <c r="H4" s="20" t="n"/>
    </row>
    <row r="5" ht="22" customHeight="1">
      <c r="A5" s="10" t="inlineStr">
        <is>
          <t>기준 자기장 F0 (nT)</t>
        </is>
      </c>
      <c r="C5" s="11" t="n"/>
      <c r="D5" s="10" t="inlineStr">
        <is>
          <t>그래디언트 주의 임계(nT/m)</t>
        </is>
      </c>
      <c r="F5" s="11" t="n"/>
      <c r="G5" s="21" t="inlineStr">
        <is>
          <t>현장 입력 (장비·기준에 맞게 설정)</t>
        </is>
      </c>
    </row>
    <row r="7" ht="32" customHeight="1">
      <c r="A7" s="12" t="inlineStr">
        <is>
          <t>번호</t>
        </is>
      </c>
      <c r="B7" s="12" t="inlineStr">
        <is>
          <t>측정점</t>
        </is>
      </c>
      <c r="C7" s="12" t="inlineStr">
        <is>
          <t>거리(m)</t>
        </is>
      </c>
      <c r="D7" s="12" t="inlineStr">
        <is>
          <t>방위</t>
        </is>
      </c>
      <c r="E7" s="12" t="inlineStr">
        <is>
          <t>측정값 F (nT)</t>
        </is>
      </c>
      <c r="F7" s="12" t="inlineStr">
        <is>
          <t>그래디언트 (nT/m)</t>
        </is>
      </c>
      <c r="G7" s="12" t="inlineStr">
        <is>
          <t>판정</t>
        </is>
      </c>
      <c r="H7" s="12" t="inlineStr">
        <is>
          <t>비고</t>
        </is>
      </c>
    </row>
    <row r="8" ht="24" customHeight="1">
      <c r="A8" s="13" t="n">
        <v>1</v>
      </c>
      <c r="B8" s="22" t="inlineStr">
        <is>
          <t>중심 (표지 예정점)</t>
        </is>
      </c>
      <c r="C8" s="11" t="n"/>
      <c r="D8" s="11" t="n"/>
      <c r="E8" s="11" t="n"/>
      <c r="F8" s="11" t="n"/>
      <c r="G8" s="11" t="n"/>
      <c r="H8" s="5" t="n"/>
    </row>
    <row r="9" ht="24" customHeight="1">
      <c r="A9" s="13" t="n">
        <v>2</v>
      </c>
      <c r="B9" s="22" t="inlineStr">
        <is>
          <t>N — 북</t>
        </is>
      </c>
      <c r="C9" s="11" t="n"/>
      <c r="D9" s="11" t="n"/>
      <c r="E9" s="11" t="n"/>
      <c r="F9" s="11" t="n"/>
      <c r="G9" s="11" t="n"/>
      <c r="H9" s="5" t="n"/>
    </row>
    <row r="10" ht="24" customHeight="1">
      <c r="A10" s="13" t="n">
        <v>3</v>
      </c>
      <c r="B10" s="22" t="inlineStr">
        <is>
          <t>S — 남</t>
        </is>
      </c>
      <c r="C10" s="11" t="n"/>
      <c r="D10" s="11" t="n"/>
      <c r="E10" s="11" t="n"/>
      <c r="F10" s="11" t="n"/>
      <c r="G10" s="11" t="n"/>
      <c r="H10" s="5" t="n"/>
    </row>
    <row r="11" ht="24" customHeight="1">
      <c r="A11" s="13" t="n">
        <v>4</v>
      </c>
      <c r="B11" s="22" t="inlineStr">
        <is>
          <t>E — 동</t>
        </is>
      </c>
      <c r="C11" s="11" t="n"/>
      <c r="D11" s="11" t="n"/>
      <c r="E11" s="11" t="n"/>
      <c r="F11" s="11" t="n"/>
      <c r="G11" s="11" t="n"/>
      <c r="H11" s="5" t="n"/>
    </row>
    <row r="12" ht="24" customHeight="1">
      <c r="A12" s="13" t="n">
        <v>5</v>
      </c>
      <c r="B12" s="22" t="inlineStr">
        <is>
          <t>W — 서</t>
        </is>
      </c>
      <c r="C12" s="11" t="n"/>
      <c r="D12" s="11" t="n"/>
      <c r="E12" s="11" t="n"/>
      <c r="F12" s="11" t="n"/>
      <c r="G12" s="11" t="n"/>
      <c r="H12" s="5" t="n"/>
    </row>
    <row r="13" ht="24" customHeight="1">
      <c r="A13" s="13" t="n">
        <v>6</v>
      </c>
      <c r="B13" s="22" t="inlineStr">
        <is>
          <t>NE — 북동</t>
        </is>
      </c>
      <c r="C13" s="11" t="n"/>
      <c r="D13" s="11" t="n"/>
      <c r="E13" s="11" t="n"/>
      <c r="F13" s="11" t="n"/>
      <c r="G13" s="11" t="n"/>
      <c r="H13" s="5" t="n"/>
    </row>
    <row r="14" ht="24" customHeight="1">
      <c r="A14" s="13" t="n">
        <v>7</v>
      </c>
      <c r="B14" s="22" t="inlineStr">
        <is>
          <t>NW — 북서</t>
        </is>
      </c>
      <c r="C14" s="11" t="n"/>
      <c r="D14" s="11" t="n"/>
      <c r="E14" s="11" t="n"/>
      <c r="F14" s="11" t="n"/>
      <c r="G14" s="11" t="n"/>
      <c r="H14" s="5" t="n"/>
    </row>
    <row r="15" ht="24" customHeight="1">
      <c r="A15" s="13" t="n">
        <v>8</v>
      </c>
      <c r="B15" s="22" t="inlineStr">
        <is>
          <t>SE — 남동</t>
        </is>
      </c>
      <c r="C15" s="11" t="n"/>
      <c r="D15" s="11" t="n"/>
      <c r="E15" s="11" t="n"/>
      <c r="F15" s="11" t="n"/>
      <c r="G15" s="11" t="n"/>
      <c r="H15" s="5" t="n"/>
    </row>
    <row r="16" ht="24" customHeight="1">
      <c r="A16" s="13" t="n">
        <v>9</v>
      </c>
      <c r="B16" s="22" t="inlineStr">
        <is>
          <t>SW — 남서</t>
        </is>
      </c>
      <c r="C16" s="11" t="n"/>
      <c r="D16" s="11" t="n"/>
      <c r="E16" s="11" t="n"/>
      <c r="F16" s="11" t="n"/>
      <c r="G16" s="11" t="n"/>
      <c r="H16" s="5" t="n"/>
    </row>
    <row r="17" ht="24" customHeight="1">
      <c r="A17" s="13" t="n">
        <v>10</v>
      </c>
      <c r="B17" s="22" t="inlineStr">
        <is>
          <t>외곽점 1</t>
        </is>
      </c>
      <c r="C17" s="11" t="n"/>
      <c r="D17" s="11" t="n"/>
      <c r="E17" s="11" t="n"/>
      <c r="F17" s="11" t="n"/>
      <c r="G17" s="11" t="n"/>
      <c r="H17" s="5" t="n"/>
    </row>
    <row r="18" ht="24" customHeight="1">
      <c r="A18" s="13" t="n">
        <v>11</v>
      </c>
      <c r="B18" s="22" t="inlineStr">
        <is>
          <t>외곽점 2</t>
        </is>
      </c>
      <c r="C18" s="11" t="n"/>
      <c r="D18" s="11" t="n"/>
      <c r="E18" s="11" t="n"/>
      <c r="F18" s="11" t="n"/>
      <c r="G18" s="11" t="n"/>
      <c r="H18" s="5" t="n"/>
    </row>
    <row r="19" ht="24" customHeight="1">
      <c r="A19" s="13" t="n">
        <v>12</v>
      </c>
      <c r="B19" s="22" t="inlineStr">
        <is>
          <t>외곽점 3</t>
        </is>
      </c>
      <c r="C19" s="11" t="n"/>
      <c r="D19" s="11" t="n"/>
      <c r="E19" s="11" t="n"/>
      <c r="F19" s="11" t="n"/>
      <c r="G19" s="11" t="n"/>
      <c r="H19" s="5" t="n"/>
    </row>
    <row r="21" ht="24" customHeight="1">
      <c r="A21" s="3" t="inlineStr">
        <is>
          <t>예비탐사 이상 판정</t>
        </is>
      </c>
    </row>
    <row r="22" ht="24" customHeight="1">
      <c r="A22" s="23" t="inlineStr">
        <is>
          <t>점검 항목</t>
        </is>
      </c>
      <c r="B22" s="24" t="n"/>
      <c r="C22" s="23" t="inlineStr">
        <is>
          <t>판정 기준</t>
        </is>
      </c>
      <c r="D22" s="25" t="n"/>
      <c r="E22" s="24" t="n"/>
      <c r="F22" s="23" t="inlineStr">
        <is>
          <t>확인 결과</t>
        </is>
      </c>
      <c r="G22" s="23" t="inlineStr">
        <is>
          <t>판정</t>
        </is>
      </c>
      <c r="H22" s="23" t="inlineStr">
        <is>
          <t>비고</t>
        </is>
      </c>
    </row>
    <row r="23" ht="28" customHeight="1">
      <c r="A23" s="22" t="inlineStr">
        <is>
          <t>국소 자기장 급변 여부</t>
        </is>
      </c>
      <c r="B23" s="6" t="n"/>
      <c r="C23" s="15" t="inlineStr">
        <is>
          <t>인접 측정점 간 측정값이 급격히 변하는 구간 존재 여부</t>
        </is>
      </c>
      <c r="D23" s="6" t="n"/>
      <c r="E23" s="6" t="n"/>
      <c r="F23" s="11" t="n"/>
      <c r="G23" s="7" t="n"/>
      <c r="H23" s="20" t="n"/>
    </row>
    <row r="24" ht="28" customHeight="1">
      <c r="A24" s="22" t="inlineStr">
        <is>
          <t>점상 이상체 여부</t>
        </is>
      </c>
      <c r="B24" s="6" t="n"/>
      <c r="C24" s="15" t="inlineStr">
        <is>
          <t>특정 지점에서만 나타나는 국부 이상 (매설 금속 등)</t>
        </is>
      </c>
      <c r="D24" s="6" t="n"/>
      <c r="E24" s="6" t="n"/>
      <c r="F24" s="11" t="n"/>
      <c r="G24" s="7" t="n"/>
      <c r="H24" s="20" t="n"/>
    </row>
    <row r="25" ht="28" customHeight="1">
      <c r="A25" s="22" t="inlineStr">
        <is>
          <t>방향성 이상 여부</t>
        </is>
      </c>
      <c r="B25" s="6" t="n"/>
      <c r="C25" s="15" t="inlineStr">
        <is>
          <t>특정 방향으로 일관되게 증감하는 경향성</t>
        </is>
      </c>
      <c r="D25" s="6" t="n"/>
      <c r="E25" s="6" t="n"/>
      <c r="F25" s="11" t="n"/>
      <c r="G25" s="7" t="n"/>
      <c r="H25" s="20" t="n"/>
    </row>
    <row r="26" ht="28" customHeight="1">
      <c r="A26" s="22" t="inlineStr">
        <is>
          <t>권역 내 균질성</t>
        </is>
      </c>
      <c r="B26" s="6" t="n"/>
      <c r="C26" s="15" t="inlineStr">
        <is>
          <t>탐사 반경 내 측정값이 안정·균질하게 분포하는지</t>
        </is>
      </c>
      <c r="D26" s="6" t="n"/>
      <c r="E26" s="6" t="n"/>
      <c r="F26" s="11" t="n"/>
      <c r="G26" s="7" t="n"/>
      <c r="H26" s="20" t="n"/>
    </row>
    <row r="27" ht="28" customHeight="1">
      <c r="A27" s="17" t="inlineStr">
        <is>
          <t>②단계 종합 판정  (이상 항목 확인 시 후보 권역 내 이동 후 재탐사)</t>
        </is>
      </c>
      <c r="G27" s="18" t="n"/>
      <c r="H27" s="20" t="n"/>
    </row>
  </sheetData>
  <mergeCells count="21">
    <mergeCell ref="A24:B24"/>
    <mergeCell ref="C22:E22"/>
    <mergeCell ref="A27:F27"/>
    <mergeCell ref="A1:H1"/>
    <mergeCell ref="A25:B25"/>
    <mergeCell ref="C23:E23"/>
    <mergeCell ref="H4"/>
    <mergeCell ref="A26:B26"/>
    <mergeCell ref="A3:H3"/>
    <mergeCell ref="A21:H21"/>
    <mergeCell ref="A2:H2"/>
    <mergeCell ref="A5:B5"/>
    <mergeCell ref="G5:H5"/>
    <mergeCell ref="A23:B23"/>
    <mergeCell ref="A22:B22"/>
    <mergeCell ref="C24:E24"/>
    <mergeCell ref="A4:B4"/>
    <mergeCell ref="D5:E5"/>
    <mergeCell ref="C26:E26"/>
    <mergeCell ref="F22"/>
    <mergeCell ref="C25:E25"/>
  </mergeCells>
  <conditionalFormatting sqref="G8:G19">
    <cfRule type="cellIs" priority="1" operator="equal" dxfId="0">
      <formula>"양호"</formula>
    </cfRule>
    <cfRule type="cellIs" priority="2" operator="equal" dxfId="1">
      <formula>"주의"</formula>
    </cfRule>
    <cfRule type="cellIs" priority="3" operator="equal" dxfId="2">
      <formula>"부적합"</formula>
    </cfRule>
  </conditionalFormatting>
  <conditionalFormatting sqref="G23:G26">
    <cfRule type="cellIs" priority="4" operator="equal" dxfId="0">
      <formula>"양호"</formula>
    </cfRule>
    <cfRule type="cellIs" priority="5" operator="equal" dxfId="1">
      <formula>"주의"</formula>
    </cfRule>
    <cfRule type="cellIs" priority="6" operator="equal" dxfId="2">
      <formula>"부적합"</formula>
    </cfRule>
  </conditionalFormatting>
  <conditionalFormatting sqref="G27">
    <cfRule type="cellIs" priority="7" operator="equal" dxfId="0">
      <formula>"양호"</formula>
    </cfRule>
    <cfRule type="cellIs" priority="8" operator="equal" dxfId="1">
      <formula>"주의"</formula>
    </cfRule>
    <cfRule type="cellIs" priority="9" operator="equal" dxfId="2">
      <formula>"부적합"</formula>
    </cfRule>
  </conditionalFormatting>
  <dataValidations count="4">
    <dataValidation sqref="C4" showDropDown="0" showInputMessage="0" showErrorMessage="0" allowBlank="1" type="list">
      <formula1>"십자형,격자형,십자+격자"</formula1>
    </dataValidation>
    <dataValidation sqref="G8:G19" showDropDown="0" showInputMessage="0" showErrorMessage="0" allowBlank="1" error="양호 / 주의 / 부적합 중에서 선택하십시오." prompt="판정을 선택하십시오." type="list">
      <formula1>"양호,주의,부적합"</formula1>
    </dataValidation>
    <dataValidation sqref="G23:G26" showDropDown="0" showInputMessage="0" showErrorMessage="0" allowBlank="1" error="양호 / 주의 / 부적합 중에서 선택하십시오." prompt="판정을 선택하십시오." type="list">
      <formula1>"양호,주의,부적합"</formula1>
    </dataValidation>
    <dataValidation sqref="G27" showDropDown="0" showInputMessage="0" showErrorMessage="0" allowBlank="1" error="양호 / 주의 / 부적합 중에서 선택하십시오." prompt="판정을 선택하십시오." type="list">
      <formula1>"양호,주의,부적합"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5" customWidth="1" min="3" max="3"/>
    <col width="17" customWidth="1" min="4" max="4"/>
    <col width="13" customWidth="1" min="5" max="5"/>
    <col width="12" customWidth="1" min="6" max="6"/>
    <col width="24" customWidth="1" min="7" max="7"/>
  </cols>
  <sheetData>
    <row r="1" ht="34" customHeight="1">
      <c r="A1" s="1" t="inlineStr">
        <is>
          <t>③ DIM·총자기장계 설치 위치 검토</t>
        </is>
      </c>
    </row>
    <row r="2" ht="20" customHeight="1">
      <c r="A2" s="2" t="inlineStr">
        <is>
          <t>DIM Fluxgate 위치와 총자기장계 센서 위치 간 dF = F_DIM − F 안정성 확인</t>
        </is>
      </c>
    </row>
    <row r="3" ht="24" customHeight="1">
      <c r="A3" s="3" t="inlineStr">
        <is>
          <t>설치 위치 후보</t>
        </is>
      </c>
    </row>
    <row r="4" ht="24" customHeight="1">
      <c r="A4" s="4" t="inlineStr">
        <is>
          <t>DIM Fluxgate 위치</t>
        </is>
      </c>
      <c r="B4" s="6" t="n"/>
      <c r="C4" s="26" t="inlineStr">
        <is>
          <t>센서 좌표 / 지점 설명</t>
        </is>
      </c>
      <c r="D4" s="5" t="n"/>
      <c r="E4" s="6" t="n"/>
      <c r="F4" s="6" t="n"/>
      <c r="G4" s="6" t="n"/>
    </row>
    <row r="5" ht="24" customHeight="1">
      <c r="A5" s="4" t="inlineStr">
        <is>
          <t>총자기장계 센서 위치</t>
        </is>
      </c>
      <c r="B5" s="6" t="n"/>
      <c r="C5" s="26" t="inlineStr">
        <is>
          <t>센서 좌표 / 지점 설명</t>
        </is>
      </c>
      <c r="D5" s="5" t="n"/>
      <c r="E5" s="6" t="n"/>
      <c r="F5" s="6" t="n"/>
      <c r="G5" s="6" t="n"/>
    </row>
    <row r="6" ht="24" customHeight="1">
      <c r="A6" s="4" t="inlineStr">
        <is>
          <t>두 위치 간 거리 (m)</t>
        </is>
      </c>
      <c r="B6" s="6" t="n"/>
      <c r="C6" s="26" t="inlineStr">
        <is>
          <t>DIM ↔ 총자기장계 이격거리</t>
        </is>
      </c>
      <c r="D6" s="5" t="n"/>
      <c r="E6" s="6" t="n"/>
      <c r="F6" s="6" t="n"/>
      <c r="G6" s="6" t="n"/>
    </row>
    <row r="8" ht="24" customHeight="1">
      <c r="A8" s="3" t="inlineStr">
        <is>
          <t>dF 반복 측정 (dF = F_DIM − F)</t>
        </is>
      </c>
    </row>
    <row r="9" ht="30" customHeight="1">
      <c r="A9" s="12" t="inlineStr">
        <is>
          <t>회차</t>
        </is>
      </c>
      <c r="B9" s="12" t="inlineStr">
        <is>
          <t>측정 시각</t>
        </is>
      </c>
      <c r="C9" s="12" t="inlineStr">
        <is>
          <t>F_DIM (nT)</t>
        </is>
      </c>
      <c r="D9" s="12" t="inlineStr">
        <is>
          <t>F_총자기장계 (nT)</t>
        </is>
      </c>
      <c r="E9" s="12" t="inlineStr">
        <is>
          <t>dF (nT)</t>
        </is>
      </c>
      <c r="F9" s="12" t="inlineStr">
        <is>
          <t>안정 여부</t>
        </is>
      </c>
      <c r="G9" s="12" t="inlineStr">
        <is>
          <t>비고</t>
        </is>
      </c>
    </row>
    <row r="10" ht="24" customHeight="1">
      <c r="A10" s="13" t="n">
        <v>1</v>
      </c>
      <c r="B10" s="11" t="n"/>
      <c r="C10" s="11" t="n"/>
      <c r="D10" s="11" t="n"/>
      <c r="E10" s="27">
        <f>IF(COUNT(C10:D10)=2,C10-D10,"")</f>
        <v/>
      </c>
      <c r="F10" s="7" t="n"/>
      <c r="G10" s="20" t="n"/>
    </row>
    <row r="11" ht="24" customHeight="1">
      <c r="A11" s="13" t="n">
        <v>2</v>
      </c>
      <c r="B11" s="11" t="n"/>
      <c r="C11" s="11" t="n"/>
      <c r="D11" s="11" t="n"/>
      <c r="E11" s="27">
        <f>IF(COUNT(C11:D11)=2,C11-D11,"")</f>
        <v/>
      </c>
      <c r="F11" s="7" t="n"/>
      <c r="G11" s="20" t="n"/>
    </row>
    <row r="12" ht="24" customHeight="1">
      <c r="A12" s="13" t="n">
        <v>3</v>
      </c>
      <c r="B12" s="11" t="n"/>
      <c r="C12" s="11" t="n"/>
      <c r="D12" s="11" t="n"/>
      <c r="E12" s="27">
        <f>IF(COUNT(C12:D12)=2,C12-D12,"")</f>
        <v/>
      </c>
      <c r="F12" s="7" t="n"/>
      <c r="G12" s="20" t="n"/>
    </row>
    <row r="13" ht="24" customHeight="1">
      <c r="A13" s="13" t="n">
        <v>4</v>
      </c>
      <c r="B13" s="11" t="n"/>
      <c r="C13" s="11" t="n"/>
      <c r="D13" s="11" t="n"/>
      <c r="E13" s="27">
        <f>IF(COUNT(C13:D13)=2,C13-D13,"")</f>
        <v/>
      </c>
      <c r="F13" s="7" t="n"/>
      <c r="G13" s="20" t="n"/>
    </row>
    <row r="14" ht="24" customHeight="1">
      <c r="A14" s="13" t="n">
        <v>5</v>
      </c>
      <c r="B14" s="11" t="n"/>
      <c r="C14" s="11" t="n"/>
      <c r="D14" s="11" t="n"/>
      <c r="E14" s="27">
        <f>IF(COUNT(C14:D14)=2,C14-D14,"")</f>
        <v/>
      </c>
      <c r="F14" s="7" t="n"/>
      <c r="G14" s="20" t="n"/>
    </row>
    <row r="15" ht="24" customHeight="1">
      <c r="A15" s="13" t="n">
        <v>6</v>
      </c>
      <c r="B15" s="11" t="n"/>
      <c r="C15" s="11" t="n"/>
      <c r="D15" s="11" t="n"/>
      <c r="E15" s="27">
        <f>IF(COUNT(C15:D15)=2,C15-D15,"")</f>
        <v/>
      </c>
      <c r="F15" s="7" t="n"/>
      <c r="G15" s="20" t="n"/>
    </row>
    <row r="16" ht="24" customHeight="1">
      <c r="A16" s="17" t="inlineStr">
        <is>
          <t>dF 평균 (nT)</t>
        </is>
      </c>
      <c r="B16" s="6" t="n"/>
      <c r="C16" s="6" t="n"/>
      <c r="D16" s="6" t="n"/>
      <c r="E16" s="27">
        <f>IFERROR(AVERAGE(E10:E15),"")</f>
        <v/>
      </c>
      <c r="F16" s="6" t="n"/>
      <c r="G16" s="6" t="n"/>
    </row>
    <row r="17" ht="24" customHeight="1">
      <c r="A17" s="17" t="inlineStr">
        <is>
          <t>dF 표준편차 (nT)</t>
        </is>
      </c>
      <c r="B17" s="6" t="n"/>
      <c r="C17" s="6" t="n"/>
      <c r="D17" s="6" t="n"/>
      <c r="E17" s="27">
        <f>IFERROR(STDEV(E10:E15),"")</f>
        <v/>
      </c>
      <c r="F17" s="6" t="n"/>
      <c r="G17" s="6" t="n"/>
    </row>
    <row r="18" ht="24" customHeight="1">
      <c r="A18" s="17" t="inlineStr">
        <is>
          <t>dF 범위 (최대−최소, nT)</t>
        </is>
      </c>
      <c r="B18" s="6" t="n"/>
      <c r="C18" s="6" t="n"/>
      <c r="D18" s="6" t="n"/>
      <c r="E18" s="27">
        <f>IFERROR(MAX(E10:E15)-MIN(E10:E15),"")</f>
        <v/>
      </c>
      <c r="F18" s="6" t="n"/>
      <c r="G18" s="6" t="n"/>
    </row>
    <row r="19" ht="28" customHeight="1">
      <c r="A19" s="17" t="inlineStr">
        <is>
          <t>③단계 종합 판정  (dF 작고 안정적 → 적합)</t>
        </is>
      </c>
      <c r="E19" s="18" t="n"/>
      <c r="G19" s="20" t="n"/>
    </row>
    <row r="21" ht="30" customHeight="1">
      <c r="A21" s="28" t="inlineStr">
        <is>
          <t>dF 값이 작고(절댓값 작음) 회차별 변동이 작을수록 설치 위치가 적합합니다. 불안정 시 두 센서 위치를 조정하여 재측정합니다.</t>
        </is>
      </c>
    </row>
  </sheetData>
  <mergeCells count="19">
    <mergeCell ref="A17:D17"/>
    <mergeCell ref="A8:G8"/>
    <mergeCell ref="A19:D19"/>
    <mergeCell ref="D5:G5"/>
    <mergeCell ref="A6:B6"/>
    <mergeCell ref="E19:F19"/>
    <mergeCell ref="E16:G16"/>
    <mergeCell ref="A1:G1"/>
    <mergeCell ref="D6:G6"/>
    <mergeCell ref="A5:B5"/>
    <mergeCell ref="E18:G18"/>
    <mergeCell ref="A16:D16"/>
    <mergeCell ref="A4:B4"/>
    <mergeCell ref="A18:D18"/>
    <mergeCell ref="A3:G3"/>
    <mergeCell ref="A21:G21"/>
    <mergeCell ref="E17:G17"/>
    <mergeCell ref="A2:G2"/>
    <mergeCell ref="D4:G4"/>
  </mergeCells>
  <conditionalFormatting sqref="F10:F15">
    <cfRule type="cellIs" priority="1" operator="equal" dxfId="0">
      <formula>"안정"</formula>
    </cfRule>
    <cfRule type="cellIs" priority="2" operator="equal" dxfId="2">
      <formula>"불안정"</formula>
    </cfRule>
  </conditionalFormatting>
  <conditionalFormatting sqref="E19:F19">
    <cfRule type="cellIs" priority="3" operator="equal" dxfId="0">
      <formula>"양호"</formula>
    </cfRule>
    <cfRule type="cellIs" priority="4" operator="equal" dxfId="1">
      <formula>"주의"</formula>
    </cfRule>
    <cfRule type="cellIs" priority="5" operator="equal" dxfId="2">
      <formula>"부적합"</formula>
    </cfRule>
  </conditionalFormatting>
  <dataValidations count="2">
    <dataValidation sqref="F10:F15" showDropDown="0" showInputMessage="0" showErrorMessage="0" allowBlank="1" type="list">
      <formula1>"안정,불안정"</formula1>
    </dataValidation>
    <dataValidation sqref="E19" showDropDown="0" showInputMessage="0" showErrorMessage="0" allowBlank="1" error="양호 / 주의 / 부적합 중에서 선택하십시오." prompt="판정을 선택하십시오." type="list">
      <formula1>"양호,주의,부적합"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2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  <col width="22" customWidth="1" min="4" max="4"/>
    <col width="24" customWidth="1" min="5" max="5"/>
  </cols>
  <sheetData>
    <row r="1" ht="34" customHeight="1">
      <c r="A1" s="1" t="inlineStr">
        <is>
          <t>④ 최종 선점 또는 재선점 판정</t>
        </is>
      </c>
    </row>
    <row r="2" ht="20" customHeight="1">
      <c r="A2" s="2" t="inlineStr">
        <is>
          <t>단계별 결과 종합 → 선점 확정 / 재선점 / 보류 결정</t>
        </is>
      </c>
    </row>
    <row r="3" ht="24" customHeight="1">
      <c r="A3" s="3" t="inlineStr">
        <is>
          <t>1. 단계별 결과 종합</t>
        </is>
      </c>
    </row>
    <row r="4" ht="22" customHeight="1">
      <c r="A4" s="23" t="inlineStr">
        <is>
          <t>점검 단계</t>
        </is>
      </c>
      <c r="B4" s="25" t="n"/>
      <c r="C4" s="24" t="n"/>
      <c r="D4" s="23" t="inlineStr">
        <is>
          <t>판정</t>
        </is>
      </c>
      <c r="E4" s="24" t="n"/>
    </row>
    <row r="5" ht="24" customHeight="1">
      <c r="A5" s="4" t="inlineStr">
        <is>
          <t>① 현장 육안 조사</t>
        </is>
      </c>
      <c r="B5" s="6" t="n"/>
      <c r="C5" s="6" t="n"/>
      <c r="D5" s="27">
        <f>'① 현장 육안 조사'!G20</f>
        <v/>
      </c>
      <c r="E5" s="6" t="n"/>
    </row>
    <row r="6" ht="24" customHeight="1">
      <c r="A6" s="4" t="inlineStr">
        <is>
          <t>② 그래디오미터 예비탐사</t>
        </is>
      </c>
      <c r="B6" s="6" t="n"/>
      <c r="C6" s="6" t="n"/>
      <c r="D6" s="27">
        <f>'② 그래디오미터 예비탐사'!G27</f>
        <v/>
      </c>
      <c r="E6" s="6" t="n"/>
    </row>
    <row r="7" ht="24" customHeight="1">
      <c r="A7" s="4" t="inlineStr">
        <is>
          <t>③ DIM·총자기장계 위치 검토</t>
        </is>
      </c>
      <c r="B7" s="6" t="n"/>
      <c r="C7" s="6" t="n"/>
      <c r="D7" s="27">
        <f>'③ DIM·총자기장계 위치검토'!E19</f>
        <v/>
      </c>
      <c r="E7" s="6" t="n"/>
    </row>
    <row r="9" ht="24" customHeight="1">
      <c r="A9" s="3" t="inlineStr">
        <is>
          <t>2. 최종 결정</t>
        </is>
      </c>
    </row>
    <row r="10" ht="30" customHeight="1">
      <c r="A10" s="29" t="inlineStr">
        <is>
          <t>최종 결정</t>
        </is>
      </c>
      <c r="B10" s="6" t="n"/>
      <c r="C10" s="30" t="n"/>
      <c r="D10" s="6" t="n"/>
      <c r="E10" s="6" t="n"/>
    </row>
    <row r="12" ht="24" customHeight="1">
      <c r="A12" s="3" t="inlineStr">
        <is>
          <t>3. 재선점 시 조치 (재선점·보류 선택 시 기입)</t>
        </is>
      </c>
    </row>
    <row r="13" ht="24" customHeight="1">
      <c r="A13" s="4" t="inlineStr">
        <is>
          <t>이동 방향 (방위)</t>
        </is>
      </c>
      <c r="B13" s="6" t="n"/>
      <c r="C13" s="5" t="n"/>
      <c r="D13" s="6" t="n"/>
      <c r="E13" s="6" t="n"/>
    </row>
    <row r="14" ht="24" customHeight="1">
      <c r="A14" s="4" t="inlineStr">
        <is>
          <t>이동 거리 (m)</t>
        </is>
      </c>
      <c r="B14" s="6" t="n"/>
      <c r="C14" s="5" t="n"/>
      <c r="D14" s="6" t="n"/>
      <c r="E14" s="6" t="n"/>
    </row>
    <row r="15" ht="24" customHeight="1">
      <c r="A15" s="4" t="inlineStr">
        <is>
          <t>신규 후보 위도 (°N)</t>
        </is>
      </c>
      <c r="B15" s="6" t="n"/>
      <c r="C15" s="5" t="n"/>
      <c r="D15" s="6" t="n"/>
      <c r="E15" s="6" t="n"/>
    </row>
    <row r="16" ht="24" customHeight="1">
      <c r="A16" s="4" t="inlineStr">
        <is>
          <t>신규 후보 경도 (°E)</t>
        </is>
      </c>
      <c r="B16" s="6" t="n"/>
      <c r="C16" s="5" t="n"/>
      <c r="D16" s="6" t="n"/>
      <c r="E16" s="6" t="n"/>
    </row>
    <row r="17" ht="24" customHeight="1">
      <c r="A17" s="4" t="inlineStr">
        <is>
          <t>재탐사 사유 / 확인된 이상 내용</t>
        </is>
      </c>
      <c r="B17" s="6" t="n"/>
      <c r="C17" s="5" t="n"/>
      <c r="D17" s="6" t="n"/>
      <c r="E17" s="6" t="n"/>
    </row>
    <row r="18" ht="24" customHeight="1">
      <c r="A18" s="4" t="inlineStr">
        <is>
          <t>다음 답사 예정일</t>
        </is>
      </c>
      <c r="B18" s="6" t="n"/>
      <c r="C18" s="5" t="n"/>
      <c r="D18" s="6" t="n"/>
      <c r="E18" s="6" t="n"/>
    </row>
    <row r="20" ht="24" customHeight="1">
      <c r="A20" s="3" t="inlineStr">
        <is>
          <t>4. 종합 의견 및 후속 조치</t>
        </is>
      </c>
    </row>
    <row r="21" ht="26" customHeight="1">
      <c r="A21" s="31" t="n"/>
      <c r="B21" s="6" t="n"/>
      <c r="C21" s="6" t="n"/>
      <c r="D21" s="6" t="n"/>
      <c r="E21" s="6" t="n"/>
    </row>
    <row r="22" ht="26" customHeight="1">
      <c r="A22" s="6" t="n"/>
      <c r="B22" s="6" t="n"/>
      <c r="C22" s="6" t="n"/>
      <c r="D22" s="6" t="n"/>
      <c r="E22" s="6" t="n"/>
    </row>
    <row r="23" ht="26" customHeight="1">
      <c r="A23" s="6" t="n"/>
      <c r="B23" s="6" t="n"/>
      <c r="C23" s="6" t="n"/>
      <c r="D23" s="6" t="n"/>
      <c r="E23" s="6" t="n"/>
    </row>
    <row r="25" ht="30" customHeight="1">
      <c r="A25" s="10" t="inlineStr">
        <is>
          <t>답사자 서명</t>
        </is>
      </c>
      <c r="B25" s="11" t="n"/>
      <c r="C25" s="10" t="inlineStr">
        <is>
          <t>검토자 서명</t>
        </is>
      </c>
      <c r="D25" s="11" t="n"/>
      <c r="E25" s="11" t="n"/>
    </row>
  </sheetData>
  <mergeCells count="29">
    <mergeCell ref="C16:E16"/>
    <mergeCell ref="A15:B15"/>
    <mergeCell ref="A1:E1"/>
    <mergeCell ref="D6:E6"/>
    <mergeCell ref="A16:B16"/>
    <mergeCell ref="A5:C5"/>
    <mergeCell ref="C17:E17"/>
    <mergeCell ref="A18:B18"/>
    <mergeCell ref="A4:C4"/>
    <mergeCell ref="A3:E3"/>
    <mergeCell ref="A12:E12"/>
    <mergeCell ref="D7:E7"/>
    <mergeCell ref="C13:E13"/>
    <mergeCell ref="A2:E2"/>
    <mergeCell ref="C18:E18"/>
    <mergeCell ref="A14:B14"/>
    <mergeCell ref="D4:E4"/>
    <mergeCell ref="A17:B17"/>
    <mergeCell ref="A21:E23"/>
    <mergeCell ref="C15:E15"/>
    <mergeCell ref="C14:E14"/>
    <mergeCell ref="A20:E20"/>
    <mergeCell ref="D5:E5"/>
    <mergeCell ref="A6:C6"/>
    <mergeCell ref="A10:B10"/>
    <mergeCell ref="A13:B13"/>
    <mergeCell ref="A7:C7"/>
    <mergeCell ref="A9:E9"/>
    <mergeCell ref="C10:E10"/>
  </mergeCells>
  <conditionalFormatting sqref="D5:D7">
    <cfRule type="cellIs" priority="1" operator="equal" dxfId="0">
      <formula>"양호"</formula>
    </cfRule>
    <cfRule type="cellIs" priority="2" operator="equal" dxfId="1">
      <formula>"주의"</formula>
    </cfRule>
    <cfRule type="cellIs" priority="3" operator="equal" dxfId="2">
      <formula>"부적합"</formula>
    </cfRule>
  </conditionalFormatting>
  <conditionalFormatting sqref="C10">
    <cfRule type="cellIs" priority="4" operator="equal" dxfId="3">
      <formula>"선점 확정"</formula>
    </cfRule>
    <cfRule type="cellIs" priority="5" operator="equal" dxfId="4">
      <formula>"재선점"</formula>
    </cfRule>
    <cfRule type="cellIs" priority="6" operator="equal" dxfId="5">
      <formula>"보류"</formula>
    </cfRule>
  </conditionalFormatting>
  <dataValidations count="1">
    <dataValidation sqref="C10" showDropDown="0" showInputMessage="0" showErrorMessage="0" allowBlank="1" type="list">
      <formula1>"선점 확정,재선점,보류"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2026-05-18T08:54:53Z</dcterms:created>
  <dcterms:modified xmlns:dcterms="http://purl.org/dc/terms/" xmlns:xsi="http://www.w3.org/2001/XMLSchema-instance" xsi:type="dcterms:W3CDTF">2026-05-18T08:54:53Z</dcterms:modified>
</cp:coreProperties>
</file>